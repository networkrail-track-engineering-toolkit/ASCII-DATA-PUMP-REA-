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etworkrail-my.sharepoint.com/personal/bmcguir_networkrail_co_uk/Documents/Profile/Desktop/Trace Review App 3.0/"/>
    </mc:Choice>
  </mc:AlternateContent>
  <xr:revisionPtr revIDLastSave="6875" documentId="13_ncr:1_{F027AF32-7BBA-4512-9379-D6831DFBC64C}" xr6:coauthVersionLast="47" xr6:coauthVersionMax="47" xr10:uidLastSave="{4EFBCDC9-1EBB-4705-B222-D14F9D4C9558}"/>
  <bookViews>
    <workbookView xWindow="-110" yWindow="-110" windowWidth="19420" windowHeight="11500" activeTab="1" xr2:uid="{00000000-000D-0000-FFFF-FFFF00000000}"/>
  </bookViews>
  <sheets>
    <sheet name="Config" sheetId="2" r:id="rId1"/>
    <sheet name="Selector" sheetId="1" r:id="rId2"/>
    <sheet name="Data" sheetId="3" state="veryHidden" r:id="rId3"/>
    <sheet name="Msg" sheetId="5" r:id="rId4"/>
    <sheet name="Ascii_Data" sheetId="4" r:id="rId5"/>
  </sheets>
  <functionGroups builtInGroupCount="19"/>
  <definedNames>
    <definedName name="get_dates" localSheetId="0">Config!$F$2:$F$333</definedName>
    <definedName name="get_dates_1" localSheetId="0">Config!$J$2</definedName>
    <definedName name="get_elr" localSheetId="0">Config!$D$2:$D$1545</definedName>
    <definedName name="get_mileage" localSheetId="0">Config!$F$2:$G$3</definedName>
    <definedName name="get_track_id" localSheetId="0">Config!$E$2:$E$84</definedName>
    <definedName name="WEBQUERY?username_mike_wb_ascii_data_pump_ws_ascii_data_pump_qry" localSheetId="2">Data!$A$5:$Q$251</definedName>
    <definedName name="WEBQUERY?username_mike_wb_ascii_data_pump_ws_ascii_data_pump_qry_1" localSheetId="2">Data!#REF!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62" i="4" l="1"/>
  <c r="C1061" i="4"/>
  <c r="C1060" i="4"/>
  <c r="C1059" i="4"/>
  <c r="C1058" i="4"/>
  <c r="C1057" i="4"/>
  <c r="C1056" i="4"/>
  <c r="C1055" i="4"/>
  <c r="C1054" i="4"/>
  <c r="C1053" i="4"/>
  <c r="C1052" i="4"/>
  <c r="C1051" i="4"/>
  <c r="C1050" i="4"/>
  <c r="C1049" i="4"/>
  <c r="C1048" i="4"/>
  <c r="C1047" i="4"/>
  <c r="C1046" i="4"/>
  <c r="C1045" i="4"/>
  <c r="C1044" i="4"/>
  <c r="C1043" i="4"/>
  <c r="C1042" i="4"/>
  <c r="C1041" i="4"/>
  <c r="C1040" i="4"/>
  <c r="C1039" i="4"/>
  <c r="C1038" i="4"/>
  <c r="C1037" i="4"/>
  <c r="C1036" i="4"/>
  <c r="C1035" i="4"/>
  <c r="C1034" i="4"/>
  <c r="C1033" i="4"/>
  <c r="C1032" i="4"/>
  <c r="C1031" i="4"/>
  <c r="C1030" i="4"/>
  <c r="C1029" i="4"/>
  <c r="C1028" i="4"/>
  <c r="C1027" i="4"/>
  <c r="C1026" i="4"/>
  <c r="C1025" i="4"/>
  <c r="C1024" i="4"/>
  <c r="C1023" i="4"/>
  <c r="C1022" i="4"/>
  <c r="C1021" i="4"/>
  <c r="C1020" i="4"/>
  <c r="C1019" i="4"/>
  <c r="C1018" i="4"/>
  <c r="C1017" i="4"/>
  <c r="C1016" i="4"/>
  <c r="C1015" i="4"/>
  <c r="C1014" i="4"/>
  <c r="C1013" i="4"/>
  <c r="C1012" i="4"/>
  <c r="C1011" i="4"/>
  <c r="C1010" i="4"/>
  <c r="C1009" i="4"/>
  <c r="C1008" i="4"/>
  <c r="C1007" i="4"/>
  <c r="C1006" i="4"/>
  <c r="C1005" i="4"/>
  <c r="C1004" i="4"/>
  <c r="C1003" i="4"/>
  <c r="C1002" i="4"/>
  <c r="C1001" i="4"/>
  <c r="C1000" i="4"/>
  <c r="C999" i="4"/>
  <c r="C998" i="4"/>
  <c r="C997" i="4"/>
  <c r="C996" i="4"/>
  <c r="C995" i="4"/>
  <c r="C994" i="4"/>
  <c r="C993" i="4"/>
  <c r="C992" i="4"/>
  <c r="C991" i="4"/>
  <c r="C990" i="4"/>
  <c r="C989" i="4"/>
  <c r="C988" i="4"/>
  <c r="C987" i="4"/>
  <c r="C986" i="4"/>
  <c r="C985" i="4"/>
  <c r="C984" i="4"/>
  <c r="C983" i="4"/>
  <c r="C982" i="4"/>
  <c r="C981" i="4"/>
  <c r="C980" i="4"/>
  <c r="C979" i="4"/>
  <c r="C978" i="4"/>
  <c r="C977" i="4"/>
  <c r="C976" i="4"/>
  <c r="C975" i="4"/>
  <c r="C974" i="4"/>
  <c r="C973" i="4"/>
  <c r="C972" i="4"/>
  <c r="C971" i="4"/>
  <c r="C970" i="4"/>
  <c r="C969" i="4"/>
  <c r="C968" i="4"/>
  <c r="C967" i="4"/>
  <c r="C966" i="4"/>
  <c r="C965" i="4"/>
  <c r="C964" i="4"/>
  <c r="C963" i="4"/>
  <c r="C962" i="4"/>
  <c r="C961" i="4"/>
  <c r="C960" i="4"/>
  <c r="C959" i="4"/>
  <c r="C958" i="4"/>
  <c r="C957" i="4"/>
  <c r="C956" i="4"/>
  <c r="C955" i="4"/>
  <c r="C954" i="4"/>
  <c r="C953" i="4"/>
  <c r="C952" i="4"/>
  <c r="C951" i="4"/>
  <c r="C950" i="4"/>
  <c r="C949" i="4"/>
  <c r="C948" i="4"/>
  <c r="C947" i="4"/>
  <c r="C946" i="4"/>
  <c r="C945" i="4"/>
  <c r="C944" i="4"/>
  <c r="C943" i="4"/>
  <c r="C942" i="4"/>
  <c r="C941" i="4"/>
  <c r="C940" i="4"/>
  <c r="C939" i="4"/>
  <c r="C938" i="4"/>
  <c r="C937" i="4"/>
  <c r="C936" i="4"/>
  <c r="C935" i="4"/>
  <c r="C934" i="4"/>
  <c r="C933" i="4"/>
  <c r="C932" i="4"/>
  <c r="C931" i="4"/>
  <c r="C930" i="4"/>
  <c r="C929" i="4"/>
  <c r="C928" i="4"/>
  <c r="C927" i="4"/>
  <c r="C926" i="4"/>
  <c r="C925" i="4"/>
  <c r="C924" i="4"/>
  <c r="C923" i="4"/>
  <c r="C922" i="4"/>
  <c r="C921" i="4"/>
  <c r="C920" i="4"/>
  <c r="C919" i="4"/>
  <c r="C918" i="4"/>
  <c r="C917" i="4"/>
  <c r="C916" i="4"/>
  <c r="C915" i="4"/>
  <c r="C914" i="4"/>
  <c r="C913" i="4"/>
  <c r="C912" i="4"/>
  <c r="C911" i="4"/>
  <c r="C910" i="4"/>
  <c r="C909" i="4"/>
  <c r="C908" i="4"/>
  <c r="C907" i="4"/>
  <c r="C906" i="4"/>
  <c r="C905" i="4"/>
  <c r="C904" i="4"/>
  <c r="C903" i="4"/>
  <c r="C902" i="4"/>
  <c r="C901" i="4"/>
  <c r="C900" i="4"/>
  <c r="C899" i="4"/>
  <c r="C898" i="4"/>
  <c r="C897" i="4"/>
  <c r="C896" i="4"/>
  <c r="C895" i="4"/>
  <c r="C894" i="4"/>
  <c r="C893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C837" i="4"/>
  <c r="C836" i="4"/>
  <c r="C835" i="4"/>
  <c r="C834" i="4"/>
  <c r="C833" i="4"/>
  <c r="C832" i="4"/>
  <c r="C831" i="4"/>
  <c r="C830" i="4"/>
  <c r="C829" i="4"/>
  <c r="C828" i="4"/>
  <c r="C827" i="4"/>
  <c r="C826" i="4"/>
  <c r="C825" i="4"/>
  <c r="C824" i="4"/>
  <c r="C823" i="4"/>
  <c r="C822" i="4"/>
  <c r="C821" i="4"/>
  <c r="C820" i="4"/>
  <c r="C819" i="4"/>
  <c r="C818" i="4"/>
  <c r="C817" i="4"/>
  <c r="C816" i="4"/>
  <c r="C815" i="4"/>
  <c r="C814" i="4"/>
  <c r="C813" i="4"/>
  <c r="C812" i="4"/>
  <c r="C811" i="4"/>
  <c r="C810" i="4"/>
  <c r="C809" i="4"/>
  <c r="C808" i="4"/>
  <c r="C807" i="4"/>
  <c r="C806" i="4"/>
  <c r="C805" i="4"/>
  <c r="C804" i="4"/>
  <c r="C803" i="4"/>
  <c r="C802" i="4"/>
  <c r="C801" i="4"/>
  <c r="C800" i="4"/>
  <c r="C799" i="4"/>
  <c r="C798" i="4"/>
  <c r="C797" i="4"/>
  <c r="C796" i="4"/>
  <c r="C795" i="4"/>
  <c r="C794" i="4"/>
  <c r="C793" i="4"/>
  <c r="C792" i="4"/>
  <c r="C791" i="4"/>
  <c r="C790" i="4"/>
  <c r="C789" i="4"/>
  <c r="C788" i="4"/>
  <c r="C787" i="4"/>
  <c r="C786" i="4"/>
  <c r="C785" i="4"/>
  <c r="C784" i="4"/>
  <c r="C783" i="4"/>
  <c r="C782" i="4"/>
  <c r="C781" i="4"/>
  <c r="C780" i="4"/>
  <c r="C779" i="4"/>
  <c r="C778" i="4"/>
  <c r="C777" i="4"/>
  <c r="C776" i="4"/>
  <c r="C775" i="4"/>
  <c r="C774" i="4"/>
  <c r="C773" i="4"/>
  <c r="C772" i="4"/>
  <c r="C771" i="4"/>
  <c r="C770" i="4"/>
  <c r="C769" i="4"/>
  <c r="C768" i="4"/>
  <c r="C767" i="4"/>
  <c r="C766" i="4"/>
  <c r="C765" i="4"/>
  <c r="C764" i="4"/>
  <c r="C763" i="4"/>
  <c r="C762" i="4"/>
  <c r="C761" i="4"/>
  <c r="C760" i="4"/>
  <c r="C759" i="4"/>
  <c r="C758" i="4"/>
  <c r="C757" i="4"/>
  <c r="C756" i="4"/>
  <c r="C755" i="4"/>
  <c r="C754" i="4"/>
  <c r="C753" i="4"/>
  <c r="C752" i="4"/>
  <c r="C751" i="4"/>
  <c r="C750" i="4"/>
  <c r="C749" i="4"/>
  <c r="C748" i="4"/>
  <c r="C747" i="4"/>
  <c r="C746" i="4"/>
  <c r="C745" i="4"/>
  <c r="C744" i="4"/>
  <c r="C743" i="4"/>
  <c r="C742" i="4"/>
  <c r="C741" i="4"/>
  <c r="C740" i="4"/>
  <c r="C739" i="4"/>
  <c r="C738" i="4"/>
  <c r="C737" i="4"/>
  <c r="C736" i="4"/>
  <c r="C735" i="4"/>
  <c r="C734" i="4"/>
  <c r="C733" i="4"/>
  <c r="C732" i="4"/>
  <c r="C731" i="4"/>
  <c r="C730" i="4"/>
  <c r="C729" i="4"/>
  <c r="C728" i="4"/>
  <c r="C727" i="4"/>
  <c r="C726" i="4"/>
  <c r="C725" i="4"/>
  <c r="C724" i="4"/>
  <c r="C723" i="4"/>
  <c r="C722" i="4"/>
  <c r="C721" i="4"/>
  <c r="C720" i="4"/>
  <c r="C719" i="4"/>
  <c r="C718" i="4"/>
  <c r="C717" i="4"/>
  <c r="C716" i="4"/>
  <c r="C715" i="4"/>
  <c r="C714" i="4"/>
  <c r="C713" i="4"/>
  <c r="C712" i="4"/>
  <c r="C711" i="4"/>
  <c r="C710" i="4"/>
  <c r="C709" i="4"/>
  <c r="C708" i="4"/>
  <c r="C707" i="4"/>
  <c r="C706" i="4"/>
  <c r="C705" i="4"/>
  <c r="C704" i="4"/>
  <c r="C703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7" i="4"/>
  <c r="C666" i="4"/>
  <c r="C665" i="4"/>
  <c r="C664" i="4"/>
  <c r="C663" i="4"/>
  <c r="C662" i="4"/>
  <c r="C661" i="4"/>
  <c r="C660" i="4"/>
  <c r="C659" i="4"/>
  <c r="C658" i="4"/>
  <c r="C657" i="4"/>
  <c r="C656" i="4"/>
  <c r="C655" i="4"/>
  <c r="C654" i="4"/>
  <c r="C653" i="4"/>
  <c r="C652" i="4"/>
  <c r="C651" i="4"/>
  <c r="C650" i="4"/>
  <c r="C649" i="4"/>
  <c r="C648" i="4"/>
  <c r="C647" i="4"/>
  <c r="C646" i="4"/>
  <c r="C645" i="4"/>
  <c r="C644" i="4"/>
  <c r="C643" i="4"/>
  <c r="C642" i="4"/>
  <c r="C641" i="4"/>
  <c r="C640" i="4"/>
  <c r="C639" i="4"/>
  <c r="C638" i="4"/>
  <c r="C637" i="4"/>
  <c r="C636" i="4"/>
  <c r="C635" i="4"/>
  <c r="C634" i="4"/>
  <c r="C633" i="4"/>
  <c r="C632" i="4"/>
  <c r="C631" i="4"/>
  <c r="C630" i="4"/>
  <c r="C629" i="4"/>
  <c r="C628" i="4"/>
  <c r="C627" i="4"/>
  <c r="C626" i="4"/>
  <c r="C625" i="4"/>
  <c r="C624" i="4"/>
  <c r="C623" i="4"/>
  <c r="C622" i="4"/>
  <c r="C621" i="4"/>
  <c r="C620" i="4"/>
  <c r="C619" i="4"/>
  <c r="C618" i="4"/>
  <c r="C617" i="4"/>
  <c r="C616" i="4"/>
  <c r="C615" i="4"/>
  <c r="C614" i="4"/>
  <c r="C613" i="4"/>
  <c r="C612" i="4"/>
  <c r="C611" i="4"/>
  <c r="C610" i="4"/>
  <c r="C609" i="4"/>
  <c r="C608" i="4"/>
  <c r="C607" i="4"/>
  <c r="C606" i="4"/>
  <c r="C605" i="4"/>
  <c r="C604" i="4"/>
  <c r="C603" i="4"/>
  <c r="C602" i="4"/>
  <c r="C601" i="4"/>
  <c r="C600" i="4"/>
  <c r="C599" i="4"/>
  <c r="C598" i="4"/>
  <c r="C597" i="4"/>
  <c r="C596" i="4"/>
  <c r="C595" i="4"/>
  <c r="C594" i="4"/>
  <c r="C593" i="4"/>
  <c r="C592" i="4"/>
  <c r="C591" i="4"/>
  <c r="C590" i="4"/>
  <c r="C589" i="4"/>
  <c r="C588" i="4"/>
  <c r="C587" i="4"/>
  <c r="C586" i="4"/>
  <c r="C585" i="4"/>
  <c r="C584" i="4"/>
  <c r="C583" i="4"/>
  <c r="C582" i="4"/>
  <c r="C581" i="4"/>
  <c r="C580" i="4"/>
  <c r="C579" i="4"/>
  <c r="C578" i="4"/>
  <c r="C577" i="4"/>
  <c r="C576" i="4"/>
  <c r="C575" i="4"/>
  <c r="C574" i="4"/>
  <c r="C573" i="4"/>
  <c r="C572" i="4"/>
  <c r="C571" i="4"/>
  <c r="C570" i="4"/>
  <c r="C569" i="4"/>
  <c r="C568" i="4"/>
  <c r="C567" i="4"/>
  <c r="C566" i="4"/>
  <c r="C565" i="4"/>
  <c r="C564" i="4"/>
  <c r="C563" i="4"/>
  <c r="C562" i="4"/>
  <c r="C561" i="4"/>
  <c r="C560" i="4"/>
  <c r="C559" i="4"/>
  <c r="C558" i="4"/>
  <c r="C557" i="4"/>
  <c r="C556" i="4"/>
  <c r="C555" i="4"/>
  <c r="C554" i="4"/>
  <c r="C553" i="4"/>
  <c r="C552" i="4"/>
  <c r="C551" i="4"/>
  <c r="C550" i="4"/>
  <c r="C549" i="4"/>
  <c r="C548" i="4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8" i="4"/>
  <c r="C527" i="4"/>
  <c r="C526" i="4"/>
  <c r="C525" i="4"/>
  <c r="C524" i="4"/>
  <c r="C523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503" i="4"/>
  <c r="C502" i="4"/>
  <c r="C501" i="4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29" i="2" l="1"/>
  <c r="C30" i="2" s="1"/>
  <c r="B29" i="2"/>
  <c r="B30" i="2" s="1"/>
  <c r="AA14" i="2"/>
  <c r="C32" i="2"/>
  <c r="C36" i="2" s="1"/>
  <c r="C27" i="2"/>
  <c r="C28" i="2" s="1"/>
  <c r="B27" i="2"/>
  <c r="B28" i="2" s="1"/>
  <c r="A5" i="2"/>
  <c r="P33" i="2"/>
  <c r="P32" i="2"/>
  <c r="B24" i="2"/>
  <c r="B22" i="2"/>
  <c r="B31" i="2" l="1"/>
  <c r="C3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8" saveData="1">
    <webPr sourceData="1" parsePre="1" consecutive="1" xl2000="1" url="http://cdds.corp.ukrail.net/WEBQUERY/WEBQUERY?username=excelreport&amp;wb=ascii_data_pump&amp;ws=dates&amp;p0=[&quot;parameter&quot;,&quot;P_ELR&quot;]&amp;p1=[&quot;parameter&quot;,&quot;P_TRACK&quot;]&amp;p2=[&quot;parameter&quot;,&quot;P_startyardage&quot;]&amp;p3=[&quot;parameter&quot;,&quot;P_endyardage&quot;]"/>
    <parameters count="4">
      <parameter name="parameter" parameterType="cell" cell="Config!$B$22"/>
      <parameter name="parameter" parameterType="cell" cell="Config!$B$24"/>
      <parameter name="parameter" parameterType="cell" cell="Config!$B$31"/>
      <parameter name="parameter" parameterType="cell" cell="Config!$C$31"/>
    </parameters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00000000-0015-0000-FFFF-FFFF01000000}" name="Connection1" type="4" refreshedVersion="8" saveData="1">
    <webPr sourceData="1" parsePre="1" consecutive="1" xl2000="1" url="http://cdds.corp.ukrail.net/WEBQUERY/WEBQUERY?username=excelreport&amp;wb=ascii_data_pump&amp;ws=tids&amp;p0=[&quot;parameter&quot;,&quot;P_ELR&quot;]"/>
    <parameters count="1">
      <parameter name="parameter" parameterType="cell" refreshOnChange="1" cell="Config!$B$22"/>
    </parameters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00000000-0015-0000-FFFF-FFFF02000000}" name="Connection2" type="4" refreshedVersion="2" saveData="1">
    <webPr sourceData="1" parsePre="1" consecutive="1" xl2000="1" url="http://cdds.corp.ukrail.net/WEBQUERY/WEBQUERY?username=excelreport&amp;wb=ascii_data_pump&amp;ws=elrs"/>
  </connection>
  <connection id="4" xr16:uid="{00000000-0015-0000-FFFF-FFFF03000000}" name="Connection3" type="4" refreshedVersion="8" saveData="1">
    <webPr sourceData="1" parsePre="1" consecutive="1" xl2000="1" url="http://cdds.corp.ukrail.net/WEBQUERY/WEBQUERY?username=excelreport&amp;wb=ascii_data_pump&amp;ws=ascii_data_pump_qry&amp;p0=[&quot;parameter&quot;,&quot;P_ELR&quot;]&amp;p1=[&quot;parameter&quot;,&quot;P_Tid&quot;]&amp;p2=[&quot;parameter&quot;,&quot;P_sy&quot;]&amp;p3=[&quot;parameter&quot;,&quot;P_ey&quot;]&amp;p4=[&quot;parameter&quot;,&quot;P_date&quot;]"/>
    <parameters count="5">
      <parameter name="parameter" parameterType="cell" cell="Config!$B$22"/>
      <parameter name="parameter" parameterType="cell" cell="Config!$B$24"/>
      <parameter name="parameter" parameterType="cell" cell="Config!$B$31"/>
      <parameter name="parameter" parameterType="cell" cell="Config!$C$31"/>
      <parameter name="parameter" parameterType="cell" cell="Config!$C$36"/>
    </parameters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<sst xmlns="http://schemas.openxmlformats.org/spreadsheetml/2006/main" count="3341" uniqueCount="2012">
  <si>
    <t>ELR</t>
  </si>
  <si>
    <t>Track Id</t>
  </si>
  <si>
    <t>Dates</t>
  </si>
  <si>
    <t>AAV</t>
  </si>
  <si>
    <t>ABD</t>
  </si>
  <si>
    <t>ABE1</t>
  </si>
  <si>
    <t>ABE2</t>
  </si>
  <si>
    <t>ABW</t>
  </si>
  <si>
    <t>ACP</t>
  </si>
  <si>
    <t>ACR</t>
  </si>
  <si>
    <t>ACW</t>
  </si>
  <si>
    <t>AEG</t>
  </si>
  <si>
    <t>AFE</t>
  </si>
  <si>
    <t>AFL</t>
  </si>
  <si>
    <t>AFR</t>
  </si>
  <si>
    <t>AGW</t>
  </si>
  <si>
    <t>AGY</t>
  </si>
  <si>
    <t>AHG</t>
  </si>
  <si>
    <t>AHX</t>
  </si>
  <si>
    <t>AJB</t>
  </si>
  <si>
    <t>AJM1</t>
  </si>
  <si>
    <t>Selected Parameters Data</t>
  </si>
  <si>
    <t>AJW</t>
  </si>
  <si>
    <t>ELR Index</t>
  </si>
  <si>
    <t>AKE1</t>
  </si>
  <si>
    <t>AKE2</t>
  </si>
  <si>
    <t>Track Index</t>
  </si>
  <si>
    <t>Track ID</t>
  </si>
  <si>
    <t>ALC1</t>
  </si>
  <si>
    <t>ALC2</t>
  </si>
  <si>
    <t>Eighth Index</t>
  </si>
  <si>
    <t>Start Eighth</t>
  </si>
  <si>
    <t>End Eighth</t>
  </si>
  <si>
    <t>ALK</t>
  </si>
  <si>
    <t>AMB</t>
  </si>
  <si>
    <t>milepart</t>
  </si>
  <si>
    <t>AMJ</t>
  </si>
  <si>
    <t>convert to yardage</t>
  </si>
  <si>
    <t>AML</t>
  </si>
  <si>
    <t>eighth part</t>
  </si>
  <si>
    <t>AMY1</t>
  </si>
  <si>
    <t>AMY2</t>
  </si>
  <si>
    <t>total</t>
  </si>
  <si>
    <t>ANI1</t>
  </si>
  <si>
    <t>date</t>
  </si>
  <si>
    <t>ANI2</t>
  </si>
  <si>
    <t>Position Counter</t>
  </si>
  <si>
    <t>Number of Scan</t>
  </si>
  <si>
    <t>ANI3</t>
  </si>
  <si>
    <t>ANL</t>
  </si>
  <si>
    <t>ANN</t>
  </si>
  <si>
    <t>ANS</t>
  </si>
  <si>
    <t>APG</t>
  </si>
  <si>
    <t>APL</t>
  </si>
  <si>
    <t>APS</t>
  </si>
  <si>
    <t>ARG1</t>
  </si>
  <si>
    <t>ARG2</t>
  </si>
  <si>
    <t>ARH</t>
  </si>
  <si>
    <t>ATG</t>
  </si>
  <si>
    <t>ATH</t>
  </si>
  <si>
    <t>ATL</t>
  </si>
  <si>
    <t>AWC1</t>
  </si>
  <si>
    <t>AWL</t>
  </si>
  <si>
    <t>AWP</t>
  </si>
  <si>
    <t>AYH1</t>
  </si>
  <si>
    <t>AYH2</t>
  </si>
  <si>
    <t>AYR1</t>
  </si>
  <si>
    <t>AYR2</t>
  </si>
  <si>
    <t>AYR3</t>
  </si>
  <si>
    <t>AYR4</t>
  </si>
  <si>
    <t>AYR5</t>
  </si>
  <si>
    <t>AYR6</t>
  </si>
  <si>
    <t>AYS</t>
  </si>
  <si>
    <t>BAC2</t>
  </si>
  <si>
    <t>BAC3</t>
  </si>
  <si>
    <t>BAE1</t>
  </si>
  <si>
    <t>BAE2</t>
  </si>
  <si>
    <t>BAG1</t>
  </si>
  <si>
    <t>BAG2</t>
  </si>
  <si>
    <t>BAH1</t>
  </si>
  <si>
    <t>BAH2</t>
  </si>
  <si>
    <t>BAK</t>
  </si>
  <si>
    <t>BAL</t>
  </si>
  <si>
    <t>BAN1</t>
  </si>
  <si>
    <t>BAN2</t>
  </si>
  <si>
    <t>BAR</t>
  </si>
  <si>
    <t>BAW</t>
  </si>
  <si>
    <t>BAY</t>
  </si>
  <si>
    <t>BBB</t>
  </si>
  <si>
    <t>BBD9</t>
  </si>
  <si>
    <t>BBJ</t>
  </si>
  <si>
    <t>BBM</t>
  </si>
  <si>
    <t>BBR</t>
  </si>
  <si>
    <t>BBS</t>
  </si>
  <si>
    <t>BBS1</t>
  </si>
  <si>
    <t>BBS2</t>
  </si>
  <si>
    <t>BBS3</t>
  </si>
  <si>
    <t>BBS4</t>
  </si>
  <si>
    <t>BBW</t>
  </si>
  <si>
    <t>BCB</t>
  </si>
  <si>
    <t>BCE</t>
  </si>
  <si>
    <t>BCH</t>
  </si>
  <si>
    <t>BCJ</t>
  </si>
  <si>
    <t>BCR</t>
  </si>
  <si>
    <t>BCV</t>
  </si>
  <si>
    <t>BDH</t>
  </si>
  <si>
    <t>BDL</t>
  </si>
  <si>
    <t>BDM</t>
  </si>
  <si>
    <t>BDN</t>
  </si>
  <si>
    <t>BDO</t>
  </si>
  <si>
    <t>BDO2</t>
  </si>
  <si>
    <t>BDS</t>
  </si>
  <si>
    <t>BEA</t>
  </si>
  <si>
    <t>BEC</t>
  </si>
  <si>
    <t>BEI</t>
  </si>
  <si>
    <t>BEJ</t>
  </si>
  <si>
    <t>BEM</t>
  </si>
  <si>
    <t>BEN</t>
  </si>
  <si>
    <t>BEW</t>
  </si>
  <si>
    <t>BEX</t>
  </si>
  <si>
    <t>BFB</t>
  </si>
  <si>
    <t>BFG</t>
  </si>
  <si>
    <t>BFO</t>
  </si>
  <si>
    <t>BGD</t>
  </si>
  <si>
    <t>BGE</t>
  </si>
  <si>
    <t>BGH</t>
  </si>
  <si>
    <t>BGK</t>
  </si>
  <si>
    <t>BGL1</t>
  </si>
  <si>
    <t>BGL2</t>
  </si>
  <si>
    <t>BHB</t>
  </si>
  <si>
    <t>BHI</t>
  </si>
  <si>
    <t>BHI1</t>
  </si>
  <si>
    <t>BHL</t>
  </si>
  <si>
    <t>BHM</t>
  </si>
  <si>
    <t>BHP</t>
  </si>
  <si>
    <t>BIB</t>
  </si>
  <si>
    <t>BID</t>
  </si>
  <si>
    <t>BIK</t>
  </si>
  <si>
    <t>BJN1</t>
  </si>
  <si>
    <t>BJN2</t>
  </si>
  <si>
    <t>BJR</t>
  </si>
  <si>
    <t>BJW1</t>
  </si>
  <si>
    <t>BJW2</t>
  </si>
  <si>
    <t>BJW3</t>
  </si>
  <si>
    <t>BKE</t>
  </si>
  <si>
    <t>BKS</t>
  </si>
  <si>
    <t>BLC</t>
  </si>
  <si>
    <t>BLI1</t>
  </si>
  <si>
    <t>BLI2</t>
  </si>
  <si>
    <t>BLJ</t>
  </si>
  <si>
    <t>BLL</t>
  </si>
  <si>
    <t>BLP</t>
  </si>
  <si>
    <t>BLT1</t>
  </si>
  <si>
    <t>BLT2</t>
  </si>
  <si>
    <t>BLT3</t>
  </si>
  <si>
    <t>BLW</t>
  </si>
  <si>
    <t>BMD</t>
  </si>
  <si>
    <t>BME1</t>
  </si>
  <si>
    <t>BME2</t>
  </si>
  <si>
    <t>BMJ</t>
  </si>
  <si>
    <t>BML1</t>
  </si>
  <si>
    <t>BML2</t>
  </si>
  <si>
    <t>BML3</t>
  </si>
  <si>
    <t>BNC</t>
  </si>
  <si>
    <t>BNE</t>
  </si>
  <si>
    <t>BNG</t>
  </si>
  <si>
    <t>BNN</t>
  </si>
  <si>
    <t>BNW</t>
  </si>
  <si>
    <t>BNY1</t>
  </si>
  <si>
    <t>BOC1</t>
  </si>
  <si>
    <t>BOH</t>
  </si>
  <si>
    <t>BOK1</t>
  </si>
  <si>
    <t>BOK2</t>
  </si>
  <si>
    <t>BOK3</t>
  </si>
  <si>
    <t>BOK4</t>
  </si>
  <si>
    <t>BOK5</t>
  </si>
  <si>
    <t>BOK6</t>
  </si>
  <si>
    <t>BOO</t>
  </si>
  <si>
    <t>BPC</t>
  </si>
  <si>
    <t>BPH</t>
  </si>
  <si>
    <t>BPO</t>
  </si>
  <si>
    <t>BPP</t>
  </si>
  <si>
    <t>BRA</t>
  </si>
  <si>
    <t>BRB</t>
  </si>
  <si>
    <t>BRD</t>
  </si>
  <si>
    <t>BRI1</t>
  </si>
  <si>
    <t>BRI2</t>
  </si>
  <si>
    <t>BRL</t>
  </si>
  <si>
    <t>BRY</t>
  </si>
  <si>
    <t>BSC</t>
  </si>
  <si>
    <t>BSD1</t>
  </si>
  <si>
    <t>BSD3</t>
  </si>
  <si>
    <t>BSD4</t>
  </si>
  <si>
    <t>BSF</t>
  </si>
  <si>
    <t>BSJ</t>
  </si>
  <si>
    <t>BSN</t>
  </si>
  <si>
    <t>BSP1</t>
  </si>
  <si>
    <t>BSP2</t>
  </si>
  <si>
    <t>BSW</t>
  </si>
  <si>
    <t>BTB</t>
  </si>
  <si>
    <t>BTC</t>
  </si>
  <si>
    <t>BTH1</t>
  </si>
  <si>
    <t>BTH2</t>
  </si>
  <si>
    <t>BTH3</t>
  </si>
  <si>
    <t>BTJ</t>
  </si>
  <si>
    <t>BTL</t>
  </si>
  <si>
    <t>BUT</t>
  </si>
  <si>
    <t>BUX</t>
  </si>
  <si>
    <t>BWC</t>
  </si>
  <si>
    <t>BWO1</t>
  </si>
  <si>
    <t>BWO2</t>
  </si>
  <si>
    <t>BWW</t>
  </si>
  <si>
    <t>BYK</t>
  </si>
  <si>
    <t>BYL</t>
  </si>
  <si>
    <t>CAL</t>
  </si>
  <si>
    <t>CAM</t>
  </si>
  <si>
    <t>CAN</t>
  </si>
  <si>
    <t>CAR</t>
  </si>
  <si>
    <t>CAT</t>
  </si>
  <si>
    <t>CAW</t>
  </si>
  <si>
    <t>CBC1</t>
  </si>
  <si>
    <t>CBC2</t>
  </si>
  <si>
    <t>CBC3</t>
  </si>
  <si>
    <t>CBD1</t>
  </si>
  <si>
    <t>CBD2</t>
  </si>
  <si>
    <t>CBM</t>
  </si>
  <si>
    <t>CBR1</t>
  </si>
  <si>
    <t>CBR2</t>
  </si>
  <si>
    <t>CCB1</t>
  </si>
  <si>
    <t>CCC</t>
  </si>
  <si>
    <t>CCD</t>
  </si>
  <si>
    <t>CCG2</t>
  </si>
  <si>
    <t>CCH</t>
  </si>
  <si>
    <t>CCL</t>
  </si>
  <si>
    <t>CCN</t>
  </si>
  <si>
    <t>CCQ1</t>
  </si>
  <si>
    <t>CCQ2</t>
  </si>
  <si>
    <t>CCS</t>
  </si>
  <si>
    <t>CCS1</t>
  </si>
  <si>
    <t>CCS2</t>
  </si>
  <si>
    <t>CDC1</t>
  </si>
  <si>
    <t>CDC2</t>
  </si>
  <si>
    <t>CDK1</t>
  </si>
  <si>
    <t>CDK2</t>
  </si>
  <si>
    <t>CDK3</t>
  </si>
  <si>
    <t>CDK4</t>
  </si>
  <si>
    <t>CDM1</t>
  </si>
  <si>
    <t>CDM2</t>
  </si>
  <si>
    <t>CDM3</t>
  </si>
  <si>
    <t>CDY</t>
  </si>
  <si>
    <t>CEC</t>
  </si>
  <si>
    <t>CEH</t>
  </si>
  <si>
    <t>CEJ</t>
  </si>
  <si>
    <t>CEM</t>
  </si>
  <si>
    <t>CER</t>
  </si>
  <si>
    <t>CFB</t>
  </si>
  <si>
    <t>CFJ</t>
  </si>
  <si>
    <t>CFM</t>
  </si>
  <si>
    <t>CFP</t>
  </si>
  <si>
    <t>CGJ1</t>
  </si>
  <si>
    <t>CGJ2</t>
  </si>
  <si>
    <t>CGJ3</t>
  </si>
  <si>
    <t>CGJ4</t>
  </si>
  <si>
    <t>CGJ5</t>
  </si>
  <si>
    <t>CGJ6</t>
  </si>
  <si>
    <t>CGJ7</t>
  </si>
  <si>
    <t>CHE</t>
  </si>
  <si>
    <t>CHL</t>
  </si>
  <si>
    <t>CHM</t>
  </si>
  <si>
    <t>CHR</t>
  </si>
  <si>
    <t>CHS</t>
  </si>
  <si>
    <t>CHW1</t>
  </si>
  <si>
    <t>CHW2</t>
  </si>
  <si>
    <t>CIL</t>
  </si>
  <si>
    <t>CJA1</t>
  </si>
  <si>
    <t>CJA2</t>
  </si>
  <si>
    <t>CJC</t>
  </si>
  <si>
    <t>CJL</t>
  </si>
  <si>
    <t>CJS</t>
  </si>
  <si>
    <t>CKL</t>
  </si>
  <si>
    <t>CKT</t>
  </si>
  <si>
    <t>CLA9</t>
  </si>
  <si>
    <t>CLB</t>
  </si>
  <si>
    <t>CLH1</t>
  </si>
  <si>
    <t>CLJ8</t>
  </si>
  <si>
    <t>CLJ9</t>
  </si>
  <si>
    <t>CLL</t>
  </si>
  <si>
    <t>CLY</t>
  </si>
  <si>
    <t>CMD1</t>
  </si>
  <si>
    <t>CMD2</t>
  </si>
  <si>
    <t>CMG</t>
  </si>
  <si>
    <t>CMJ</t>
  </si>
  <si>
    <t>CMM</t>
  </si>
  <si>
    <t>CMP1</t>
  </si>
  <si>
    <t>CMP2</t>
  </si>
  <si>
    <t>CMS</t>
  </si>
  <si>
    <t>CNB1</t>
  </si>
  <si>
    <t>CNB2</t>
  </si>
  <si>
    <t>CNB3</t>
  </si>
  <si>
    <t>CNB4</t>
  </si>
  <si>
    <t>CNC</t>
  </si>
  <si>
    <t>CND1</t>
  </si>
  <si>
    <t>CND2</t>
  </si>
  <si>
    <t>CNH1</t>
  </si>
  <si>
    <t>CNH2</t>
  </si>
  <si>
    <t>CNH3</t>
  </si>
  <si>
    <t>CNL</t>
  </si>
  <si>
    <t>CNN</t>
  </si>
  <si>
    <t>CNS</t>
  </si>
  <si>
    <t>CNW</t>
  </si>
  <si>
    <t>CNX</t>
  </si>
  <si>
    <t>COC</t>
  </si>
  <si>
    <t>COL</t>
  </si>
  <si>
    <t>CON1</t>
  </si>
  <si>
    <t>CON2</t>
  </si>
  <si>
    <t>CON3</t>
  </si>
  <si>
    <t>COS1</t>
  </si>
  <si>
    <t>COS2</t>
  </si>
  <si>
    <t>CPC</t>
  </si>
  <si>
    <t>CPH</t>
  </si>
  <si>
    <t>CPI1</t>
  </si>
  <si>
    <t>CPI2</t>
  </si>
  <si>
    <t>CPL</t>
  </si>
  <si>
    <t>CPM1</t>
  </si>
  <si>
    <t>CPM2</t>
  </si>
  <si>
    <t>CPS</t>
  </si>
  <si>
    <t>CQR</t>
  </si>
  <si>
    <t>CR 3</t>
  </si>
  <si>
    <t>CRA</t>
  </si>
  <si>
    <t>CRC1</t>
  </si>
  <si>
    <t>CRC2</t>
  </si>
  <si>
    <t>CRE</t>
  </si>
  <si>
    <t>CRF1</t>
  </si>
  <si>
    <t>CRF2</t>
  </si>
  <si>
    <t>CRF3</t>
  </si>
  <si>
    <t>CRL</t>
  </si>
  <si>
    <t>CRN</t>
  </si>
  <si>
    <t>CRR1</t>
  </si>
  <si>
    <t>CRR2</t>
  </si>
  <si>
    <t>CRS</t>
  </si>
  <si>
    <t>CRY</t>
  </si>
  <si>
    <t>CSD</t>
  </si>
  <si>
    <t>CSG</t>
  </si>
  <si>
    <t>CSM1</t>
  </si>
  <si>
    <t>CSM2</t>
  </si>
  <si>
    <t>CSM3</t>
  </si>
  <si>
    <t>CSN</t>
  </si>
  <si>
    <t>CSP</t>
  </si>
  <si>
    <t>CST</t>
  </si>
  <si>
    <t>CSW</t>
  </si>
  <si>
    <t>CTC</t>
  </si>
  <si>
    <t>CTH</t>
  </si>
  <si>
    <t>CTL</t>
  </si>
  <si>
    <t>CTP</t>
  </si>
  <si>
    <t>CVL</t>
  </si>
  <si>
    <t>CVS</t>
  </si>
  <si>
    <t>CWH1</t>
  </si>
  <si>
    <t>CWH2</t>
  </si>
  <si>
    <t>CWH3</t>
  </si>
  <si>
    <t>CWJ</t>
  </si>
  <si>
    <t>CWK1</t>
  </si>
  <si>
    <t>CWK2</t>
  </si>
  <si>
    <t>CWK3</t>
  </si>
  <si>
    <t>CWL1</t>
  </si>
  <si>
    <t>CWL2</t>
  </si>
  <si>
    <t>CWR</t>
  </si>
  <si>
    <t>CWS</t>
  </si>
  <si>
    <t>CWT</t>
  </si>
  <si>
    <t>CYA</t>
  </si>
  <si>
    <t>CYC</t>
  </si>
  <si>
    <t>CYD</t>
  </si>
  <si>
    <t>CYY</t>
  </si>
  <si>
    <t>DAC</t>
  </si>
  <si>
    <t>DAE1</t>
  </si>
  <si>
    <t>DAE2</t>
  </si>
  <si>
    <t>DAE3</t>
  </si>
  <si>
    <t>DAN</t>
  </si>
  <si>
    <t>DAP</t>
  </si>
  <si>
    <t>DBP1</t>
  </si>
  <si>
    <t>DBP2</t>
  </si>
  <si>
    <t>DBP3</t>
  </si>
  <si>
    <t>DCL</t>
  </si>
  <si>
    <t>DDB</t>
  </si>
  <si>
    <t>DDY</t>
  </si>
  <si>
    <t>DEC</t>
  </si>
  <si>
    <t>DEX</t>
  </si>
  <si>
    <t>DFN</t>
  </si>
  <si>
    <t>DHF</t>
  </si>
  <si>
    <t>DJH</t>
  </si>
  <si>
    <t>DJO1</t>
  </si>
  <si>
    <t>DJO2</t>
  </si>
  <si>
    <t>DJP</t>
  </si>
  <si>
    <t>DJW</t>
  </si>
  <si>
    <t>DLB</t>
  </si>
  <si>
    <t>DLS</t>
  </si>
  <si>
    <t>DMY</t>
  </si>
  <si>
    <t>DOC</t>
  </si>
  <si>
    <t>DOL1</t>
  </si>
  <si>
    <t>DOL2</t>
  </si>
  <si>
    <t>DOW</t>
  </si>
  <si>
    <t>DPJ</t>
  </si>
  <si>
    <t>DPS</t>
  </si>
  <si>
    <t>DRA1</t>
  </si>
  <si>
    <t>DRA2</t>
  </si>
  <si>
    <t>DRN</t>
  </si>
  <si>
    <t>DRS1</t>
  </si>
  <si>
    <t>DRS2</t>
  </si>
  <si>
    <t>DRS3</t>
  </si>
  <si>
    <t>DSD</t>
  </si>
  <si>
    <t>DSE</t>
  </si>
  <si>
    <t>DSN1</t>
  </si>
  <si>
    <t>DSN2</t>
  </si>
  <si>
    <t>DSN3</t>
  </si>
  <si>
    <t>DSS</t>
  </si>
  <si>
    <t>DSY</t>
  </si>
  <si>
    <t>DUY</t>
  </si>
  <si>
    <t>DWC</t>
  </si>
  <si>
    <t>DWS</t>
  </si>
  <si>
    <t>DWW1</t>
  </si>
  <si>
    <t>DWW2</t>
  </si>
  <si>
    <t>DWY</t>
  </si>
  <si>
    <t>EBW</t>
  </si>
  <si>
    <t>ECA1</t>
  </si>
  <si>
    <t>ECA2</t>
  </si>
  <si>
    <t>ECA3</t>
  </si>
  <si>
    <t>ECM1</t>
  </si>
  <si>
    <t>ECM2</t>
  </si>
  <si>
    <t>ECM3</t>
  </si>
  <si>
    <t>ECM4</t>
  </si>
  <si>
    <t>ECM5</t>
  </si>
  <si>
    <t>ECM6</t>
  </si>
  <si>
    <t>ECM7</t>
  </si>
  <si>
    <t>ECM8</t>
  </si>
  <si>
    <t>ECM9</t>
  </si>
  <si>
    <t>ECN1</t>
  </si>
  <si>
    <t>ECN2</t>
  </si>
  <si>
    <t>ECN3</t>
  </si>
  <si>
    <t>ECN4</t>
  </si>
  <si>
    <t>ECN5</t>
  </si>
  <si>
    <t>ECR</t>
  </si>
  <si>
    <t>EDC</t>
  </si>
  <si>
    <t>EDE</t>
  </si>
  <si>
    <t>EEE</t>
  </si>
  <si>
    <t>EFL</t>
  </si>
  <si>
    <t>EGG1</t>
  </si>
  <si>
    <t>EGG2</t>
  </si>
  <si>
    <t>EGM1</t>
  </si>
  <si>
    <t>EGM2</t>
  </si>
  <si>
    <t>EGM3</t>
  </si>
  <si>
    <t>EGM4</t>
  </si>
  <si>
    <t>EGS1</t>
  </si>
  <si>
    <t>EGS2</t>
  </si>
  <si>
    <t>EHW</t>
  </si>
  <si>
    <t>EJM</t>
  </si>
  <si>
    <t>EJN</t>
  </si>
  <si>
    <t>EKE</t>
  </si>
  <si>
    <t>EKR</t>
  </si>
  <si>
    <t>ELN</t>
  </si>
  <si>
    <t>ELY</t>
  </si>
  <si>
    <t>EMP</t>
  </si>
  <si>
    <t>EMT</t>
  </si>
  <si>
    <t>ENT</t>
  </si>
  <si>
    <t>ERB</t>
  </si>
  <si>
    <t>ERY</t>
  </si>
  <si>
    <t>ESB</t>
  </si>
  <si>
    <t>ESK</t>
  </si>
  <si>
    <t>ETC</t>
  </si>
  <si>
    <t>ETF</t>
  </si>
  <si>
    <t>ETN</t>
  </si>
  <si>
    <t>ETW</t>
  </si>
  <si>
    <t>ETY</t>
  </si>
  <si>
    <t>EUB</t>
  </si>
  <si>
    <t>EUJ</t>
  </si>
  <si>
    <t>EWC</t>
  </si>
  <si>
    <t>EWG</t>
  </si>
  <si>
    <t>EXR</t>
  </si>
  <si>
    <t>EYD1</t>
  </si>
  <si>
    <t>EYD2</t>
  </si>
  <si>
    <t>EYD3</t>
  </si>
  <si>
    <t>EYD4</t>
  </si>
  <si>
    <t>EYD5</t>
  </si>
  <si>
    <t>EYD6</t>
  </si>
  <si>
    <t>EYD7</t>
  </si>
  <si>
    <t>EYD8</t>
  </si>
  <si>
    <t>EYD9</t>
  </si>
  <si>
    <t>FAL1</t>
  </si>
  <si>
    <t>FAL2</t>
  </si>
  <si>
    <t>FAL3</t>
  </si>
  <si>
    <t>FAS</t>
  </si>
  <si>
    <t>FCL1</t>
  </si>
  <si>
    <t>FCO</t>
  </si>
  <si>
    <t>FDM</t>
  </si>
  <si>
    <t>FEC</t>
  </si>
  <si>
    <t>FED</t>
  </si>
  <si>
    <t>FEL</t>
  </si>
  <si>
    <t>FEP</t>
  </si>
  <si>
    <t>FFH1</t>
  </si>
  <si>
    <t>FFH2</t>
  </si>
  <si>
    <t>FGW</t>
  </si>
  <si>
    <t>FHG</t>
  </si>
  <si>
    <t>FHR1</t>
  </si>
  <si>
    <t>FHR2</t>
  </si>
  <si>
    <t>FHR3</t>
  </si>
  <si>
    <t>FHR4</t>
  </si>
  <si>
    <t>FHR5</t>
  </si>
  <si>
    <t>FHR6</t>
  </si>
  <si>
    <t>FJH</t>
  </si>
  <si>
    <t>FJJ</t>
  </si>
  <si>
    <t>FJL</t>
  </si>
  <si>
    <t>FJS</t>
  </si>
  <si>
    <t>FKW</t>
  </si>
  <si>
    <t>FLL1</t>
  </si>
  <si>
    <t>FLL2</t>
  </si>
  <si>
    <t>FLL3</t>
  </si>
  <si>
    <t>FNS1</t>
  </si>
  <si>
    <t>FNS2</t>
  </si>
  <si>
    <t>FOG</t>
  </si>
  <si>
    <t>FOM</t>
  </si>
  <si>
    <t>FOR</t>
  </si>
  <si>
    <t>FOY</t>
  </si>
  <si>
    <t>FRA</t>
  </si>
  <si>
    <t>FRC1</t>
  </si>
  <si>
    <t>FRY</t>
  </si>
  <si>
    <t>FSH</t>
  </si>
  <si>
    <t>FSS1</t>
  </si>
  <si>
    <t>FSS2</t>
  </si>
  <si>
    <t>FSS3</t>
  </si>
  <si>
    <t>FTB</t>
  </si>
  <si>
    <t>FTL</t>
  </si>
  <si>
    <t>FUR</t>
  </si>
  <si>
    <t>FWC</t>
  </si>
  <si>
    <t>FWR1</t>
  </si>
  <si>
    <t>FWR2</t>
  </si>
  <si>
    <t>GAE</t>
  </si>
  <si>
    <t>GAW1</t>
  </si>
  <si>
    <t>GAW2</t>
  </si>
  <si>
    <t>GBK</t>
  </si>
  <si>
    <t>GBN</t>
  </si>
  <si>
    <t>GBS1</t>
  </si>
  <si>
    <t>GBS2</t>
  </si>
  <si>
    <t>GCD</t>
  </si>
  <si>
    <t>GDL</t>
  </si>
  <si>
    <t>GDW</t>
  </si>
  <si>
    <t>GEC</t>
  </si>
  <si>
    <t>GES</t>
  </si>
  <si>
    <t>GFB</t>
  </si>
  <si>
    <t>GGE</t>
  </si>
  <si>
    <t>GHE</t>
  </si>
  <si>
    <t>GHL</t>
  </si>
  <si>
    <t>GHM</t>
  </si>
  <si>
    <t>GIF1</t>
  </si>
  <si>
    <t>GIF2</t>
  </si>
  <si>
    <t>GIF3</t>
  </si>
  <si>
    <t>GIF4</t>
  </si>
  <si>
    <t>GIR</t>
  </si>
  <si>
    <t>GJB1</t>
  </si>
  <si>
    <t>GJB2</t>
  </si>
  <si>
    <t>GJC</t>
  </si>
  <si>
    <t>GJH</t>
  </si>
  <si>
    <t>GLA</t>
  </si>
  <si>
    <t>GLD</t>
  </si>
  <si>
    <t>GLT</t>
  </si>
  <si>
    <t>GMC</t>
  </si>
  <si>
    <t>GMH</t>
  </si>
  <si>
    <t>GNE</t>
  </si>
  <si>
    <t>GNN</t>
  </si>
  <si>
    <t>GNQ1</t>
  </si>
  <si>
    <t>GNQ2</t>
  </si>
  <si>
    <t>GNQ3</t>
  </si>
  <si>
    <t>GNT</t>
  </si>
  <si>
    <t>GNY2</t>
  </si>
  <si>
    <t>GOB</t>
  </si>
  <si>
    <t>GOJ</t>
  </si>
  <si>
    <t>GOU1</t>
  </si>
  <si>
    <t>GOU2</t>
  </si>
  <si>
    <t>GRD</t>
  </si>
  <si>
    <t>GRE</t>
  </si>
  <si>
    <t>GRS1</t>
  </si>
  <si>
    <t>GRS2</t>
  </si>
  <si>
    <t>GRS3</t>
  </si>
  <si>
    <t>GRS4</t>
  </si>
  <si>
    <t>GRW</t>
  </si>
  <si>
    <t>GSG</t>
  </si>
  <si>
    <t>GSJ1</t>
  </si>
  <si>
    <t>GSJ2</t>
  </si>
  <si>
    <t>GSM1</t>
  </si>
  <si>
    <t>GSM2</t>
  </si>
  <si>
    <t>GSM3</t>
  </si>
  <si>
    <t>GSM4</t>
  </si>
  <si>
    <t>GSW</t>
  </si>
  <si>
    <t>GTP1</t>
  </si>
  <si>
    <t>GTP2</t>
  </si>
  <si>
    <t>GTP3</t>
  </si>
  <si>
    <t>GTW1</t>
  </si>
  <si>
    <t>GTW2</t>
  </si>
  <si>
    <t>GUD</t>
  </si>
  <si>
    <t>GUE2</t>
  </si>
  <si>
    <t>GWA</t>
  </si>
  <si>
    <t>HAC</t>
  </si>
  <si>
    <t>HAG</t>
  </si>
  <si>
    <t>HAH1</t>
  </si>
  <si>
    <t>HAH2</t>
  </si>
  <si>
    <t>HAJ</t>
  </si>
  <si>
    <t>HAM</t>
  </si>
  <si>
    <t>HAN</t>
  </si>
  <si>
    <t>HAR</t>
  </si>
  <si>
    <t>HAS</t>
  </si>
  <si>
    <t>HAU</t>
  </si>
  <si>
    <t>HAY1</t>
  </si>
  <si>
    <t>HAY2</t>
  </si>
  <si>
    <t>HBL</t>
  </si>
  <si>
    <t>HBS</t>
  </si>
  <si>
    <t>HCD</t>
  </si>
  <si>
    <t>HCM2</t>
  </si>
  <si>
    <t>HCM3</t>
  </si>
  <si>
    <t>HCN</t>
  </si>
  <si>
    <t>HCS</t>
  </si>
  <si>
    <t>HDB</t>
  </si>
  <si>
    <t>HDC</t>
  </si>
  <si>
    <t>HDR</t>
  </si>
  <si>
    <t>HDT</t>
  </si>
  <si>
    <t>HDY</t>
  </si>
  <si>
    <t>HEB</t>
  </si>
  <si>
    <t>HED</t>
  </si>
  <si>
    <t>HEG</t>
  </si>
  <si>
    <t>HEM</t>
  </si>
  <si>
    <t>HEN</t>
  </si>
  <si>
    <t>HGC</t>
  </si>
  <si>
    <t>HGG1</t>
  </si>
  <si>
    <t>HGL1</t>
  </si>
  <si>
    <t>HGL2</t>
  </si>
  <si>
    <t>HGP6</t>
  </si>
  <si>
    <t>HGP7</t>
  </si>
  <si>
    <t>HGP8</t>
  </si>
  <si>
    <t>HGP9</t>
  </si>
  <si>
    <t>HHH</t>
  </si>
  <si>
    <t>HHJ</t>
  </si>
  <si>
    <t>HHT</t>
  </si>
  <si>
    <t>HHW</t>
  </si>
  <si>
    <t>HIL</t>
  </si>
  <si>
    <t>HIM</t>
  </si>
  <si>
    <t>HIW</t>
  </si>
  <si>
    <t>HJB</t>
  </si>
  <si>
    <t>HJM</t>
  </si>
  <si>
    <t>HJS</t>
  </si>
  <si>
    <t>HJW</t>
  </si>
  <si>
    <t>HLD</t>
  </si>
  <si>
    <t>HLF1</t>
  </si>
  <si>
    <t>HLF2</t>
  </si>
  <si>
    <t>HLK</t>
  </si>
  <si>
    <t>HLL</t>
  </si>
  <si>
    <t>HMN1</t>
  </si>
  <si>
    <t>HMN2</t>
  </si>
  <si>
    <t>HNB</t>
  </si>
  <si>
    <t>HNC</t>
  </si>
  <si>
    <t>HND1</t>
  </si>
  <si>
    <t>HNL1</t>
  </si>
  <si>
    <t>HNL2</t>
  </si>
  <si>
    <t>HNO</t>
  </si>
  <si>
    <t>HNR</t>
  </si>
  <si>
    <t>HNS</t>
  </si>
  <si>
    <t>HOB2</t>
  </si>
  <si>
    <t>HON</t>
  </si>
  <si>
    <t>HOS</t>
  </si>
  <si>
    <t>HOT</t>
  </si>
  <si>
    <t>HOU</t>
  </si>
  <si>
    <t>HPC</t>
  </si>
  <si>
    <t>HPQ</t>
  </si>
  <si>
    <t>HPW</t>
  </si>
  <si>
    <t>HRD1</t>
  </si>
  <si>
    <t>HRD2</t>
  </si>
  <si>
    <t>HSA</t>
  </si>
  <si>
    <t>HSC</t>
  </si>
  <si>
    <t>HSE</t>
  </si>
  <si>
    <t>HSJ</t>
  </si>
  <si>
    <t>HST</t>
  </si>
  <si>
    <t>HTG</t>
  </si>
  <si>
    <t>HTW</t>
  </si>
  <si>
    <t>HUE</t>
  </si>
  <si>
    <t>HUL1</t>
  </si>
  <si>
    <t>HUL2</t>
  </si>
  <si>
    <t>HUL3</t>
  </si>
  <si>
    <t>HUL4</t>
  </si>
  <si>
    <t>HUN</t>
  </si>
  <si>
    <t>HWG</t>
  </si>
  <si>
    <t>HXS1</t>
  </si>
  <si>
    <t>HXS2</t>
  </si>
  <si>
    <t>HXS3</t>
  </si>
  <si>
    <t>HYD</t>
  </si>
  <si>
    <t>HYM</t>
  </si>
  <si>
    <t>ICS</t>
  </si>
  <si>
    <t>IGE</t>
  </si>
  <si>
    <t>ILK1</t>
  </si>
  <si>
    <t>ILK2</t>
  </si>
  <si>
    <t>IMG</t>
  </si>
  <si>
    <t>IMS</t>
  </si>
  <si>
    <t>INS</t>
  </si>
  <si>
    <t>INW</t>
  </si>
  <si>
    <t>IOW</t>
  </si>
  <si>
    <t>IPD</t>
  </si>
  <si>
    <t>IRE</t>
  </si>
  <si>
    <t>ISC</t>
  </si>
  <si>
    <t>IUP</t>
  </si>
  <si>
    <t>JAT</t>
  </si>
  <si>
    <t>JAW1</t>
  </si>
  <si>
    <t>JAW2</t>
  </si>
  <si>
    <t>JCA</t>
  </si>
  <si>
    <t>JER</t>
  </si>
  <si>
    <t>JMM</t>
  </si>
  <si>
    <t>JRT1</t>
  </si>
  <si>
    <t>JRT2</t>
  </si>
  <si>
    <t>JVN</t>
  </si>
  <si>
    <t>JWT</t>
  </si>
  <si>
    <t>JYL</t>
  </si>
  <si>
    <t>KBC</t>
  </si>
  <si>
    <t>KBF</t>
  </si>
  <si>
    <t>KBS1</t>
  </si>
  <si>
    <t>KCH1</t>
  </si>
  <si>
    <t>KCH2</t>
  </si>
  <si>
    <t>KCS1</t>
  </si>
  <si>
    <t>KEB</t>
  </si>
  <si>
    <t>KES</t>
  </si>
  <si>
    <t>KGC</t>
  </si>
  <si>
    <t>KGW</t>
  </si>
  <si>
    <t>KHL</t>
  </si>
  <si>
    <t>KID1</t>
  </si>
  <si>
    <t>KID2</t>
  </si>
  <si>
    <t>KIL1</t>
  </si>
  <si>
    <t>KIL2</t>
  </si>
  <si>
    <t>KJE1</t>
  </si>
  <si>
    <t>KJE2</t>
  </si>
  <si>
    <t>KJE3</t>
  </si>
  <si>
    <t>KJW</t>
  </si>
  <si>
    <t>KLT</t>
  </si>
  <si>
    <t>KMG1</t>
  </si>
  <si>
    <t>KMG2</t>
  </si>
  <si>
    <t>KNE1</t>
  </si>
  <si>
    <t>KNE2</t>
  </si>
  <si>
    <t>KSH</t>
  </si>
  <si>
    <t>KSL</t>
  </si>
  <si>
    <t>KWD</t>
  </si>
  <si>
    <t>KWS</t>
  </si>
  <si>
    <t>KYL</t>
  </si>
  <si>
    <t>LAN1</t>
  </si>
  <si>
    <t>LAS</t>
  </si>
  <si>
    <t>LAV</t>
  </si>
  <si>
    <t>LBC</t>
  </si>
  <si>
    <t>LBE1</t>
  </si>
  <si>
    <t>LBE2</t>
  </si>
  <si>
    <t>LBE3</t>
  </si>
  <si>
    <t>LBE4</t>
  </si>
  <si>
    <t>LBW</t>
  </si>
  <si>
    <t>LCH</t>
  </si>
  <si>
    <t>LCJ</t>
  </si>
  <si>
    <t>LCN</t>
  </si>
  <si>
    <t>LCR</t>
  </si>
  <si>
    <t>LDA</t>
  </si>
  <si>
    <t>LDB</t>
  </si>
  <si>
    <t>LDD</t>
  </si>
  <si>
    <t>LEC1</t>
  </si>
  <si>
    <t>LEC2</t>
  </si>
  <si>
    <t>LEC3</t>
  </si>
  <si>
    <t>LEC4</t>
  </si>
  <si>
    <t>LEC5</t>
  </si>
  <si>
    <t>LED</t>
  </si>
  <si>
    <t>LEE</t>
  </si>
  <si>
    <t>LEH1</t>
  </si>
  <si>
    <t>LEH2</t>
  </si>
  <si>
    <t>LEH3</t>
  </si>
  <si>
    <t>LEJ</t>
  </si>
  <si>
    <t>LEL</t>
  </si>
  <si>
    <t>LEN2</t>
  </si>
  <si>
    <t>LEN3</t>
  </si>
  <si>
    <t>LFS1</t>
  </si>
  <si>
    <t>LFS2</t>
  </si>
  <si>
    <t>LGS1</t>
  </si>
  <si>
    <t>LGS2</t>
  </si>
  <si>
    <t>LHL</t>
  </si>
  <si>
    <t>LHS1</t>
  </si>
  <si>
    <t>LIJ</t>
  </si>
  <si>
    <t>LIL</t>
  </si>
  <si>
    <t>LJL1</t>
  </si>
  <si>
    <t>LJL2</t>
  </si>
  <si>
    <t>LJT1</t>
  </si>
  <si>
    <t>LJT2</t>
  </si>
  <si>
    <t>LLA</t>
  </si>
  <si>
    <t>LLG</t>
  </si>
  <si>
    <t>LLI</t>
  </si>
  <si>
    <t>LLJ</t>
  </si>
  <si>
    <t>LLL</t>
  </si>
  <si>
    <t>LLP1</t>
  </si>
  <si>
    <t>LLP2</t>
  </si>
  <si>
    <t>LLP3</t>
  </si>
  <si>
    <t>LLS1</t>
  </si>
  <si>
    <t>LLS2</t>
  </si>
  <si>
    <t>LLY</t>
  </si>
  <si>
    <t>LMD1</t>
  </si>
  <si>
    <t>LMD2</t>
  </si>
  <si>
    <t>LMD3</t>
  </si>
  <si>
    <t>LMD4</t>
  </si>
  <si>
    <t>LMD5</t>
  </si>
  <si>
    <t>LMD6</t>
  </si>
  <si>
    <t>LMD7</t>
  </si>
  <si>
    <t>LMD8</t>
  </si>
  <si>
    <t>LNK</t>
  </si>
  <si>
    <t>LNR</t>
  </si>
  <si>
    <t>LOC</t>
  </si>
  <si>
    <t>LOF</t>
  </si>
  <si>
    <t>LOO</t>
  </si>
  <si>
    <t>LRK</t>
  </si>
  <si>
    <t>LSB</t>
  </si>
  <si>
    <t>LSC1</t>
  </si>
  <si>
    <t>LSC2</t>
  </si>
  <si>
    <t>LSN</t>
  </si>
  <si>
    <t>LSS</t>
  </si>
  <si>
    <t>LTC</t>
  </si>
  <si>
    <t>LTG</t>
  </si>
  <si>
    <t>LTH</t>
  </si>
  <si>
    <t>LTN1</t>
  </si>
  <si>
    <t>LTN2</t>
  </si>
  <si>
    <t>LTR</t>
  </si>
  <si>
    <t>LTV</t>
  </si>
  <si>
    <t>LTX</t>
  </si>
  <si>
    <t>LUD1</t>
  </si>
  <si>
    <t>LUD2</t>
  </si>
  <si>
    <t>LVS</t>
  </si>
  <si>
    <t>LVT</t>
  </si>
  <si>
    <t>LVX</t>
  </si>
  <si>
    <t>LYE</t>
  </si>
  <si>
    <t>MAC3</t>
  </si>
  <si>
    <t>MAH</t>
  </si>
  <si>
    <t>MAI</t>
  </si>
  <si>
    <t>MAJ</t>
  </si>
  <si>
    <t>MAM1</t>
  </si>
  <si>
    <t>MAM2</t>
  </si>
  <si>
    <t>MAN1</t>
  </si>
  <si>
    <t>MAN2</t>
  </si>
  <si>
    <t>MAS</t>
  </si>
  <si>
    <t>MAX</t>
  </si>
  <si>
    <t>MBW1</t>
  </si>
  <si>
    <t>MBW2</t>
  </si>
  <si>
    <t>MBW3</t>
  </si>
  <si>
    <t>MCB</t>
  </si>
  <si>
    <t>MCG</t>
  </si>
  <si>
    <t>MCH</t>
  </si>
  <si>
    <t>MCJ1</t>
  </si>
  <si>
    <t>MCJ2</t>
  </si>
  <si>
    <t>MCJ3</t>
  </si>
  <si>
    <t>MCJ4</t>
  </si>
  <si>
    <t>MCL</t>
  </si>
  <si>
    <t>MCS</t>
  </si>
  <si>
    <t>MDE</t>
  </si>
  <si>
    <t>MDH1</t>
  </si>
  <si>
    <t>MDL1</t>
  </si>
  <si>
    <t>MDN</t>
  </si>
  <si>
    <t>MDW</t>
  </si>
  <si>
    <t>MEB1</t>
  </si>
  <si>
    <t>MED</t>
  </si>
  <si>
    <t>MEN1</t>
  </si>
  <si>
    <t>MEN2</t>
  </si>
  <si>
    <t>MEW1</t>
  </si>
  <si>
    <t>MEW2</t>
  </si>
  <si>
    <t>MGE</t>
  </si>
  <si>
    <t>MGW</t>
  </si>
  <si>
    <t>MGY</t>
  </si>
  <si>
    <t>MHH</t>
  </si>
  <si>
    <t>MHL1</t>
  </si>
  <si>
    <t>MHL2</t>
  </si>
  <si>
    <t>MHL3</t>
  </si>
  <si>
    <t>MHY</t>
  </si>
  <si>
    <t>MIA</t>
  </si>
  <si>
    <t>MII</t>
  </si>
  <si>
    <t>MIL</t>
  </si>
  <si>
    <t>MIR1</t>
  </si>
  <si>
    <t>MIR2</t>
  </si>
  <si>
    <t>MIS</t>
  </si>
  <si>
    <t>MIT</t>
  </si>
  <si>
    <t>MJD</t>
  </si>
  <si>
    <t>MJI1</t>
  </si>
  <si>
    <t>MJI2</t>
  </si>
  <si>
    <t>MJS1</t>
  </si>
  <si>
    <t>MJS2</t>
  </si>
  <si>
    <t>MJT1</t>
  </si>
  <si>
    <t>MJT2</t>
  </si>
  <si>
    <t>MJU</t>
  </si>
  <si>
    <t>MJW</t>
  </si>
  <si>
    <t>MKB1</t>
  </si>
  <si>
    <t>MKB2</t>
  </si>
  <si>
    <t>MLE</t>
  </si>
  <si>
    <t>MLG1</t>
  </si>
  <si>
    <t>MLG2</t>
  </si>
  <si>
    <t>MLN1</t>
  </si>
  <si>
    <t>MLN2</t>
  </si>
  <si>
    <t>MLN3</t>
  </si>
  <si>
    <t>MLN4</t>
  </si>
  <si>
    <t>MLS</t>
  </si>
  <si>
    <t>MMB</t>
  </si>
  <si>
    <t>MMP</t>
  </si>
  <si>
    <t>MOA</t>
  </si>
  <si>
    <t>MOB</t>
  </si>
  <si>
    <t>MOD</t>
  </si>
  <si>
    <t>MPC</t>
  </si>
  <si>
    <t>MPR1</t>
  </si>
  <si>
    <t>MPR2</t>
  </si>
  <si>
    <t>MPR3</t>
  </si>
  <si>
    <t>MRB</t>
  </si>
  <si>
    <t>MRC</t>
  </si>
  <si>
    <t>MRH</t>
  </si>
  <si>
    <t>MRJ</t>
  </si>
  <si>
    <t>MRL1</t>
  </si>
  <si>
    <t>MRL2</t>
  </si>
  <si>
    <t>MSG1</t>
  </si>
  <si>
    <t>MSG2</t>
  </si>
  <si>
    <t>MSK</t>
  </si>
  <si>
    <t>MSM</t>
  </si>
  <si>
    <t>MSW</t>
  </si>
  <si>
    <t>MTE</t>
  </si>
  <si>
    <t>MTL1</t>
  </si>
  <si>
    <t>MTL2</t>
  </si>
  <si>
    <t>MVB1</t>
  </si>
  <si>
    <t>MVB2</t>
  </si>
  <si>
    <t>MVB3</t>
  </si>
  <si>
    <t>MVB4</t>
  </si>
  <si>
    <t>MVE1</t>
  </si>
  <si>
    <t>MVE2</t>
  </si>
  <si>
    <t>MVL1</t>
  </si>
  <si>
    <t>MVL2</t>
  </si>
  <si>
    <t>MVL3</t>
  </si>
  <si>
    <t>MVL4</t>
  </si>
  <si>
    <t>MVM</t>
  </si>
  <si>
    <t>MVN1</t>
  </si>
  <si>
    <t>MVN2</t>
  </si>
  <si>
    <t>MWB</t>
  </si>
  <si>
    <t>MWJ</t>
  </si>
  <si>
    <t>MWL</t>
  </si>
  <si>
    <t>MWN</t>
  </si>
  <si>
    <t>MWY</t>
  </si>
  <si>
    <t>NAB</t>
  </si>
  <si>
    <t>NAJ1</t>
  </si>
  <si>
    <t>NAJ2</t>
  </si>
  <si>
    <t>NAJ3</t>
  </si>
  <si>
    <t>NAY</t>
  </si>
  <si>
    <t>NBB</t>
  </si>
  <si>
    <t>NBE</t>
  </si>
  <si>
    <t>NBK</t>
  </si>
  <si>
    <t>NBS</t>
  </si>
  <si>
    <t>NCD</t>
  </si>
  <si>
    <t>NCS</t>
  </si>
  <si>
    <t>NCW</t>
  </si>
  <si>
    <t>NDE1</t>
  </si>
  <si>
    <t>NDE2</t>
  </si>
  <si>
    <t>NDN</t>
  </si>
  <si>
    <t>NEC1</t>
  </si>
  <si>
    <t>NEC2</t>
  </si>
  <si>
    <t>NEK</t>
  </si>
  <si>
    <t>NEM2</t>
  </si>
  <si>
    <t>NEM3</t>
  </si>
  <si>
    <t>NEM4</t>
  </si>
  <si>
    <t>NEM5</t>
  </si>
  <si>
    <t>NEM6</t>
  </si>
  <si>
    <t>NEM7</t>
  </si>
  <si>
    <t>NEN1</t>
  </si>
  <si>
    <t>NEW</t>
  </si>
  <si>
    <t>NFE</t>
  </si>
  <si>
    <t>NFT</t>
  </si>
  <si>
    <t>NGC</t>
  </si>
  <si>
    <t>NGD</t>
  </si>
  <si>
    <t>NGJ</t>
  </si>
  <si>
    <t>NGL</t>
  </si>
  <si>
    <t>NHB</t>
  </si>
  <si>
    <t>NHM</t>
  </si>
  <si>
    <t>NHM2</t>
  </si>
  <si>
    <t>NHT1</t>
  </si>
  <si>
    <t>NHT2</t>
  </si>
  <si>
    <t>NJN</t>
  </si>
  <si>
    <t>NKE1</t>
  </si>
  <si>
    <t>NKE2</t>
  </si>
  <si>
    <t>NKL</t>
  </si>
  <si>
    <t>NLF</t>
  </si>
  <si>
    <t>NLL</t>
  </si>
  <si>
    <t>NLP</t>
  </si>
  <si>
    <t>NMA</t>
  </si>
  <si>
    <t>NMB</t>
  </si>
  <si>
    <t>NMC1</t>
  </si>
  <si>
    <t>NMC2</t>
  </si>
  <si>
    <t>NMH</t>
  </si>
  <si>
    <t>NML</t>
  </si>
  <si>
    <t>NMM</t>
  </si>
  <si>
    <t>NMS1</t>
  </si>
  <si>
    <t>NMS2</t>
  </si>
  <si>
    <t>NNH</t>
  </si>
  <si>
    <t>NNM</t>
  </si>
  <si>
    <t>NOB1</t>
  </si>
  <si>
    <t>NOB2</t>
  </si>
  <si>
    <t>NOB3</t>
  </si>
  <si>
    <t>NOC</t>
  </si>
  <si>
    <t>NOE</t>
  </si>
  <si>
    <t>NOG1</t>
  </si>
  <si>
    <t>NOG2</t>
  </si>
  <si>
    <t>NOL</t>
  </si>
  <si>
    <t>NOP1</t>
  </si>
  <si>
    <t>NOP2</t>
  </si>
  <si>
    <t>NOP3</t>
  </si>
  <si>
    <t>NPF</t>
  </si>
  <si>
    <t>NSA</t>
  </si>
  <si>
    <t>NSE</t>
  </si>
  <si>
    <t>NSN</t>
  </si>
  <si>
    <t>NSS</t>
  </si>
  <si>
    <t>NTE</t>
  </si>
  <si>
    <t>NTL</t>
  </si>
  <si>
    <t>NTM1</t>
  </si>
  <si>
    <t>NTM2</t>
  </si>
  <si>
    <t>NTM3</t>
  </si>
  <si>
    <t>NTM4</t>
  </si>
  <si>
    <t>NUJ1</t>
  </si>
  <si>
    <t>NUJ2</t>
  </si>
  <si>
    <t>NWE</t>
  </si>
  <si>
    <t>NWL</t>
  </si>
  <si>
    <t>NWN</t>
  </si>
  <si>
    <t>NWO</t>
  </si>
  <si>
    <t>NWS</t>
  </si>
  <si>
    <t>OAJ</t>
  </si>
  <si>
    <t>OAW</t>
  </si>
  <si>
    <t>OBN1</t>
  </si>
  <si>
    <t>OBN2</t>
  </si>
  <si>
    <t>OCL</t>
  </si>
  <si>
    <t>OGM</t>
  </si>
  <si>
    <t>OJS</t>
  </si>
  <si>
    <t>OLL1</t>
  </si>
  <si>
    <t>OLW</t>
  </si>
  <si>
    <t>OOC1</t>
  </si>
  <si>
    <t>OOC2</t>
  </si>
  <si>
    <t>OOS</t>
  </si>
  <si>
    <t>OSC</t>
  </si>
  <si>
    <t>OVE</t>
  </si>
  <si>
    <t>OWW</t>
  </si>
  <si>
    <t>OXC</t>
  </si>
  <si>
    <t>OXD</t>
  </si>
  <si>
    <t>OXO</t>
  </si>
  <si>
    <t>OXW</t>
  </si>
  <si>
    <t>PAA1</t>
  </si>
  <si>
    <t>PAA2</t>
  </si>
  <si>
    <t>PAC</t>
  </si>
  <si>
    <t>PAR</t>
  </si>
  <si>
    <t>PAS</t>
  </si>
  <si>
    <t>PAT</t>
  </si>
  <si>
    <t>PBC</t>
  </si>
  <si>
    <t>PBE</t>
  </si>
  <si>
    <t>PBJ</t>
  </si>
  <si>
    <t>PBL</t>
  </si>
  <si>
    <t>PBN</t>
  </si>
  <si>
    <t>PBS1</t>
  </si>
  <si>
    <t>PBS2</t>
  </si>
  <si>
    <t>PBS3</t>
  </si>
  <si>
    <t>PBY</t>
  </si>
  <si>
    <t>PDB</t>
  </si>
  <si>
    <t>PDL</t>
  </si>
  <si>
    <t>PED1</t>
  </si>
  <si>
    <t>PED2</t>
  </si>
  <si>
    <t>PED4</t>
  </si>
  <si>
    <t>PED5</t>
  </si>
  <si>
    <t>PEF</t>
  </si>
  <si>
    <t>PEH</t>
  </si>
  <si>
    <t>PEM</t>
  </si>
  <si>
    <t>PGQ</t>
  </si>
  <si>
    <t>PHB</t>
  </si>
  <si>
    <t>PHC</t>
  </si>
  <si>
    <t>PJL</t>
  </si>
  <si>
    <t>PJW</t>
  </si>
  <si>
    <t>PLG1</t>
  </si>
  <si>
    <t>PLG2</t>
  </si>
  <si>
    <t>PLO</t>
  </si>
  <si>
    <t>PMJ</t>
  </si>
  <si>
    <t>PMT</t>
  </si>
  <si>
    <t>PNS</t>
  </si>
  <si>
    <t>POC1</t>
  </si>
  <si>
    <t>POC2</t>
  </si>
  <si>
    <t>POD</t>
  </si>
  <si>
    <t>POR</t>
  </si>
  <si>
    <t>PPA1</t>
  </si>
  <si>
    <t>PPA2</t>
  </si>
  <si>
    <t>PPA3</t>
  </si>
  <si>
    <t>PPH</t>
  </si>
  <si>
    <t>PPP1</t>
  </si>
  <si>
    <t>PPP2</t>
  </si>
  <si>
    <t>PPW</t>
  </si>
  <si>
    <t>PRA</t>
  </si>
  <si>
    <t>PRC</t>
  </si>
  <si>
    <t>PRG</t>
  </si>
  <si>
    <t>PRY</t>
  </si>
  <si>
    <t>PSE</t>
  </si>
  <si>
    <t>PSF</t>
  </si>
  <si>
    <t>PSR1</t>
  </si>
  <si>
    <t>PSR2</t>
  </si>
  <si>
    <t>PTA</t>
  </si>
  <si>
    <t>PTD</t>
  </si>
  <si>
    <t>PTH</t>
  </si>
  <si>
    <t>PUL</t>
  </si>
  <si>
    <t>PWE</t>
  </si>
  <si>
    <t>PWS1</t>
  </si>
  <si>
    <t>PWS2</t>
  </si>
  <si>
    <t>PYE1</t>
  </si>
  <si>
    <t>PYE2</t>
  </si>
  <si>
    <t>PYE3</t>
  </si>
  <si>
    <t>QLT1</t>
  </si>
  <si>
    <t>QLT2</t>
  </si>
  <si>
    <t>RAC</t>
  </si>
  <si>
    <t>RAD</t>
  </si>
  <si>
    <t>RBS1</t>
  </si>
  <si>
    <t>RBS2</t>
  </si>
  <si>
    <t>RBS3</t>
  </si>
  <si>
    <t>RBY</t>
  </si>
  <si>
    <t>RCB</t>
  </si>
  <si>
    <t>RDB</t>
  </si>
  <si>
    <t>RDG1</t>
  </si>
  <si>
    <t>RDG2</t>
  </si>
  <si>
    <t>RDY</t>
  </si>
  <si>
    <t>REB2</t>
  </si>
  <si>
    <t>REB4</t>
  </si>
  <si>
    <t>RED1</t>
  </si>
  <si>
    <t>RED2</t>
  </si>
  <si>
    <t>RET</t>
  </si>
  <si>
    <t>REX1</t>
  </si>
  <si>
    <t>RGY1</t>
  </si>
  <si>
    <t>RGY2</t>
  </si>
  <si>
    <t>RHD1</t>
  </si>
  <si>
    <t>RHD2</t>
  </si>
  <si>
    <t>RIC1</t>
  </si>
  <si>
    <t>RIC2</t>
  </si>
  <si>
    <t>RMY</t>
  </si>
  <si>
    <t>RNC</t>
  </si>
  <si>
    <t>RNJ</t>
  </si>
  <si>
    <t>ROA</t>
  </si>
  <si>
    <t>ROC</t>
  </si>
  <si>
    <t>ROS</t>
  </si>
  <si>
    <t>ROT</t>
  </si>
  <si>
    <t>ROU</t>
  </si>
  <si>
    <t>RPE</t>
  </si>
  <si>
    <t>RRN1</t>
  </si>
  <si>
    <t>RRN2</t>
  </si>
  <si>
    <t>RSB</t>
  </si>
  <si>
    <t>RSC</t>
  </si>
  <si>
    <t>RSJ</t>
  </si>
  <si>
    <t>RSL1</t>
  </si>
  <si>
    <t>RSL2</t>
  </si>
  <si>
    <t>RSW</t>
  </si>
  <si>
    <t>RTJ1</t>
  </si>
  <si>
    <t>RTJ2</t>
  </si>
  <si>
    <t>RTR1</t>
  </si>
  <si>
    <t>RTR2</t>
  </si>
  <si>
    <t>RTS</t>
  </si>
  <si>
    <t>RTT</t>
  </si>
  <si>
    <t>RUB1</t>
  </si>
  <si>
    <t>RUB2</t>
  </si>
  <si>
    <t>RUC1</t>
  </si>
  <si>
    <t>RUC2</t>
  </si>
  <si>
    <t>RUD</t>
  </si>
  <si>
    <t>RVC</t>
  </si>
  <si>
    <t>RVS1</t>
  </si>
  <si>
    <t>RVS2</t>
  </si>
  <si>
    <t>RWC</t>
  </si>
  <si>
    <t>RWS</t>
  </si>
  <si>
    <t>RYH1</t>
  </si>
  <si>
    <t>RYH2</t>
  </si>
  <si>
    <t>SAA</t>
  </si>
  <si>
    <t>SAC</t>
  </si>
  <si>
    <t>SAG</t>
  </si>
  <si>
    <t>SAJ</t>
  </si>
  <si>
    <t>SAL</t>
  </si>
  <si>
    <t>SAN</t>
  </si>
  <si>
    <t>SAR1</t>
  </si>
  <si>
    <t>SAR2</t>
  </si>
  <si>
    <t>SAS</t>
  </si>
  <si>
    <t>SAW</t>
  </si>
  <si>
    <t>SBA1</t>
  </si>
  <si>
    <t>SBA2</t>
  </si>
  <si>
    <t>SBF</t>
  </si>
  <si>
    <t>SBH1</t>
  </si>
  <si>
    <t>SBH2</t>
  </si>
  <si>
    <t>SBH3</t>
  </si>
  <si>
    <t>SBH4</t>
  </si>
  <si>
    <t>SBJ</t>
  </si>
  <si>
    <t>SBK1</t>
  </si>
  <si>
    <t>SBK2</t>
  </si>
  <si>
    <t>SBL1</t>
  </si>
  <si>
    <t>SBR</t>
  </si>
  <si>
    <t>SCC</t>
  </si>
  <si>
    <t>SCD</t>
  </si>
  <si>
    <t>SCG</t>
  </si>
  <si>
    <t>SCH2</t>
  </si>
  <si>
    <t>SCL</t>
  </si>
  <si>
    <t>SCM1</t>
  </si>
  <si>
    <t>SCM2</t>
  </si>
  <si>
    <t>SCM3</t>
  </si>
  <si>
    <t>SCM4</t>
  </si>
  <si>
    <t>SCM5</t>
  </si>
  <si>
    <t>SCN</t>
  </si>
  <si>
    <t>SCP</t>
  </si>
  <si>
    <t>SCQ1</t>
  </si>
  <si>
    <t>SCQ2</t>
  </si>
  <si>
    <t>SCQ3</t>
  </si>
  <si>
    <t>SCR</t>
  </si>
  <si>
    <t>SCT1</t>
  </si>
  <si>
    <t>SCT2</t>
  </si>
  <si>
    <t>SCU1</t>
  </si>
  <si>
    <t>SCW</t>
  </si>
  <si>
    <t>SDC</t>
  </si>
  <si>
    <t>SDG</t>
  </si>
  <si>
    <t>SDI1</t>
  </si>
  <si>
    <t>SDI2</t>
  </si>
  <si>
    <t>SDJ2</t>
  </si>
  <si>
    <t>SDP</t>
  </si>
  <si>
    <t>SDP1</t>
  </si>
  <si>
    <t>SDP2</t>
  </si>
  <si>
    <t>SDS</t>
  </si>
  <si>
    <t>SEA1</t>
  </si>
  <si>
    <t>SEC</t>
  </si>
  <si>
    <t>SEJ1</t>
  </si>
  <si>
    <t>SEJ2</t>
  </si>
  <si>
    <t>SEL</t>
  </si>
  <si>
    <t>SEN</t>
  </si>
  <si>
    <t>SES</t>
  </si>
  <si>
    <t>SEY</t>
  </si>
  <si>
    <t>SGN</t>
  </si>
  <si>
    <t>SHB</t>
  </si>
  <si>
    <t>SHF</t>
  </si>
  <si>
    <t>SHG</t>
  </si>
  <si>
    <t>SHL</t>
  </si>
  <si>
    <t>SHR</t>
  </si>
  <si>
    <t>SHS1</t>
  </si>
  <si>
    <t>SHW</t>
  </si>
  <si>
    <t>SIB</t>
  </si>
  <si>
    <t>SIB1</t>
  </si>
  <si>
    <t>SIC1</t>
  </si>
  <si>
    <t>SIC2</t>
  </si>
  <si>
    <t>SIL</t>
  </si>
  <si>
    <t>SIV</t>
  </si>
  <si>
    <t>SIZ</t>
  </si>
  <si>
    <t>SJB</t>
  </si>
  <si>
    <t>SJC</t>
  </si>
  <si>
    <t>SJD</t>
  </si>
  <si>
    <t>SJM1</t>
  </si>
  <si>
    <t>SJM2</t>
  </si>
  <si>
    <t>SJO1</t>
  </si>
  <si>
    <t>SJO2</t>
  </si>
  <si>
    <t>SJS</t>
  </si>
  <si>
    <t>SJT1</t>
  </si>
  <si>
    <t>SKA</t>
  </si>
  <si>
    <t>SKD</t>
  </si>
  <si>
    <t>SKM</t>
  </si>
  <si>
    <t>SKN</t>
  </si>
  <si>
    <t>SKS1</t>
  </si>
  <si>
    <t>SKS2</t>
  </si>
  <si>
    <t>SKW1</t>
  </si>
  <si>
    <t>SLC1</t>
  </si>
  <si>
    <t>SLC8</t>
  </si>
  <si>
    <t>SLJ</t>
  </si>
  <si>
    <t>SLT</t>
  </si>
  <si>
    <t>SMA</t>
  </si>
  <si>
    <t>SMC</t>
  </si>
  <si>
    <t>SMJ1</t>
  </si>
  <si>
    <t>SMJ2</t>
  </si>
  <si>
    <t>SMJ3</t>
  </si>
  <si>
    <t>SMS1</t>
  </si>
  <si>
    <t>SMS2</t>
  </si>
  <si>
    <t>SNJ</t>
  </si>
  <si>
    <t>SNK1</t>
  </si>
  <si>
    <t>SNK2</t>
  </si>
  <si>
    <t>SNK3</t>
  </si>
  <si>
    <t>SNK4</t>
  </si>
  <si>
    <t>SNS</t>
  </si>
  <si>
    <t>SNT</t>
  </si>
  <si>
    <t>SNW</t>
  </si>
  <si>
    <t>SOB1</t>
  </si>
  <si>
    <t>SOB2</t>
  </si>
  <si>
    <t>SOL</t>
  </si>
  <si>
    <t>SOT</t>
  </si>
  <si>
    <t>SOY</t>
  </si>
  <si>
    <t>SPC1</t>
  </si>
  <si>
    <t>SPC2</t>
  </si>
  <si>
    <t>SPC3</t>
  </si>
  <si>
    <t>SPC4</t>
  </si>
  <si>
    <t>SPC5</t>
  </si>
  <si>
    <t>SPC6</t>
  </si>
  <si>
    <t>SPC7</t>
  </si>
  <si>
    <t>SPC8</t>
  </si>
  <si>
    <t>SPC9</t>
  </si>
  <si>
    <t>SPD1</t>
  </si>
  <si>
    <t>SPD2</t>
  </si>
  <si>
    <t>SPD3</t>
  </si>
  <si>
    <t>SPD4</t>
  </si>
  <si>
    <t>SPD5</t>
  </si>
  <si>
    <t>SPR</t>
  </si>
  <si>
    <t>SPW</t>
  </si>
  <si>
    <t>SRD</t>
  </si>
  <si>
    <t>SSC</t>
  </si>
  <si>
    <t>SSE</t>
  </si>
  <si>
    <t>SSJ1</t>
  </si>
  <si>
    <t>SSJ2</t>
  </si>
  <si>
    <t>SSK1</t>
  </si>
  <si>
    <t>SSL</t>
  </si>
  <si>
    <t>SSP</t>
  </si>
  <si>
    <t>SSS</t>
  </si>
  <si>
    <t>SSV</t>
  </si>
  <si>
    <t>STA</t>
  </si>
  <si>
    <t>STB</t>
  </si>
  <si>
    <t>STD</t>
  </si>
  <si>
    <t>STF</t>
  </si>
  <si>
    <t>STM</t>
  </si>
  <si>
    <t>STN</t>
  </si>
  <si>
    <t>STO</t>
  </si>
  <si>
    <t>STR1</t>
  </si>
  <si>
    <t>STR2</t>
  </si>
  <si>
    <t>STR3</t>
  </si>
  <si>
    <t>STR4</t>
  </si>
  <si>
    <t>STS</t>
  </si>
  <si>
    <t>STT</t>
  </si>
  <si>
    <t>STY</t>
  </si>
  <si>
    <t>SUB1</t>
  </si>
  <si>
    <t>SUB2</t>
  </si>
  <si>
    <t>SUD</t>
  </si>
  <si>
    <t>SUT1</t>
  </si>
  <si>
    <t>SUT2</t>
  </si>
  <si>
    <t>SVS</t>
  </si>
  <si>
    <t>SWA</t>
  </si>
  <si>
    <t>SWB</t>
  </si>
  <si>
    <t>SWE</t>
  </si>
  <si>
    <t>SWL</t>
  </si>
  <si>
    <t>SWM1</t>
  </si>
  <si>
    <t>SWM2</t>
  </si>
  <si>
    <t>SWN</t>
  </si>
  <si>
    <t>SWP</t>
  </si>
  <si>
    <t>SWX</t>
  </si>
  <si>
    <t>SWY</t>
  </si>
  <si>
    <t>SYC</t>
  </si>
  <si>
    <t>SYE</t>
  </si>
  <si>
    <t>SZS</t>
  </si>
  <si>
    <t>TAD</t>
  </si>
  <si>
    <t>TAH1</t>
  </si>
  <si>
    <t>TAH2</t>
  </si>
  <si>
    <t>TAH3</t>
  </si>
  <si>
    <t>TAH4</t>
  </si>
  <si>
    <t>TAT</t>
  </si>
  <si>
    <t>TBD</t>
  </si>
  <si>
    <t>TBH1</t>
  </si>
  <si>
    <t>TBH2</t>
  </si>
  <si>
    <t>TCC</t>
  </si>
  <si>
    <t>TCW1</t>
  </si>
  <si>
    <t>TEN</t>
  </si>
  <si>
    <t>TES</t>
  </si>
  <si>
    <t>TEY</t>
  </si>
  <si>
    <t>TFN</t>
  </si>
  <si>
    <t>THA</t>
  </si>
  <si>
    <t>THC</t>
  </si>
  <si>
    <t>THG</t>
  </si>
  <si>
    <t>THL</t>
  </si>
  <si>
    <t>THN</t>
  </si>
  <si>
    <t>THO</t>
  </si>
  <si>
    <t>THT</t>
  </si>
  <si>
    <t>TIR</t>
  </si>
  <si>
    <t>TJC1</t>
  </si>
  <si>
    <t>TJC2</t>
  </si>
  <si>
    <t>TJC3</t>
  </si>
  <si>
    <t>TJG1</t>
  </si>
  <si>
    <t>TJG2</t>
  </si>
  <si>
    <t>TJY</t>
  </si>
  <si>
    <t>TLA</t>
  </si>
  <si>
    <t>TLL</t>
  </si>
  <si>
    <t>TLP1</t>
  </si>
  <si>
    <t>TLP2</t>
  </si>
  <si>
    <t>TML</t>
  </si>
  <si>
    <t>TMP</t>
  </si>
  <si>
    <t>TNC</t>
  </si>
  <si>
    <t>TNW</t>
  </si>
  <si>
    <t>TOR</t>
  </si>
  <si>
    <t>TPS1</t>
  </si>
  <si>
    <t>TPS2</t>
  </si>
  <si>
    <t>TPS3</t>
  </si>
  <si>
    <t>TSB</t>
  </si>
  <si>
    <t>TSE1</t>
  </si>
  <si>
    <t>TSE2</t>
  </si>
  <si>
    <t>TSJ</t>
  </si>
  <si>
    <t>TSN1</t>
  </si>
  <si>
    <t>TSN2</t>
  </si>
  <si>
    <t>TSO</t>
  </si>
  <si>
    <t>TSS</t>
  </si>
  <si>
    <t>TSY</t>
  </si>
  <si>
    <t>TTA1</t>
  </si>
  <si>
    <t>TTA2</t>
  </si>
  <si>
    <t>TTF</t>
  </si>
  <si>
    <t>TTH</t>
  </si>
  <si>
    <t>TUR</t>
  </si>
  <si>
    <t>TWN</t>
  </si>
  <si>
    <t>TYB1</t>
  </si>
  <si>
    <t>TYC</t>
  </si>
  <si>
    <t>UCJ</t>
  </si>
  <si>
    <t>UDS</t>
  </si>
  <si>
    <t>UHL</t>
  </si>
  <si>
    <t>ULR</t>
  </si>
  <si>
    <t>UPG</t>
  </si>
  <si>
    <t>USS</t>
  </si>
  <si>
    <t>USY</t>
  </si>
  <si>
    <t>VIR</t>
  </si>
  <si>
    <t>VOG</t>
  </si>
  <si>
    <t>VON</t>
  </si>
  <si>
    <t>VOR</t>
  </si>
  <si>
    <t>VOT</t>
  </si>
  <si>
    <t>VTB1</t>
  </si>
  <si>
    <t>VTB2</t>
  </si>
  <si>
    <t>VTB3</t>
  </si>
  <si>
    <t>VWW</t>
  </si>
  <si>
    <t>WAG1</t>
  </si>
  <si>
    <t>WAG2</t>
  </si>
  <si>
    <t>WAG3</t>
  </si>
  <si>
    <t>WAH</t>
  </si>
  <si>
    <t>WAR</t>
  </si>
  <si>
    <t>WAT</t>
  </si>
  <si>
    <t>WAW</t>
  </si>
  <si>
    <t>WBB</t>
  </si>
  <si>
    <t>WBC</t>
  </si>
  <si>
    <t>WBH</t>
  </si>
  <si>
    <t>WBJ</t>
  </si>
  <si>
    <t>WBK</t>
  </si>
  <si>
    <t>WBS1</t>
  </si>
  <si>
    <t>WBS2</t>
  </si>
  <si>
    <t>WBS3</t>
  </si>
  <si>
    <t>WBT</t>
  </si>
  <si>
    <t>WCG</t>
  </si>
  <si>
    <t>WCI</t>
  </si>
  <si>
    <t>WCK</t>
  </si>
  <si>
    <t>WCL</t>
  </si>
  <si>
    <t>WCM1</t>
  </si>
  <si>
    <t>WCM2</t>
  </si>
  <si>
    <t>WCS</t>
  </si>
  <si>
    <t>WDB1</t>
  </si>
  <si>
    <t>WDB2</t>
  </si>
  <si>
    <t>WDB3</t>
  </si>
  <si>
    <t>WDJ</t>
  </si>
  <si>
    <t>WDS</t>
  </si>
  <si>
    <t>WEB</t>
  </si>
  <si>
    <t>WEC1</t>
  </si>
  <si>
    <t>WEE</t>
  </si>
  <si>
    <t>WEF1</t>
  </si>
  <si>
    <t>WEL1</t>
  </si>
  <si>
    <t>WEL2</t>
  </si>
  <si>
    <t>WES</t>
  </si>
  <si>
    <t>WET</t>
  </si>
  <si>
    <t>WEY</t>
  </si>
  <si>
    <t>WGL</t>
  </si>
  <si>
    <t>WGP</t>
  </si>
  <si>
    <t>WHC1</t>
  </si>
  <si>
    <t>WHC2</t>
  </si>
  <si>
    <t>WHC3</t>
  </si>
  <si>
    <t>WHL</t>
  </si>
  <si>
    <t>WHM</t>
  </si>
  <si>
    <t>WHR</t>
  </si>
  <si>
    <t>WIG</t>
  </si>
  <si>
    <t>WIN</t>
  </si>
  <si>
    <t>WIS</t>
  </si>
  <si>
    <t>WJB</t>
  </si>
  <si>
    <t>WJK</t>
  </si>
  <si>
    <t>WJL1</t>
  </si>
  <si>
    <t>WJL2</t>
  </si>
  <si>
    <t>WJL3</t>
  </si>
  <si>
    <t>WJL4</t>
  </si>
  <si>
    <t>WJP1</t>
  </si>
  <si>
    <t>WKC</t>
  </si>
  <si>
    <t>WKG8</t>
  </si>
  <si>
    <t>WKG9</t>
  </si>
  <si>
    <t>WKL1</t>
  </si>
  <si>
    <t>WKL2</t>
  </si>
  <si>
    <t>WLL</t>
  </si>
  <si>
    <t>WLL9</t>
  </si>
  <si>
    <t>WLN</t>
  </si>
  <si>
    <t>WMB</t>
  </si>
  <si>
    <t>WMD1</t>
  </si>
  <si>
    <t>WME</t>
  </si>
  <si>
    <t>WMS</t>
  </si>
  <si>
    <t>WND</t>
  </si>
  <si>
    <t>WNS</t>
  </si>
  <si>
    <t>WOA1</t>
  </si>
  <si>
    <t>WOA2</t>
  </si>
  <si>
    <t>WOA3</t>
  </si>
  <si>
    <t>WOA4</t>
  </si>
  <si>
    <t>WOP</t>
  </si>
  <si>
    <t>WOW1</t>
  </si>
  <si>
    <t>WOW2</t>
  </si>
  <si>
    <t>WPH1</t>
  </si>
  <si>
    <t>WPH2</t>
  </si>
  <si>
    <t>WPK</t>
  </si>
  <si>
    <t>WPS</t>
  </si>
  <si>
    <t>WQL</t>
  </si>
  <si>
    <t>WRG</t>
  </si>
  <si>
    <t>WRO</t>
  </si>
  <si>
    <t>WSA</t>
  </si>
  <si>
    <t>WSB</t>
  </si>
  <si>
    <t>WSJ1</t>
  </si>
  <si>
    <t>WSJ2</t>
  </si>
  <si>
    <t>WSJ3</t>
  </si>
  <si>
    <t>WSM</t>
  </si>
  <si>
    <t>WST</t>
  </si>
  <si>
    <t>WTB</t>
  </si>
  <si>
    <t>WTH</t>
  </si>
  <si>
    <t>WTQ</t>
  </si>
  <si>
    <t>WTS</t>
  </si>
  <si>
    <t>WVL</t>
  </si>
  <si>
    <t>WWD</t>
  </si>
  <si>
    <t>WWK</t>
  </si>
  <si>
    <t>WYE</t>
  </si>
  <si>
    <t>WYL</t>
  </si>
  <si>
    <t>WYM</t>
  </si>
  <si>
    <t>WYS</t>
  </si>
  <si>
    <t>XTD</t>
  </si>
  <si>
    <t>YAT</t>
  </si>
  <si>
    <t>YDS</t>
  </si>
  <si>
    <t>YJP</t>
  </si>
  <si>
    <t>YKR</t>
  </si>
  <si>
    <t>YMS</t>
  </si>
  <si>
    <t>YNL</t>
  </si>
  <si>
    <t>ZZA1</t>
  </si>
  <si>
    <t>ZZA2</t>
  </si>
  <si>
    <t>ZZA3</t>
  </si>
  <si>
    <t>ZZA4</t>
  </si>
  <si>
    <t>ZZA5</t>
  </si>
  <si>
    <t>ZZA6</t>
  </si>
  <si>
    <t>ZZA7</t>
  </si>
  <si>
    <t>ZZA8</t>
  </si>
  <si>
    <t>ZZA9</t>
  </si>
  <si>
    <t>ZZB1</t>
  </si>
  <si>
    <t>ZZB2</t>
  </si>
  <si>
    <t>ZZB3</t>
  </si>
  <si>
    <t>ZZB4</t>
  </si>
  <si>
    <t>ZZB7</t>
  </si>
  <si>
    <t>ZZB8</t>
  </si>
  <si>
    <t>ZZC1</t>
  </si>
  <si>
    <t>ZZC2</t>
  </si>
  <si>
    <t>ZZC3</t>
  </si>
  <si>
    <t>ZZC5</t>
  </si>
  <si>
    <t>ZZC6</t>
  </si>
  <si>
    <t>ZZC7</t>
  </si>
  <si>
    <t>ZZC8</t>
  </si>
  <si>
    <t>ZZD1</t>
  </si>
  <si>
    <t>ZZD2</t>
  </si>
  <si>
    <t>ZZD3</t>
  </si>
  <si>
    <t>ZZD4</t>
  </si>
  <si>
    <t>ZZD5</t>
  </si>
  <si>
    <t>ZZD6</t>
  </si>
  <si>
    <t>ZZD7</t>
  </si>
  <si>
    <t>ZZD8</t>
  </si>
  <si>
    <t>ZZE1</t>
  </si>
  <si>
    <t>ZZE2</t>
  </si>
  <si>
    <t>ZZE4</t>
  </si>
  <si>
    <t>ZZE5</t>
  </si>
  <si>
    <t>ZZE6</t>
  </si>
  <si>
    <t>ZZE7</t>
  </si>
  <si>
    <t>ZZE9</t>
  </si>
  <si>
    <t>ZZF1</t>
  </si>
  <si>
    <t>ZZF2</t>
  </si>
  <si>
    <t>ZZF3</t>
  </si>
  <si>
    <t>ZZF4</t>
  </si>
  <si>
    <t>ZZF5</t>
  </si>
  <si>
    <t xml:space="preserve">Ascii Data Pump </t>
  </si>
  <si>
    <t xml:space="preserve">ELR </t>
  </si>
  <si>
    <t xml:space="preserve">Trackid </t>
  </si>
  <si>
    <t>ceil(startyardage/1760)</t>
  </si>
  <si>
    <t>Start Yardage - (ceil(startyardage/1760) * 1760)</t>
  </si>
  <si>
    <t>the query</t>
  </si>
  <si>
    <t>miles</t>
  </si>
  <si>
    <t>yards</t>
  </si>
  <si>
    <t>channel</t>
  </si>
  <si>
    <t>AligML</t>
  </si>
  <si>
    <t>Y</t>
  </si>
  <si>
    <t>To_Avoid_Formula</t>
  </si>
  <si>
    <t>AligMS</t>
  </si>
  <si>
    <t>Cant Def</t>
  </si>
  <si>
    <t>Crosslevel</t>
  </si>
  <si>
    <t>Curvature</t>
  </si>
  <si>
    <t>Dipped Left</t>
  </si>
  <si>
    <t>Dipped Right</t>
  </si>
  <si>
    <t>Gauge</t>
  </si>
  <si>
    <t>TopLS</t>
  </si>
  <si>
    <t>TopML</t>
  </si>
  <si>
    <t>TopRS</t>
  </si>
  <si>
    <t>Twist1</t>
  </si>
  <si>
    <t>Velocity</t>
  </si>
  <si>
    <t>Locn</t>
  </si>
  <si>
    <t>Twist2</t>
  </si>
  <si>
    <t>Gradient</t>
  </si>
  <si>
    <t>mile</t>
  </si>
  <si>
    <t>chs</t>
  </si>
  <si>
    <t>mm</t>
  </si>
  <si>
    <t>km/h</t>
  </si>
  <si>
    <t>dgx100</t>
  </si>
  <si>
    <t>mrad</t>
  </si>
  <si>
    <t>To_Avoid_Formula0.0,0.0,0.0,0.0,</t>
  </si>
  <si>
    <t>To_Avoid_Formula0.0,0.0,0.0,0.0,0.0,0.0,0.0,0.0,</t>
  </si>
  <si>
    <t>138/0</t>
  </si>
  <si>
    <t>140/0</t>
  </si>
  <si>
    <t>To_Avoid_Formula1.02,1.0,0.93,0.84,0.76,0.7,0.6,0.44,0.23,0.03,-0.18,-0.4,-0.56,-0.67,-0.79,-0.92,-0.97,-0.89,-0.76,-0.73,-0.84,-0.94,-0.98,-1.02,-1.06,-1.09,-1.07,-0.99,-0.9,-0.81,-0.74,-0.7,-0.67,-0.63,-0.62,-0.63,-0.67,-0.69,-0.67,-0.64,-0.6,-0.54,-0.44,-0.34,-0.28,-0.21,-0.13,-0.09,-0.13,-0.17,-0.17,-0.12,-0.08,-0.08,-0.1,-0.15,-0.19,-0.22,-0.27,-0.34,-0.44,-0.57,-0.71,-0.8,-0.83,-0.81,-0.74,-0.66,-0.59,-0.55,-0.54,-0.56,-0.61,-0.67,-0.74,-0.83,-0.92,-0.95,-0.88,-0.7,-0.48,-0.29,-0.12,0.03,0.12,0.1,0.02,-0.1,-0.2,-0.26,-0.31,-0.39,-0.46,-0.46,-0.44,-0.45,-0.51,-0.56,-0.61,-0.66,-0.71,-0.74,-0.75,-0.75,-0.74,-0.71,-0.67,-0.6,-0.53,-0.45,-0.38,-0.29,-0.22,-0.2,-0.22,-0.28,-0.31,-0.31,-0.25,-0.15,-0.03,0.09,0.23,0.4,0.55,0.64,0.64,0.56,0.42,0.23,0.06,-0.08,-0.18,-0.15,-0.03,0.1,0.23,0.35,0.48,0.61,0.71,0.75,0.73,0.72,0.72,0.71,0.7,0.71,0.73,0.73,0.71,0.69,0.63,0.52,0.39,0.28,0.19,0.09,0.01,-0.04,-0.06,-0.08,-0.07,-0.07,-0.1,-0.16,-0.18,-0.14,-0.06,0.03,0.17,0.31,0.41,0.52,0.63,0.69,0.66,0.63,0.62,0.61,0.59,0.62,0.68,0.74,0.79,0.8,0.76,0.71,0.73,0.79,0.79,0.75,0.66,0.5,0.34,0.29,0.31,0.27,0.23,0.23,0.19,0.03,-0.12,-0.17,-0.19,-0.19,-0.14,-0.05,0.01,0.03,0.08,0.15,0.19,0.22,0.26,0.29,0.28,0.28,0.31,0.31,0.29,0.29,0.33,0.37,0.39,0.4,0.4,0.38,0.35,0.34,0.37,0.43,0.5,0.58,0.67,0.77,0.87,0.94,0.97,0.97,0.95,0.95,0.96,0.95,0.92,0.89,0.92,1.04,1.19,1.35,1.5,1.63,1.71,1.74,1.7,1.64,1.55,1.48,1.45,1.42,1.37,1.31,1.28,1.23,1.17,1.12,1.09,1.06,1.08,1.15,1.23,1.27,1.29,1.31,1.29,1.28,1.29,1.27,1.22,1.2,1.23,1.26,1.28,1.26,1.23,1.19,1.14,1.09,1.04,0.99,0.99,1.04,1.09,1.11,1.11,1.11,1.11,1.09,1.07,1.02,0.92,0.83,0.79,0.78,0.78,0.78,0.8,0.85,0.87,0.82,0.7,0.58,0.51,0.48,0.47,0.44,0.41,0.38,0.33,0.26,0.16,0.01,-0.14,-0.26,-0.33,-0.34,-0.31,-0.29,-0.25,-0.16,-0.01,0.13,0.22,0.27,0.31,0.34,0.34,0.31,0.28,0.27,0.28,0.33,0.4,0.45,0.48,0.49,0.5,0.51,0.5,0.47,0.45,0.45,0.44,0.4,0.36,0.32,0.26,0.21,0.16,0.13,0.12,0.1,0.06,0.0,-0.1,-0.24,-0.4,-0.53,-0.65,-0.78,-0.89,-0.93,-0.91,-0.87,-0.81,-0.76,-0.78,-0.85,-0.9,-0.94,-1.01,-1.11,-1.23,-1.31,-1.22,-1.01,-0.82,-0.67,-0.58,-0.56,-0.59,-0.57,-0.46,-0.39,-0.33,-0.19,-0.04,-0.03,-0.13,-0.24,-0.32,-0.45,-0.65,-0.77,-0.77,-0.73,-0.62,-0.47,-0.29,-0.14,-0.04,0.03,0.02,-0.16,-0.41,-0.64,-0.86,-1.08,-1.29,-1.43,-1.46,-1.41,-1.34,-1.26,-1.2,-1.16,-1.12,-1.08,-1.05,-1.07,-1.13,-1.15,-1.1,-0.98,-0.83,-0.7,-0.59,-0.51,-0.45,-0.42,-0.41,-0.43,-0.5,-0.59,-0.62,-0.62,-0.66,-0.72,-0.75,-0.72,-0.66,-0.6,-0.53,-0.48,-0.44,-0.38,-0.33,-0.29,-0.23,-0.18,-0.16,-0.19,-0.26,-0.34,-0.39,-0.44,-0.49,-0.53,-0.54,-0.5,-0.41,-0.3,-0.18,-0.11,-0.1,-0.12,-0.17,-0.19,-0.2,-0.2,-0.19,-0.16,-0.11,-0.04,0.07,0.18,0.24,0.26,0.27,0.29,0.3,0.28,0.24,0.21,0.21,0.28,0.37,0.48,0.64,0.85,0.99,1.02,1.0,0.95,0.89,0.83,0.77,0.71,0.69,0.72,0.82,0.93,0.99,1.02,1.02,0.99,0.92,0.83,0.71,0.61,0.56,0.53,0.52,0.56,0.65,0.75,0.79,0.79,0.78,0.75,0.72,0.7,0.72,0.76,0.81,0.89,1.01,1.11,1.15,1.18,1.22,1.21,1.16,1.12,1.13,1.13,1.11,1.12,1.19,1.29,1.38,1.39,1.37,1.34,1.24,1.14,1.09,1.1,1.11,1.12,1.15,1.21,1.22,1.2,1.18,1.18,1.19,1.19,1.18,1.19,1.23,1.28,1.35,1.41,1.4,1.31,1.19,1.07,0.93,0.76,0.63,0.55,0.48,0.4,0.33,0.26,0.21,0.21,0.26,0.34,0.36,0.32,0.24,0.17,0.1,0.01,-0.12,-0.24,-0.36,-0.4,-0.33,-0.25,-0.24,-0.29,-0.38,-0.46,-0.5,-0.5,-0.5,-0.53,-0.5,-0.4,-0.27,-0.16,-0.1,-0.07,-0.08,-0.15,-0.25,-0.35,-0.42,-0.47,-0.51,-0.54,-0.53,-0.5,-0.46,-0.4,-0.33,-0.27,-0.24,-0.21,-0.19,-0.18,-0.19,-0.19,-0.17,-0.15,-0.13,-0.1,-0.03,0.05,0.12,0.17,0.21,0.23,0.23,0.22,0.21,0.19,0.17,0.16,0.1,-0.04,-0.24,-0.45,-0.66,-0.84,-0.99,-1.11,-1.22,-1.31,-1.37,-1.4,-1.4,-1.34,-1.21,-1.05,-0.89,-0.73,-0.59,-0.47,-0.37,-0.3,-0.31,-0.38,-0.49,-0.6,-0.69,-0.75,-0.8,-0.81,-0.81,-0.78,-0.78,-0.82,-0.83,-0.87,-0.91,-0.96,-0.98,-0.97,-0.92,-0.85,-0.78,-0.74,-0.7,-0.67,-0.64,-0.6,-0.56,-0.55,-0.56,-0.55,-0.55,-0.58,-0.64,-0.68,-0.7,-0.71,-0.75,-0.81,-0.86,-0.9,-0.93,-0.93,-0.91,-0.88,-0.84,-0.79,-0.75,-0.72,-0.7,-0.67,-0.66,-</t>
  </si>
  <si>
    <t>To_Avoid_Formula0.71,-0.77,-0.82,-0.86,-0.89,-0.9,-0.89,-0.83,-0.75,-0.66,-0.59,-0.53,-0.46,-0.4,-0.35,-0.3,-0.24,-0.16,-0.07,0.03,0.13,0.23,0.33,0.44,0.55,0.65,0.75,0.84,0.92,0.99,1.07,1.17,1.29,1.41,1.47,1.5,1.55,1.52,1.42,1.32,1.28,1.23,1.17,1.12,1.11,1.12,1.1,1.03,0.96,0.92,0.89,0.86,0.84,0.86,0.89,0.9,0.9,0.88,0.83,0.77,0.69,0.62,0.57,0.53,0.52,0.53,0.55,0.56,0.55,0.49,0.39,0.29,0.22,0.16,0.1,0.11,0.18,0.28,0.36,0.42,0.45,0.41,0.31,0.2,0.09,0.0,-0.05,-0.08,-0.06,0.01,0.1,0.2,0.29,0.34,0.37,0.34,0.25,0.13,0.03,-0.06,-0.11,-0.11,-0.03,0.05,0.11,0.16,0.2,0.19,0.16,0.13,0.15,0.21,0.27,0.34,0.4,0.44,0.49,0.49,0.42,0.31,0.2,0.09,-0.04,-0.17,-0.23,-0.25,-0.25,-0.26,-0.24,-0.22,-0.21,-0.25,-0.32,-0.44,-0.55,-0.67,-0.8,-0.87,-0.89,-0.87,-0.85,-0.77,-0.64,-0.51,-0.45,-0.46,-0.51,-0.62,-0.78,-0.93,-1.06,-1.17,-1.26,-1.28,-1.21,-1.14,-1.13,-1.17,-1.26,-1.41,-1.56,-1.65,-1.66,-1.67,-1.74,-1.87,-2.04,-2.12,-1.98,-1.7,-1.44,-1.23,-0.98,-0.76,-0.58,-0.42,-0.29,-0.19,-0.06,0.13,0.31,0.46,0.51,0.37,0.16,0.02,0.0,0.09,0.19,0.26,0.32,0.36,0.42,0.49,0.55,0.61,0.68,0.82,0.96,1.09,1.18,1.23,1.26,1.29,1.32,1.32,1.27,1.15,1.02,0.92,0.86,0.8,0.71,0.66,0.66,0.65,0.62,0.58,0.56,0.56,0.59,0.64,0.7,0.75,0.8,0.84,0.88,0.91,0.94,0.9,0.76,0.6,0.49,0.37,0.26,0.21,0.18,0.09,-0.04,-0.06,0.08,0.24,0.3,0.23,0.11,0.02,-0.03,-0.05,-0.02,0.04,0.07,0.03,-0.07,-0.14,-0.17,-0.18,-0.18,-0.17,-0.15,-0.12,-0.12,-0.15,-0.21,-0.27,-0.32,-0.34,-0.31,-0.22,-0.12,0.0,0.12,0.19,0.21,0.19,0.12,0.02,-0.08,-0.14,-0.14,-0.15,-0.21,-0.28,-0.34,-0.41,-0.51,-0.65,-0.76,-0.84,-0.88,-0.93,-0.95,-0.92,-0.89,-0.9,-0.95,-1.0,-1.03,-1.06,-1.12,-1.2,-1.31,-1.39,-1.44,-1.5,-1.6,-1.72,-1.85,-2.0,-2.18,-2.3,-2.34,-2.36,-2.36,-2.35,</t>
  </si>
  <si>
    <t>To_Avoid_Formula0.47,0.44,0.36,0.26,0.18,0.12,0.03,-0.13,-0.32,-0.49,-0.67,-0.85,-0.95,-1.0,-1.06,-1.13,-1.11,-0.96,-0.78,-0.7,-0.75,-0.8,-0.79,-0.76,-0.75,-0.73,-0.65,-0.52,-0.38,-0.25,-0.15,-0.08,-0.02,0.04,0.08,0.08,0.06,0.06,0.1,0.15,0.2,0.28,0.38,0.48,0.54,0.6,0.67,0.7,0.64,0.58,0.58,0.61,0.63,0.62,0.57,0.52,0.46,0.42,0.36,0.28,0.18,0.05,-0.08,-0.17,-0.18,-0.15,-0.07,0.02,0.09,0.13,0.14,0.12,0.07,0.0,-0.06,-0.14,-0.22,-0.25,-0.16,0.03,0.24,0.41,0.56,0.69,0.74,0.69,0.57,0.42,0.3,0.23,0.16,0.07,-0.01,-0.02,0.0,-0.02,-0.08,-0.13,-0.19,-0.24,-0.28,-0.31,-0.31,-0.3,-0.28,-0.25,-0.2,-0.13,-0.06,0.01,0.08,0.15,0.2,0.21,0.17,0.1,0.05,0.05,0.09,0.18,0.28,0.37,0.49,0.62,0.73,0.77,0.72,0.6,0.42,0.2,0.0,-0.15,-0.25,-0.22,-0.11,0.01,0.12,0.22,0.32,0.42,0.48,0.48,0.43,0.37,0.34,0.3,0.26,0.24,0.23,0.2,0.16,0.11,0.02,-0.1,-0.24,-0.36,-0.45,-0.54,-0.61,-0.64,-0.65,-0.65,-0.63,-0.61,-0.62,-0.66,-0.66,-0.6,-0.5,-0.39,-0.25,-0.11,0.0,0.1,0.19,0.23,0.19,0.15,0.13,0.1,0.08,0.1,0.14,0.2,0.24,0.23,0.17,0.11,0.12,0.16,0.16,0.1,0.01,-0.16,-0.31,-0.35,-0.31,-0.33,-0.37,-0.35,-0.37,-0.51,-0.63,-0.66,-0.64,-0.6,-0.53,-0.41,-0.33,-0.29,-0.22,-0.13,-0.08,-0.04,0.01,0.05,0.05,0.05,0.08,0.09,0.07,0.07,0.12,0.17,0.18,0.19,0.19,0.17,0.14,0.14,0.16,0.22,0.29,0.36,0.43,0.52,0.6,0.65,0.65,0.62,0.58,0.56,0.54,0.51,0.46,0.41,0.42,0.51,0.64,0.76,0.87,0.95,0.99,0.96,0.88,0.77,0.64,0.53,0.47,0.41,0.33,0.25,0.19,0.13,0.05,-0.01,-0.05,-0.09,-0.08,-0.01,0.05,0.08,0.09,0.09,0.06,0.04,0.03,0.0,-0.06,-0.09,-0.07,-0.04,-0.03,-0.05,-0.09,-0.13,-0.18,-0.23,-0.28,-0.32,-0.31,-0.26,-0.2,-0.18,-0.17,-0.17,-0.17,-0.18,-0.2,-0.24,-0.33,-0.41,-0.43,-0.42,-0.4,-0.38,-0.34,-0.28,-0.25,-0.28,-0.38,-0.47,-0.52,-0.51,-0.5,-0.5,-0.5,-0.5,-0.52,-0.55,-0.61,-0.71,-0.82,-0.89,-0.9,-0.85,-0.77,-0.69,-0.61,-0.47,-0.29,-0.11,0.0,0.07,0.13,0.17,0.19,0.17,0.14,0.15,0.18,0.24,0.31,0.36,0.4,0.41,0.42,0.42,0.42,0.38,0.36,0.36,0.35,0.31,0.27,0.23,0.18,0.13,0.1,0.08,0.07,0.06,0.03,-0.02,-0.1,-0.22,-0.35,-0.45,-0.53,-0.62,-0.69,-0.68,-0.61,-0.53,-0.42,-0.35,-0.33,-0.36,-0.38,-0.39,-0.41,-0.48,-0.56,-0.58,-0.46,-0.21,0.01,0.17,0.28,0.3,0.27,0.3,0.41,0.48,0.53,0.66,0.79,0.78,0.65,0.52,0.44,0.29,0.1,-0.02,-0.01,0.04,0.15,0.3,0.47,0.6,0.67,0.71,0.68,0.48,0.21,-0.03,-0.24,-0.44,-0.63,-0.73,-0.73,-0.65,-0.54,-0.44,-0.36,-0.29,-0.23,-0.18,-0.15,-0.15,-0.2,-0.21,-0.15,-0.02,0.13,0.26,0.35,0.42,0.45,0.46,0.45,0.41,0.32,0.22,0.18,0.16,0.11,0.05,0.01,0.03,0.09,0.14,0.19,0.23,0.25,0.29,0.32,0.34,0.37,0.4,0.39,0.33,0.24,0.14,0.07,0.01,-0.05,-0.11,-0.12,-0.08,0.0,0.09,0.19,0.24,0.22,0.18,0.12,0.07,0.05,0.03,0.03,0.04,0.07,0.13,0.22,0.3,0.33,0.32,0.3,0.29,0.27,0.22,0.16,0.11,0.09,0.13,0.2,0.28,0.4,0.57,0.66,0.64,0.57,0.48,0.38,0.28,0.19,0.1,0.05,0.07,0.14,0.22,0.24,0.24,0.21,0.15,0.06,-0.06,-0.19,-0.3,-0.36,-0.39,-0.4,-0.36,-0.27,-0.19,-0.15,-0.16,-0.18,-0.21,-0.25,-0.27,-0.25,-0.22,-0.17,-0.1,0.02,0.1,0.13,0.14,0.15,0.13,0.06,0.01,0.01,0.0,-0.03,-0.03,0.03,0.12,0.2,0.19,0.15,0.1,-0.01,-0.11,-0.16,-0.15,-0.14,-0.14,-0.1,-0.04,-0.03,-0.06,-0.08,-0.08,-0.07,-0.07,-0.08,-0.07,-0.03,0.02,0.09,0.14,0.13,0.03,-0.09,-0.2,-0.33,-0.48,-0.59,-0.63,-0.67,-0.71,-0.74,-0.76,-0.77,-0.73,-0.64,-0.52,-0.46,-0.47,-0.51,-0.54,-0.57,-0.62,-0.69,-0.77,-0.83,-0.81,-0.68,-0.56,-0.49,-0.5,-0.54,-0.57,-0.56,-0.5,-0.46,-0.43,-0.36,-0.21,-0.05,0.08,0.17,0.22,0.23,0.18,0.1,0.03,-0.02,-0.04,-0.05,-0.05,-0.01,0.05,0.11,0.19,0.28,0.35,0.39,0.42,0.46,0.47,0.46,0.46,0.48,0.49,0.51,0.54,0.6,0.67,0.72,0.76,0.78,0.77,0.75,0.72,0.69,0.65,0.61,0.57,0.5,0.34,0.14,-0.07,-0.27,-0.43,-0.54,-0.63,-0.71,-0.75,-0.78,-0.76,-0.72,-0.61,-0.46,-0.27,-0.09,0.08,0.22,0.33,0.43,0.48,0.45,0.37,0.25,0.13,0.04,-0.02,-0.06,-0.07,-0.06,-0.02,-0.02,-0.05,-0.07,-0.1,-0.13,-0.17,-0.18,-0.16,-0.11,-0.03,0.03,0.08,0.11,0.14,0.16,0.19,0.21,0.21,0.2,0.19,0.18,0.14,0.07,0.03,0.0,-0.02,-0.06,-0.12,-0.17,-0.2,-0.23,-0.22,-0.2,-0.16,-0.13,-0.07,-0.03,-0.01,0.01,0.03,0.03,-0.02,-0.09,-0.14,-0.17,-0.2,-0.21,-0.19,-0.1</t>
  </si>
  <si>
    <t>To_Avoid_Formula3,-0.05,0.04,0.1,0.15,0.2,0.24,0.27,0.3,0.34,0.4,0.46,0.53,0.59,0.65,0.71,0.77,0.83,0.88,0.92,0.95,0.97,0.98,0.99,1.02,1.07,1.12,1.1,1.06,1.03,0.92,0.76,0.6,0.5,0.41,0.29,0.2,0.16,0.13,0.07,-0.04,-0.13,-0.2,-0.24,-0.29,-0.32,-0.32,-0.3,-0.3,-0.32,-0.36,-0.41,-0.47,-0.55,-0.62,-0.67,-0.69,-0.69,-0.67,-0.64,-0.61,-0.62,-0.66,-0.74,-0.81,-0.86,-0.89,-0.92,-0.87,-0.77,-0.65,-0.54,-0.46,-0.41,-0.43,-0.51,-0.6,-0.67,-0.73,-0.75,-0.73,-0.67,-0.57,-0.45,-0.32,-0.21,-0.14,-0.1,-0.11,-0.19,-0.29,-0.36,-0.41,-0.43,-0.4,-0.29,-0.18,-0.1,-0.03,0.03,0.04,0.02,0.01,0.04,0.11,0.19,0.26,0.32,0.37,0.41,0.41,0.34,0.24,0.13,0.03,-0.08,-0.19,-0.23,-0.22,-0.19,-0.17,-0.13,-0.09,-0.06,-0.08,-0.13,-0.22,-0.3,-0.38,-0.48,-0.5,-0.48,-0.43,-0.36,-0.25,-0.1,0.06,0.14,0.14,0.1,0.01,-0.12,-0.25,-0.34,-0.42,-0.47,-0.44,-0.33,-0.23,-0.19,-0.2,-0.26,-0.37,-0.48,-0.52,-0.49,-0.45,-0.47,-0.56,-0.67,-0.7,-0.51,-0.18,0.1,0.33,0.58,0.79,0.95,1.08,1.18,1.23,1.33,1.46,1.59,1.67,1.64,1.44,1.17,0.98,0.91,0.96,1.01,1.03,1.04,1.03,1.02,1.03,1.04,1.03,1.04,1.11,1.18,1.24,1.25,1.22,1.16,1.12,1.07,0.99,0.86,0.68,0.49,0.34,0.23,0.13,0.0,-0.08,-0.11,-0.15,-0.21,-0.27,-0.31,-0.33,-0.32,-0.29,-0.25,-0.22,-0.19,-0.17,-0.16,-0.15,-0.14,-0.21,-0.37,-0.54,-0.65,-0.76,-0.86,-0.9,-0.91,-0.98,-1.08,-1.07,-0.91,-0.73,-0.66,-0.71,-0.8,-0.87,-0.89,-0.88,-0.83,-0.74,-0.68,-0.7,-0.77,-0.81,-0.8,-0.77,-0.74,-0.7,-0.64,-0.58,-0.55,-0.55,-0.58,-0.61,-0.62,-0.6,-0.54,-0.42,-0.29,-0.15,-0.01,0.07,0.1,0.08,0.03,-0.06,-0.15,-0.18,-0.16,-0.15,-0.19,-0.23,-0.27,-0.3,-0.38,-0.47,-0.55,-0.58,-0.58,-0.58,-0.55,-0.48,-0.4,-0.38,-0.38,-0.39,-0.38,-0.37,-0.38,-0.43,-0.48,-0.51,-0.51,-0.52,-0.57,-0.63,-0.71,-0.79,-0.89,-0.95,-0.91,-0.85,-0.78,-0.7,</t>
  </si>
  <si>
    <t>To_Avoid_Formula-29.43,-29.4,-29.37,-29.34,-29.31,-29.28,-29.25,-29.22,-29.18,-29.15,-29.12,-29.09,-29.06,-29.03,-29.0,-28.97,-28.94,-28.91,-28.88,-28.85,-28.82,-28.79,-28.76,-28.73,-28.7,-28.67,-28.64,-28.61,-28.59,-28.56,-28.53,-28.5,-28.47,-28.44,-28.41,-28.38,-28.36,-28.33,-28.3,-28.27,-28.24,-28.22,-28.19,-28.16,-28.14,-28.11,-28.08,-28.06,-28.03,-28.0,-27.98,-27.95,-27.93,-27.9,-27.88,-27.85,-27.83,-27.8,-27.78,-27.75,-27.73,-27.7,-27.68,-27.66,-27.63,-27.61,-27.59,-27.57,-27.54,-27.52,-27.5,-27.48,-27.46,-27.44,-27.41,-27.39,-27.37,-27.35,-27.33,-27.31,-27.3,-27.28,-27.26,-27.24,-27.22,-27.21,-27.19,-27.17,-27.16,-27.14,-27.12,-27.11,-27.09,-27.08,-27.06,-27.05,-27.04,-27.02,-27.01,-27.0,-26.99,-26.97,-26.96,-26.95,-26.94,-26.93,-26.92,-26.91,-26.9,-26.89,-26.89,-26.88,-26.87,-26.86,-26.85,-26.85,-26.84,-26.84,-26.83,-26.82,-26.82,-26.81,-26.81,-26.81,-26.8,-26.8,-26.79,-26.79,-26.79,-26.79,-26.78,-26.78,-26.78,-26.78,-26.78,-26.78,-26.78,-26.78,-26.78,-26.78,-26.78,-26.78,-26.78,-26.78,-26.78,-26.78,-26.78,-26.78,-26.79,-26.79,-26.79,-26.79,-26.79,-26.79,-26.8,-26.8,-26.8,-26.8,-26.81,-26.81,-26.81,-26.81,-26.81,-26.82,-26.82,-26.82,-26.82,-26.82,-26.83,-26.83,-26.83,-26.83,-26.83,-26.83,-26.83,-26.83,-26.83,-26.84,-26.84,-26.84,-26.84,-26.84,-26.84,-26.84,-26.84,-26.83,-26.83,-26.83,-26.83,-26.83,-26.83,-26.83,-26.82,-26.82,-26.82,-26.81,-26.81,-26.81,-26.8,-26.8,-26.8,-26.79,-26.79,-26.78,-26.78,-26.77,-26.76,-26.76,-26.75,-26.74,-26.74,-26.73,-26.72,-26.71,-26.7,-26.7,-26.69,-26.68,-26.67,-26.66,-26.65,-26.64,-26.62,-26.61,-26.6,-26.59,-26.58,-26.56,-26.55,-26.54,-26.52,-26.51,-26.49,-26.48,-26.46,-26.45,-26.43,-26.41,-26.39,-26.38,-26.36,-26.34,-26.32,-26.3,-26.28,-26.26,-26.24,-26.22,-26.2,-26.18,-26.15,-26.13,-26.11,-26.08,-26.06,-26.04,-26.01,-25.99,-25.96,-25.93,-25.91,-25.88,-25.86,-25.83,-25.8,-25.77,-25.75,-25.72,-25.69,-25.66,-25.63,-25.6,-25.57,-25.54,-25.51,-25.48,-25.45,-25.42,-25.39,-25.36,-25.32,-25.29,-25.26,-25.23,-25.19,-25.16,-25.13,-25.09,-25.06,-25.03,-24.99,-24.96,-24.92,-24.89,-24.85,-24.82,-24.78,-24.75,-24.71,-24.68,-24.64,-24.61,-24.57,-24.53,-24.5,-24.46,-24.42,-24.39,-24.35,-24.31,-24.28,-24.24,-24.2,-24.17,-24.13,-24.09,-24.05,-24.02,-23.98,-23.94,-23.91,-23.87,-23.83,-23.79,-23.76,-23.72,-23.68,-23.65,-23.61,-23.57,-23.54,-23.5,-23.46,-23.43,-23.39,-23.35,-23.32,-23.28,-23.25,-23.21,-23.17,-23.14,-23.1,-23.07,-23.03,-23.0,-22.96,-22.93,-22.89,-22.86,-22.82,-22.79,-22.75,-22.72,-22.68,-22.65,-22.61,-22.58,-22.55,-22.51,-22.48,-22.45,-22.42,-22.38,-22.35,-22.32,-22.29,-22.25,-22.22,-22.19,-22.16,-22.13,-22.1,-22.07,-22.04,-22.01,-21.98,-21.95,-21.92,-21.89,-21.86,-21.83,-21.8,-21.77,-21.75,-21.72,-21.69,-21.66,-21.64,-21.61,-21.58,-21.56,-21.53,-21.51,-21.48,-21.46,-21.43,-21.41,-21.39,-21.36,-21.34,-21.32,-21.29,-21.27,-21.25,-21.23,-21.21,-21.18,-21.16,-21.14,-21.12,-21.1,-21.09,-21.07,-21.05,-21.03,-21.01,-20.99,-20.98,-20.96,-20.94,-20.93,-20.91,-20.9,-20.88,-20.87,-20.85,-20.84,-20.82,-20.81,-20.8,-20.78,-20.77,-20.76,-20.75,-20.73,-20.72,-20.71,-20.7,-20.69,-20.68,-20.67,-20.66,-20.65,-20.64,-20.63,-20.62,-20.61,-20.61,-20.6,-20.59,-20.58,-20.57,-20.57,-20.56,-20.55,-20.55,-20.54,-20.53,-20.53,-20.52,-20.52,-20.51,-20.5,-20.5,-20.49,-20.49,-20.48,-20.48,-20.47,-20.47,-20.47,-20.46,-20.46,-20.45,-20.45,-20.45,-20.44,-20.44,-20.44,-20.43,-20.43,-20.43,-20.42,-20.42,-20.42,-20.42,-20.41,-20.41,-20.41,-20.41,-20.41,-20.41,-20.41,-20.4,-20.4,-20.4,-20.4,-20.4,-20.4,-20.4,-20.4,-20.4,-20.4,-20.4,-20.4,-20.4,-20.4,-20.4,-20.4,-20.4,-20.41,-20.41,-20.41,-20.41,-20.41,-20.41,-20.41,-20.41,-20.41,-20.41,-20.41,-20.41,-20.41,-20.42,-20.42,-20.42,-20.42,-20.42,-20.42,-20.42,-20.42,-20.42,-20.42,-20.42,-20.42,-20.42,-20.42,-20.42,-20.42,-20.42,-20.42,-20.42,-20.42,-20.42,-20.42,-20.42,-20.42,-20.42,-20.42,-20.42,-20.42,-20.41,-20.41,-20.41,-20.41,-20.41,-20.41,-20.41,-20.4,-20.4,-20.4,-20.4,-20.4,-20.39,-20.39,-20.39,-20.38,-20.38,-2</t>
  </si>
  <si>
    <t>To_Avoid_Formula0.38,-20.37,-20.37,-20.37,-20.36,-20.36,-20.35,-20.35,-20.35,-20.34,-20.34,-20.33,-20.33,-20.32,-20.32,-20.31,-20.3,-20.3,-20.29,-20.28,-20.28,-20.27,-20.26,-20.26,-20.25,-20.24,-20.24,-20.23,-20.22,-20.21,-20.2,-20.2,-20.19,-20.18,-20.17,-20.16,-20.15,-20.14,-20.13,-20.12,-20.11,-20.11,-20.1,-20.09,-20.08,-20.07,-20.05,-20.04,-20.03,-20.02,-20.01,-20.0,-19.99,-19.98,-19.97,-19.96,-19.95,-19.93,-19.92,-19.91,-19.9,-19.89,-19.88,-19.86,-19.85,-19.84,-19.83,-19.81,-19.8,-19.79,-19.77,-19.76,-19.75,-19.73,-19.72,-19.71,-19.69,-19.68,-19.67,-19.65,-19.64,-19.62,-19.61,-19.59,-19.58,-19.56,-19.55,-19.53,-19.52,-19.5,-19.49,-19.47,-19.45,-19.44,-19.42,-19.4,-19.39,-19.37,-19.35,-19.34,-19.32,-19.3,-19.29,-19.27,-19.25,-19.23,-19.21,-19.2,-19.18,-19.16,-19.14,-19.12,-19.11,-19.09,-19.07,-19.05,-19.03,-19.01,-18.99,-18.98,-18.96,-18.94,-18.92,-18.9,-18.88,-18.86,-18.84,-18.83,-18.81,-18.79,-18.77,-18.75,-18.73,-18.71,-18.69,-18.68,-18.66,-18.64,-18.62,-18.6,-18.58,-18.56,-18.55,-18.53,-18.51,-18.49,-18.47,-18.46,-18.44,-18.42,-18.4,-18.38,-18.37,-18.35,-18.33,-18.31,-18.29,-18.28,-18.26,-18.24,-18.22,-18.21,-18.19,-18.17,-18.15,-18.14,-18.12,-18.1,-18.08,-18.07,-18.05,-18.03,-18.01,-18.0,-17.98,-17.96,-17.94,-17.93,-17.91,-17.89,-17.87,-17.86,-17.84,-17.82,-17.81,-17.79,-17.77,-17.75,-17.74,-17.72,-17.7,-17.69,-17.67,-17.65,-17.64,-17.62,-17.6,-17.59,-17.57,-17.55,-17.54,-17.52,-17.5,-17.49,-17.47,-17.46,-17.44,-17.42,-17.41,-17.39,-17.38,-17.36,-17.35,-17.33,-17.32,-17.3,-17.29,-17.27,-17.26,-17.25,-17.23,-17.22,-17.2,-17.19,-17.17,-17.16,-17.15,-17.13,-17.12,-17.1,-17.09,-17.07,-17.06,-17.04,-17.03,-17.01,-17.0,-16.98,-16.97,-16.95,-16.94,-16.92,-16.9,-16.89,-16.87,-16.86,-16.84,-16.82,-16.8,-16.79,-16.77,-16.75,-16.73,-16.71,-16.69,-16.67,-16.65,-16.63,-16.61,-16.59,-16.57,-16.55,-16.53,-16.51,-16.48,-16.46,-16.44,-16.41,-16.39,-16.37,-16.34,-16.32,-16.29,-16.26,-16.24,-16.21,-16.18,-16.15,-16.12,-16.09,-16.06,-16.03,-16.0,-15.97,-15.94,-15.91,-15.88,-15.84,-15.81,-15.77,-15.74,-15.7,-15.67,-15.63,-15.59,-15.56,-15.52,-15.48,-15.44,-15.4,-15.36,-15.32,-15.27,-15.23,-15.19,-15.14,-15.1,-15.06,-15.01,-14.96,-14.92,-14.87,-14.82,-14.77,-14.73,-14.68,-14.63,-14.58,-14.53,-14.47,-14.42,-14.37,-14.32,-14.26,-14.21,-14.16,-14.1,-14.05,-13.99,-13.93,-13.88,-13.82,-13.76,-13.71,-13.65,-13.59,-13.53,-13.47,-13.41,-13.35,-13.29,-13.23,-13.17,-13.11,-13.05,-12.99,-12.93,-12.87,-12.81,-12.75,-12.68,-12.62,-12.56,-12.5,-12.44,-12.37,-12.31,-12.25,-12.19,-12.12,-12.06,-12.0,-11.94,-11.88,-11.81,-11.75,-11.69,-11.63,-11.56,-11.5,-11.44,-11.38,-11.32,-11.26,-11.2,-11.14,-11.07,-11.01,-10.95,-10.89,-10.83,-10.78,-10.72,-10.66,-10.6,-10.54,-10.48,-10.43,-10.37,-10.31,-10.25,-10.2,-10.14,-10.09,-10.03,-9.98,-9.92,-9.87,-9.82,-9.76,-9.71,-9.66,-9.61,-9.56,-9.51,-9.46,-9.41,-9.36,-9.31,-9.26,-9.22,-9.17,-9.12,-9.08,-9.03,-8.99,-8.94,-8.9,-8.85,-8.81,-8.77,-8.73,-8.68,-8.64,-8.6,-8.56,-8.52,-8.48,-8.44,-8.4,-8.37,-8.33,-8.29,-8.25,-8.22,-8.18,-8.14,-8.11,-8.07,-8.04,-8.0,-7.97,-7.94,-7.9,-7.87,-7.84,-7.8,-7.77,-7.74,-7.71,-7.67,-7.64,-7.61,-7.58,-7.55,-7.52,-7.49,-7.46,-7.43,-7.4,-7.37,-7.34,-7.31,-7.28,-7.26,-7.23,-7.2,-7.17,-7.14,-7.12,</t>
  </si>
  <si>
    <t>To_Avoid_Formula-44.33,-44.25,-44.23,-44.22,-44.27,-44.42,-44.59,-44.67,-44.66,-44.61,-44.54,-44.47,-44.39,-44.25,-44.05,-43.93,-43.96,-44.05,-44.07,-44.02,-43.93,-43.82,-43.66,-43.42,-43.18,-43.03,-42.96,-42.89,-42.8,-42.75,-42.76,-42.78,-42.79,-42.76,-42.69,-42.61,-42.54,-42.44,-42.27,-42.12,-42.03,-41.98,-41.97,-41.95,-41.91,-41.88,-41.89,-41.91,-41.9,-41.91,-41.96,-42.04,-42.13,-42.16,-42.08,-41.96,-41.87,-41.73,-41.49,-41.25,-41.16,-41.23,-41.4,-41.54,-41.64,-41.8,-42.06,-42.29,-42.37,-42.37,-42.4,-42.44,-42.43,-42.34,-42.14,-41.87,-41.63,-41.5,-41.43,-41.36,-41.26,-41.23,-41.33,-41.47,-41.59,-41.73,-41.87,-41.96,-42.01,-42.07,-42.14,-42.17,-42.17,-42.19,-42.24,-42.29,-42.33,-42.33,-42.31,-42.33,-42.39,-42.44,-42.41,-42.3,-42.13,-42.02,-41.97,-41.91,-41.81,-41.71,-41.64,-41.56,-41.42,-41.2,-40.97,-40.76,-40.58,-40.38,-40.19,-40.15,-40.25,-40.4,-40.58,-40.78,-40.98,-41.19,-41.39,-41.52,-41.54,-41.5,-41.5,-41.51,-41.5,-41.49,-41.49,-41.5,-41.52,-41.5,-41.43,-41.35,-41.33,-41.35,-41.35,-41.35,-41.38,-41.44,-41.54,-41.64,-41.71,-41.79,-41.93,-42.02,-41.98,-41.91,-41.88,-41.91,-41.93,-41.9,-41.85,-41.86,-41.97,-42.09,-42.15,-42.14,-42.13,-42.14,-42.13,-42.08,-41.99,-41.9,-41.89,-41.96,-42.05,-42.11,-42.15,-42.2,-42.26,-42.3,-42.31,-42.28,-42.25,-42.27,-42.29,-42.28,-42.26,-42.28,-42.29,-42.27,-42.19,-42.08,-42.02,-42.04,-42.05,-42.05,-42.2,-42.61,-43.06,-43.31,-43.34,-43.41,-43.61,-43.81,-43.9,-43.89,-43.8,-43.6,-43.38,-43.19,-43.04,-42.9,-42.77,-42.64,-42.52,-42.52,-42.64,-42.76,-42.81,-42.84,-42.87,-42.87,-42.81,-42.71,-42.51,-42.22,-41.93,-41.66,-41.44,-41.28,-41.17,-41.12,-41.12,-41.12,-41.11,-41.14,-41.25,-41.35,-41.32,-41.17,-41.03,-40.91,-40.75,-40.51,-40.22,-39.95,-39.75,-39.63,-39.53,-39.44,-39.39,-39.38,-39.39,-39.41,-39.39,-39.32,-39.22,-39.11,-38.93,-38.72,-38.56,-38.42,-38.25,-38.05,-37.88,-37.74,-37.66,-37.64,-37.66,-37.68,-37.73,-37.82,-37.89,-37.88,-37.78,-37.66,-37.6,-37.61,-37.62,-37.58,-37.55,-37.59,-37.61,-37.6,-37.56,-37.52,-37.5,-37.48,-37.42,-37.27,-37.09,-36.97,-36.89,-36.79,-36.65,-36.52,-36.49,-36.52,-36.53,-36.44,-36.3,-36.18,-36.05,-35.86,-35.65,-35.45,-35.28,-35.15,-35.04,-34.94,-34.87,-34.85,-34.83,-34.79,-34.73,-34.67,-34.67,-34.73,-34.8,-34.84,-34.88,-34.94,-34.95,-34.88,-34.76,-34.62,-34.43,-34.22,-34.0,-33.77,-33.54,-33.38,-33.29,-33.22,-33.1,-32.97,-32.88,-32.83,-32.79,-32.72,-32.61,-32.48,-32.35,-32.2,-31.98,-31.78,-31.63,-31.47,-31.26,-31.07,-30.97,-30.96,-31.0,-31.04,-31.05,-31.02,-30.93,-30.79,-30.59,-30.39,-30.2,-30.0,-29.76,-29.53,-29.4,-29.41,-29.47,-29.48,-29.42,-29.34,-29.36,-29.42,-29.46,-29.45,-29.39,-29.29,-29.17,-29.09,-29.06,-29.13,-29.37,-29.71,-29.97,-30.02,-29.98,-30.0,-29.99,-29.52,-28.56,-27.51,-26.43,-25.1,-23.63,-22.44,-21.72,-21.31,-21.09,-21.13,-21.36,-21.71,-22.17,-22.82,-23.63,-24.43,-25.09,-25.63,-26.12,-26.48,-26.6,-26.62,-26.67,-26.72,-26.71,-26.63,-26.5,-26.33,-26.14,-25.97,-25.79,-25.56,-25.33,-25.2,-25.26,-25.36,-25.32,-25.24,-25.24,-25.23,-25.08,-24.87,-24.73,-24.64,-24.53,-24.4,-24.28,-24.2,-24.18,-24.2,-24.16,-24.04,-23.87,-23.68,-23.51,-23.31,-23.08,-22.91,-22.83,-22.78,-22.69,-22.59,-22.52,-22.45,-22.35,-22.25,-22.13,-22.0,-21.9,-21.82,-21.72,-21.63,-21.62,-21.7,-21.8,-21.87,-21.88,-21.79,-21.69,-21.59,-21.48,-21.4,-21.35,-21.31,-21.27,-21.32,-21.41,-21.46,-21.48,-21.52,-21.54,-21.49,-21.35,-21.15,-20.93,-20.76,-20.62,-20.47,-20.32,-20.16,-19.98,-19.79,-19.61,-19.39,-19.1,-18.79,-18.56,-18.4,-18.27,-18.18,-18.17,-18.26,-18.42,-18.57,-18.64,-18.68,-18.73,-18.77,-18.72,-18.57,-18.42,-18.34,-18.34,-18.34,-18.27,-18.2,-18.18,-18.19,-18.15,-18.1,-18.03,-17.93,-17.8,-17.66,-17.5,-17.34,-17.25,-17.22,-17.16,-17.03,-16.88,-16.73,-16.6,-16.45,-16.24,-15.99,-15.83,-15.77,-15.72,-15.69,-15.72,-15.79,-15.84,-15.87,-15.9,-15.92,-15.94,-15.94,-15.9,-15.83,-15.74,-15.67,-15.63,-15.6,-15.54,-15.45,-15.39,-15.35,-15.24,-15.02,-14.78,-14.55,-14.39,-14.29,-14.19,-14.09,-14.09,-14.18,-14.24,-14.23,-14.23,-14.28,-1</t>
  </si>
  <si>
    <t>To_Avoid_Formula4.29,-14.19,-13.96,-13.71,-13.55,-13.49,-13.35,-13.08,-12.79,-12.61,-12.53,-12.49,-12.42,-12.28,-12.1,-12.0,-11.92,-11.77,-11.58,-11.46,-11.42,-11.37,-11.22,-11.0,-10.78,-10.63,-10.51,-10.35,-10.2,-10.14,-10.16,-10.23,-10.41,-10.65,-10.87,-11.05,-11.22,-11.38,-11.51,-11.55,-11.49,-11.37,-11.25,-11.14,-10.99,-10.83,-10.69,-10.59,-10.53,-10.5,-10.43,-10.29,-10.16,-10.07,-9.95,-9.76,-9.56,-9.41,-9.28,-9.15,-9.0,-8.77,-8.51,-8.32,-8.21,-8.12,-7.99,-7.89,-7.88,-7.99,-8.14,-8.24,-8.29,-8.38,-8.5,-8.53,-8.45,-8.29,-8.05,-7.78,-7.48,-7.09,-6.69,-6.35,-6.05,-5.79,-5.59,-5.41,-5.27,-5.22,-5.22,-5.13,-4.93,-4.77,-4.68,-4.52,-4.29,-4.15,-4.16,-4.19,-4.09,-3.91,-3.88,-4.08,-4.26,-4.24,-4.09,-3.94,-3.85,-3.77,-3.71,-3.63,-3.48,-3.31,-3.21,-3.11,-2.94,-2.76,-2.65,-2.61,-2.58,-2.53,-2.43,-2.34,-2.34,-2.38,-2.37,-2.29,-2.21,-2.21,-2.3,-2.38,-2.34,-2.26,-2.18,-2.1,-1.97,-1.82,-1.64,-1.44,-1.23,-1.03,-0.83,-0.61,-0.4,-0.2,-0.04,0.0,-0.07,-0.1,-0.1,-0.16,-0.23,-0.22,-0.17,-0.17,-0.19,-0.22,-0.27,-0.29,-0.25,-0.2,-0.2,-0.24,-0.28,-0.24,-0.12,0.04,0.21,0.38,0.52,0.59,0.62,0.66,0.67,0.61,0.55,0.53,0.5,0.46,0.45,0.47,0.5,0.54,0.58,0.6,0.61,0.59,0.52,0.41,0.41,0.48,0.51,0.5,0.56,0.75,0.97,1.09,1.09,1.1,1.15,1.24,1.3,1.34,1.34,1.31,1.25,1.16,1.02,0.86,0.71,0.63,0.6,0.55,0.45,0.36,0.34,0.34,0.23,0.03,-0.17,-0.35,-0.62,-0.86,-0.97,-0.91,-0.71,-0.53,-0.36,-0.18,0.07,0.33,0.46,0.38,0.26,0.22,0.23,0.11,-0.1,-0.28,-0.34,-0.32,-0.25,-0.21,-0.25,-0.29,-0.28,-0.25,-0.28,-0.28,-0.16,0.07,0.41,0.87,1.31,1.7,2.01,2.28,2.4,2.31,2.13,1.97,1.79,1.55,1.32,1.17,1.08,1.0,0.91,0.87,0.89,0.95,0.99,1.0,0.96,0.93,0.91,0.86,0.76,0.67,0.61,0.51,0.37,0.19,-0.01,-0.29,-0.6,-0.98,-1.33,-1.57,-1.7,-1.68,-1.62,-1.56,-1.56,-1.61,-1.64,-1.6,-1.57,-1.6,-1.66,-1.7,-1.76,-1.85,-1.96,-2.05,-2.14,-2.25,-2.34,-2.41,-2.56,-2.77,-2.87,-2.71,-2.49,-2.5,-2.74,-2.92,-2.93,-2.98,-3.17,-3.51,-3.91,-4.29,-4.6,-4.98,-5.41,-5.67,-5.56,-5.12,-4.58,-4.09,-3.55,-2.82,-1.9,-1.02,-0.3,0.29,0.82,1.26,1.46,1.28,0.88,0.54,0.44,0.42,0.22,-0.18,-0.6,-0.79,-0.81,-0.83,-0.91,-0.94,-0.85,-0.74,-0.74,-0.91,-1.25,-1.55,-1.66,-1.68,-1.87,-2.25,-2.59,-2.74,-2.85,-3.05,-3.3,-3.46,-3.48,-3.43,-3.37,-3.34,-3.25,-3.03,-2.72,-2.45,-2.26,-2.08,-1.84,-1.56,-1.27,-1.05,-0.85,-0.55,-0.11,0.29,0.45,0.44,0.47,0.62,0.8,0.97,1.0,0.82,0.49,0.27,0.21,0.12,-0.23,-0.68,-1.04,-1.25,-1.27,-1.24,-1.26,-1.31,-1.21,-0.93,-0.65,-0.46,-0.21,0.21,0.73,1.18,1.49,1.77,2.06,2.32,2.49,2.53,2.41,2.2,1.98,1.71,1.31,0.86,0.58,0.5,0.5,0.47,0.42,0.49,0.73,0.95,1.05,1.12,1.36,1.67,1.86,1.87,1.8,1.73,1.62,1.39,1.07,0.77,0.59,0.51,0.37,0.16,0.02,0.04,0.15,0.21,0.19,0.24,0.37,0.49,0.54,0.58,0.58,0.56,0.65,0.8,0.81,0.68,0.56,0.52,0.47,</t>
  </si>
  <si>
    <t>To_Avoid_Formula-7.89,-7.89,-7.89,-7.88,-7.88,-7.87,-7.87,-7.87,-7.87,-7.87,-7.87,-7.87,-7.87,-7.87,-7.87,-7.88,-7.88,-7.88,-7.89,-7.9,-7.91,-7.92,-7.93,-7.94,-7.95,-7.96,-7.97,-7.98,-7.99,-7.99,-8.0,-8.01,-8.01,-8.01,-8.01,-8.01,-8.01,-8.01,-8.01,-8.02,-8.02,-8.02,-8.02,-8.02,-8.02,-8.02,-8.02,-8.02,-8.02,-8.03,-8.03,-8.04,-8.05,-8.06,-8.07,-8.07,-8.08,-8.08,-8.09,-8.09,-8.1,-8.1,-8.1,-8.1,-8.1,-8.1,-8.1,-8.09,-8.09,-8.08,-8.08,-8.07,-8.07,-8.06,-8.06,-8.05,-8.05,-8.05,-8.04,-8.04,-8.04,-8.04,-8.04,-8.04,-8.04,-8.04,-8.04,-8.04,-8.03,-8.03,-8.03,-8.03,-8.02,-8.02,-8.02,-8.01,-8.01,-8.0,-7.99,-7.99,-7.98,-7.96,-7.95,-7.93,-7.92,-7.9,-7.89,-7.87,-7.86,-7.85,-7.84,-7.83,-7.82,-7.81,-7.8,-7.79,-7.78,-7.78,-7.77,-7.76,-7.75,-7.75,-7.74,-7.73,-7.72,-7.71,-7.7,-7.69,-7.67,-7.66,-7.65,-7.64,-7.63,-7.61,-7.6,-7.59,-7.58,-7.57,-7.56,-7.55,-7.54,-7.53,-7.52,-7.51,-7.5,-7.48,-7.47,-7.46,-7.45,-7.44,-7.43,-7.42,-7.41,-7.4,-7.4,-7.39,-7.38,-7.37,-7.36,-7.35,-7.34,-7.33,-7.32,-7.31,-7.31,-7.3,-7.29,-7.28,-7.27,-7.26,-7.25,-7.24,-7.23,-7.22,-7.22,-7.21,-7.21,-7.21,-7.2,-7.2,-7.19,-7.19,-7.18,-7.17,-7.16,-7.15,-7.14,-7.13,-7.12,-7.11,-7.1,-7.09,-7.09,-7.08,-7.08,-7.07,-7.07,-7.06,-7.06,-7.05,-7.05,-7.04,-7.04,-7.03,-7.03,-7.02,-7.02,-7.01,-7.01,-7.0,-7.0,-6.99,-6.98,-6.97,-6.96,-6.96,-6.95,-6.94,-6.93,-6.93,-6.92,-6.91,-6.9,-6.89,-6.88,-6.87,-6.85,-6.84,-6.82,-6.81,-6.8,-6.79,-6.79,-6.79,-6.78,-6.78,-6.77,-6.77,-6.76,-6.76,-6.75,-6.74,-6.73,-6.72,-6.71,-6.7,-6.69,-6.68,-6.67,-6.66,-6.65,-6.64,-6.63,-6.62,-6.61,-6.6,-6.59,-6.58,-6.57,-6.56,-6.55,-6.54,-6.54,-6.53,-6.52,-6.51,-6.51,-6.5,-6.49,-6.49,-6.48,-6.47,-6.46,-6.46,-6.45,-6.44,-6.44,-6.43,-6.42,-6.41,-6.4,-6.39,-6.38,-6.36,-6.35,-6.34,-6.32,-6.31,-6.3,-6.29,-6.28,-6.27,-6.26,-6.26,-6.25,-6.24,-6.24,-6.23,-6.23,-6.23,-6.22,-6.22,-6.22,-6.21,-6.21,-6.21,-6.21,-6.2,-6.2,-6.2,-6.2,-6.2,-6.2,-6.2,-6.2,-6.19,-6.19,-6.19,-6.18,-6.18,-6.17,-6.17,-6.16,-6.16,-6.16,-6.15,-6.15,-6.15,-6.15,-6.15,-6.15,-6.15,-6.15,-6.15,-6.15,-6.15,-6.15,-6.15,-6.14,-6.14,-6.14,-6.14,-6.14,-6.14,-6.13,-6.13,-6.13,-6.12,-6.12,-6.11,-6.1,-6.09,-6.08,-6.07,-6.06,-6.05,-6.04,-6.03,-6.02,-6.01,-6.0,-5.99,-5.98,-5.96,-5.95,-5.94,-5.93,-5.92,-5.91,-5.9,-5.89,-5.88,-5.87,-5.86,-5.84,-5.83,-5.82,-5.8,-5.79,-5.77,-5.76,-5.74,-5.73,-5.72,-5.7,-5.69,-5.68,-5.66,-5.65,-5.63,-5.62,-5.6,-5.59,-5.57,-5.56,-5.54,-5.53,-5.51,-5.5,-5.49,-5.48,-5.47,-5.46,-5.44,-5.43,-5.42,-5.41,-5.4,-5.39,-5.37,-5.36,-5.35,-5.33,-5.32,-5.31,-5.3,-5.29,-5.27,-5.26,-5.24,-5.23,-5.21,-5.2,-5.18,-5.17,-5.15,-5.14,-5.13,-5.12,-5.11,-5.09,-5.08,-5.06,-5.05,-5.03,-5.02,-5.0,-4.99,-4.98,-4.96,-4.95,-4.94,-4.92,-4.91,-4.9,-4.88,-4.87,-4.86,-4.85,-4.84,-4.82,-4.81,-4.8,-4.78,-4.77,-4.75,-4.74,-4.73,-4.72,-4.7,-4.69,-4.68,-4.67,-4.66,-4.65,-4.64,-4.62,-4.61,-4.6,-4.59,-4.58,-4.58,-4.57,-4.56,-4.55,-4.55,-4.54,-4.53,-4.52,-4.51,-4.5,-4.49,-4.48,-4.47,-4.46,-4.46,-4.45,-4.44,-4.43,-4.42,-4.4,-4.39,-4.38,-4.37,-4.36,-4.34,-4.33,-4.31,-4.29,-4.27,-4.26,-4.24,-4.22,-4.21,-4.19,-4.18,-4.17,-4.15,-4.14,-4.12,-4.11,-4.09,-4.08,-4.06,-4.05,-4.04,-4.02,-4.01,-4.0,-3.98,-3.97,-3.96,-3.94,-3.92,-3.91,-3.89,-3.88,-3.87,-3.85,-3.84,-3.83,-3.81,-3.8,-3.79,-3.78,-3.77,-3.76,-3.74,-3.73,-3.72,-3.71,-3.7,-3.69,-3.69,-3.68,-3.67,-3.67,-3.67,-3.66,-3.66,-3.66,-3.66,-3.66,-3.65,-3.65,-3.65,-3.64,-3.63,-3.63,-3.62,-3.61,-3.6,-3.6,-3.59,-3.58,-3.58,-3.57,-3.57,-3.56,-3.56,-3.55,-3.55,-3.54,-3.54,-3.54,-3.53,-3.53,-3.52,-3.52,-3.52,-3.51,-3.51,-3.51,-3.5,-3.5,-3.49,-3.49,-3.48,-3.48,-3.47,-3.47,-3.46,-3.46,-3.45,-3.45,-3.44,-3.43,-3.43,-3.42,-3.41,-3.4,-3.39,-3.38,-3.37,-3.36,-3.35,-3.34,-3.33,-3.32,-3.31,-3.31,-3.3,-3.29,-3.27,-3.26,-3.25,-3.24,-3.23,-3.21,-3.2,-3.19,-3.18,-3.17,-3.16,-3.15,-3.13,-3.12,-3.11,-3.1,-3.08,-3.07,-3.05,-3.04,-3.02,-3.01,-2.99,-2.98,-2.96,-2.94,-2.93,-2.91,-2.9,-2.88,-2.87,-2.85,-2.83,-2.82,-2.8,-2.79,-2.78,-2.76,-2.75,-2.73,-2.72,-2.71,-2.69,-2.68,-2.67,-2.66,-2.65,-2.64,-2.63,-2.62,-2.61,-2.6</t>
  </si>
  <si>
    <t>To_Avoid_Formula,-2.59,-2.58,-2.57,-2.56,-2.55,-2.54,-2.53,-2.51,-2.5,-2.49,-2.47,-2.46,-2.45,-2.43,-2.42,-2.41,-2.4,-2.39,-2.38,-2.37,-2.36,-2.35,-2.35,-2.34,-2.33,-2.32,-2.31,-2.3,-2.29,-2.28,-2.27,-2.26,-2.25,-2.25,-2.24,-2.23,-2.22,-2.22,-2.21,-2.2,-2.2,-2.19,-2.18,-2.17,-2.16,-2.15,-2.14,-2.13,-2.12,-2.11,-2.1,-2.09,-2.08,-2.07,-2.06,-2.05,-2.04,-2.04,-2.03,-2.03,-2.02,-2.02,-2.01,-2.01,-2.0,-2.0,-1.99,-1.98,-1.98,-1.97,-1.96,-1.96,-1.96,-1.95,-1.95,-1.95,-1.94,-1.94,-1.94,-1.94,-1.93,-1.92,-1.92,-1.91,-1.9,-1.89,-1.88,-1.87,-1.86,-1.85,-1.84,-1.83,-1.82,-1.81,-1.8,-1.79,-1.79,-1.78,-1.77,-1.76,-1.76,-1.75,-1.74,-1.73,-1.72,-1.71,-1.7,-1.69,-1.67,-1.66,-1.64,-1.62,-1.6,-1.58,-1.56,-1.54,-1.53,-1.51,-1.49,-1.47,-1.44,-1.42,-1.4,-1.38,-1.36,-1.33,-1.31,-1.28,-1.26,-1.23,-1.21,-1.19,-1.17,-1.15,-1.13,-1.11,-1.1,-1.08,-1.06,-1.05,-1.03,-1.02,-1.0,-0.99,-0.98,-0.96,-0.95,-0.94,-0.93,-0.92,-0.9,-0.89,-0.88,-0.87,-0.86,-0.86,-0.85,-0.84,-0.84,-0.83,-0.83,-0.83,-0.83,-0.83,-0.83,-0.83,-0.84,-0.84,-0.84,-0.85,-0.85,-0.85,-0.85,-0.86,-0.86,-0.86,-0.87,-0.87,-0.87,-0.88,-0.88,-0.88,-0.88,-0.88,-0.88,-0.88,-0.88,-0.88,-0.88,-0.88,-0.88,-0.87,-0.87,-0.86,-0.86,-0.85,-0.84,-0.84,-0.83,-0.82,-0.81,-0.8,-0.8,-0.79,-0.79,-0.78,-0.77,-0.77,-0.76,-0.75,-0.75,-0.74,-0.73,-0.72,-0.71,-0.71,-0.7,-0.69,-0.69,-0.68,-0.68,-0.67,-0.67,-0.67,-0.67,-0.66,-0.66,-0.66,-0.66,-0.67,-0.67,-0.67,-0.68,-0.68,-0.69,-0.7,-0.7,-0.71,-0.71,-0.72,-0.72,-0.73,-0.74,-0.75,-0.75,-0.76,-0.77,-0.78,-0.79,-0.8,-0.81,-0.82,-0.82,-0.83,-0.84,-0.85,-0.86,-0.87,-0.88,-0.89,-0.9,-0.91,-0.92,-0.92,-0.93,-0.94,-0.94,-0.95,-0.95,-0.95,-0.95,-0.95,-0.95,-0.95,-0.94,-0.94,-0.94,-0.93,-0.92,-0.91,-0.9,-0.9,-0.89,-0.88,-0.87,-0.86,-0.85,-0.84,-0.83,-0.83,-0.82,-0.81,-0.8,-0.79,-0.78,-0.77,-0.76,-0.76,-0.75,-0.74,-0.73,-0.73,-0.72,-0.71,-0.7,-0.69,-0.68,-0.66,-0.65,-0.64,-0.63,-0.63,-0.62,-0.61,-0.6,-0.6,-0.59,-0.59,-0.58,-0.58,-0.58,-0.58,-0.58,-0.58,-0.58,-0.59,-0.59,-0.6,-0.61,-0.61,-0.62,-0.63,-0.64,-0.64,-0.65,-0.66,-0.66,-0.67,-0.68,-0.68,-0.69,-0.7,-0.71,-0.71,-0.72,-0.73,-0.74,-0.74,-0.75,-0.76,-0.76,-0.77,-0.77,-0.78,-0.79,-0.8,-0.8,-0.81,-0.81,-0.82,-0.82,-0.82,-0.83,-0.83,-0.83,-0.83,-0.83,-0.83,-0.83,-0.82,-0.82,-0.82,-0.82,-0.82,</t>
  </si>
  <si>
    <t>To_Avoid_Formula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</t>
  </si>
  <si>
    <t>To_Avoid_Formula0.0,0.0,0.0,0.0,0.0,0.0,0.0,0.0,0.0,0.0,0.0,0.0,0.0,0.0,0.0,0.0,0.0,0.0,0.0,0.0,0.0,0.0,0.0,0.0,0.0,0.0,0.0,0.0,0.0,0.0,0.0,0.0,0.0,0.0,0.0,0.0,0.0,0.0,0.0,0.0,0.0,0.0,0.0,0.0,0.0,0.0,0.0,0.0,0.0,0.0,0.0,0.0,0.0,0.0,0.0,0.0,0.0,0.0,0.0,</t>
  </si>
  <si>
    <t>To_Avoid_Formula0.16,0.27,0.37,0.47,0.55,0.63,0.71,0.77,0.81,0.85,0.88,0.9,0.92,0.92,0.91,0.89,0.86,0.84,0.85,0.9,0.99,1.12,1.27,1.43,1.59,1.74,1.87,2.0,2.11,2.2,2.29,2.36,2.44,2.51,2.59,2.68,2.79,2.91,3.05,3.19,3.33,3.47,3.6,3.73,3.85,3.96,4.06,4.16,4.25,4.34,4.42,4.49,4.56,4.62,4.66,4.71,4.77,4.84,4.92,5.02,5.13,5.25,5.39,5.53,5.68,5.83,5.99,6.14,6.29,6.42,6.54,6.63,6.69,6.72,6.72,6.7,6.66,6.62,6.58,6.54,6.49,6.45,6.41,6.37,6.33,6.3,6.27,6.26,6.25,6.25,6.26,6.28,6.31,6.36,6.43,6.51,6.6,6.71,6.83,6.97,7.11,7.25,7.38,7.49,7.6,7.68,7.75,7.79,7.82,7.84,7.84,7.85,7.85,7.85,7.85,7.84,7.82,7.81,7.78,7.74,7.69,7.62,7.55,7.47,7.4,7.34,7.28,7.24,7.21,7.19,7.17,7.16,7.16,7.16,7.17,7.17,7.15,7.12,7.08,7.01,6.92,6.8,6.66,6.51,6.36,6.2,6.06,5.93,5.81,5.72,5.66,5.61,5.58,5.58,5.59,5.62,5.66,5.7,5.75,5.79,5.82,5.83,5.81,5.77,5.72,5.66,5.6,5.54,5.49,5.45,5.42,5.39,5.37,5.34,5.3,5.26,5.22,5.19,5.18,5.17,5.18,5.18,5.17,5.16,5.12,5.07,5.0,4.94,4.87,4.79,4.7,4.6,4.5,4.41,4.32,4.23,4.13,4.01,3.88,3.74,3.61,3.51,3.46,3.46,3.51,3.59,3.7,3.82,3.94,4.05,4.15,4.23,4.3,4.35,4.4,4.44,4.47,4.5,4.53,4.55,4.57,4.59,4.63,4.68,4.75,4.84,4.94,5.04,5.14,5.23,5.3,5.36,5.39,5.39,5.38,5.35,5.32,5.28,5.23,5.18,5.13,5.09,5.06,5.03,5.02,5.03,5.06,5.12,5.17,5.23,5.27,5.3,5.32,5.34,5.35,5.36,5.38,5.41,5.46,5.51,5.56,5.62,5.67,5.71,5.75,5.78,5.81,5.85,5.91,5.97,6.03,6.08,6.13,6.16,6.18,6.17,6.16,6.13,6.11,6.09,6.08,6.06,6.05,6.03,6.02,6.0,5.98,5.96,5.95,5.94,5.95,5.96,5.99,6.01,6.04,6.08,6.12,6.16,6.2,6.24,6.28,6.32,6.37,6.41,6.45,6.48,6.5,6.52,6.52,6.52,6.51,6.5,6.47,6.44,6.39,6.32,6.25,6.18,6.12,6.06,6.03,6.02,6.05,6.11,6.19,6.28,6.36,6.44,6.5,6.54,6.56,6.56,6.54,6.51,6.47,6.45,6.42,6.41,6.4,6.39,6.39,6.38,6.38,6.37,6.36,6.34,6.32,6.3,6.29,6.28,6.28,6.28,6.28,6.28,6.27,6.26,6.25,6.25,6.25,6.25,6.25,6.26,6.27,6.28,6.29,6.29,6.31,6.33,6.37,6.41,6.47,6.53,6.59,6.64,6.67,6.68,6.68,6.65,6.61,6.56,6.49,6.42,6.35,6.3,6.25,6.21,6.17,6.09,5.95,5.77,5.52,5.23,4.89,4.51,4.12,3.73,3.36,3.02,2.74,2.51,2.32,2.19,2.09,2.03,1.99,2.0,2.03,2.11,2.22,2.38,2.56,2.78,3.01,3.25,3.49,3.72,3.94,4.13,4.3,4.45,4.57,4.66,4.73,4.77,4.8,4.81,4.83,4.84,4.84,4.84,4.84,4.83,4.84,4.85,4.87,4.9,4.91,4.93,4.93,4.94,4.94,4.92,4.9,4.87,4.84,4.81,4.81,4.82,4.86,4.91,4.96,5.0,5.03,5.04,5.04,5.02,4.98,4.93,4.86,4.77,4.67,4.54,4.4,4.26,4.12,4.0,3.92,3.86,3.83,3.83,3.85,3.88,3.92,3.96,3.98,4.0,4.0,3.99,3.97,3.92,3.88,3.84,3.82,3.82,3.83,3.86,3.89,3.91,3.94,3.96,3.96,3.96,3.94,3.92,3.89,3.86,3.84,3.83,3.84,3.86,3.9,3.94,3.98,4.02,4.06,4.1,4.15,4.2,4.25,4.31,4.37,4.41,4.44,4.44,4.42,4.37,4.31,4.23,4.16,4.09,4.03,3.96,3.9,3.83,3.75,3.67,3.59,3.5,3.42,3.36,3.32,3.31,3.32,3.35,3.39,3.43,3.47,3.51,3.54,3.56,3.58,3.59,3.59,3.6,3.6,3.62,3.64,3.66,3.67,3.68,3.67,3.65,3.62,3.58,3.54,3.51,3.5,3.49,3.5,3.52,3.54,3.55,3.55,3.55,3.53,3.51,3.48,3.43,3.38,3.32,3.26,3.2,3.15,3.11,3.09,3.08,3.1,3.13,3.19,3.28,3.4,3.55,3.72,3.88,4.04,4.18,4.29,4.39,4.45,4.49,4.5,4.47,4.41,4.33,4.23,4.12,4.01,3.9,3.8,3.73,3.69,3.68,3.67,3.68,3.7,3.72,3.74,3.75,3.75,3.76,3.76,3.77,3.79,3.81,3.85,3.89,3.94,3.99,4.04,4.08,4.1,4.12,4.11,4.09,4.06,4.03,3.99,3.95,3.93,3.91,3.9,3.9,3.91,3.93,3.95,3.98,4.02,4.06,4.1,4.13,4.15,4.16,4.15,4.14,4.12,4.1,4.07,4.04,4.01,3.97,3.93,3.88,3.83,3.77,3.72,3.68,3.64,3.61,3.58,3.55,3.53,3.51,3.5,3.49,3.49,3.5,3.51,3.53,3.54,3.55,3.57,3.58,3.58,3.57,3.55,3.52,3.48,3.44,3.4,3.36,3.32,3.28,3.24,3.19,3.14,3.08,3.04,3.01,2.99,3.0,3.02,3.05,3.09,3.14,3.19,3.24,3.3,3.35,3.39,3.44,3.48,3.53,3.59,3.65,3.72,3.8,3.86,3.92,3.97,4.0,4.02,4.02,4.01,3.99,3.97,3.94,3.9,3.86,3.8,3.75,3.69,3.62,3.55,3.49,3.44,3.38,3.33,3.28,3.24,3.2,3.16,3.12,3.08,3.05,3.01,2.97,2.94,2.91,2.88,2.87,2.85,2.85,2.84,2.84,2.84,2.84,2.85,2.86,2.87,2.9,2.93,2.98,3.04,3.11,3.19,3.27,3.34,3.42,3.5,3.58,3.66,3.73,3.8,3.87,3.93,3.97,4.0,4.01,4.02,4.01,3.99,3.96,3.91,3.86,3.8,3.74,3.67,3.61,3.55,3.49,3.44,3.4,3.37,3.34,3.32,3.31,3.31,3.32,3.32,3.33,3.34,3.35,3.36,3.37,3.36,3.36,3.34,3.32,3.3,3.28,3</t>
  </si>
  <si>
    <t>To_Avoid_Formula.27,3.24,3.22,3.2,3.18,3.16,3.15,3.13,3.12,3.1,3.09,3.09,3.1,3.11,3.14,3.18,3.22,3.28,3.33,3.39,3.44,3.48,3.51,3.53,3.55,3.56,3.56,3.57,3.59,3.6,3.62,3.63,3.63,3.63,3.63,3.62,3.61,3.61,3.61,3.6,3.59,3.57,3.54,3.49,3.44,3.38,3.32,3.27,3.22,3.17,3.13,3.11,3.09,3.08,3.08,3.08,3.08,3.07,3.05,3.01,2.97,2.93,2.9,2.89,2.91,2.94,2.99,3.03,3.07,3.09,3.1,3.1,3.08,3.06,3.03,3.01,2.98,2.96,2.94,2.9,2.85,2.79,2.73,2.65,2.56,2.47,2.39,2.31,2.25,2.22,2.22,2.28,2.38,2.51,2.64,2.74,2.8,2.79,2.72,2.61,2.45,2.26,2.04,1.82,1.59,1.38,1.19,1.04,0.92,0.82,0.72,0.61,0.47,0.32,0.16,-0.01,-0.17,-0.34,-0.52,-0.71,-0.92,-1.14,-1.38,-1.62,-1.86,-2.09,-2.29,-2.48,-2.64,-2.78,-2.89,-2.98,-3.04,-3.06,-3.04,-2.98,-2.89,-2.78,-2.64,-2.49,-2.31,-2.13,-1.93,-1.73,-1.52,-1.32,-1.13,-0.95,-0.79,-0.66,-0.56,-0.47,-0.39,-0.32,-0.24,-0.16,-0.07,0.02,0.1,0.19,0.27,0.36,0.46,0.56,0.68,0.79,0.9,0.98,1.07,1.16,1.27,1.4,1.55,1.7,1.84,1.95,2.03,2.07,2.09,2.1,2.1,2.1,2.1,2.1,2.1,2.09,2.08,2.06,2.04,2.01,1.98,1.95,1.93,1.91,1.89,1.89,1.9,1.92,1.96,2.01,2.06,2.13,2.21,2.3,2.4,2.52,2.64,2.76,2.88,2.99,3.1,3.18,3.23,3.26,3.27,3.25,3.22,3.19,3.14,3.09,3.04,2.99,2.93,2.87,2.8,2.72,2.63,2.53,2.44,2.34,2.26,2.19,2.13,2.09,2.06,2.04,2.04,2.04,2.04,</t>
  </si>
  <si>
    <t>To_Avoid_Formula-0.28,-0.4,-0.59,-0.78,-1.0,-1.31,-1.62,-1.82,-1.93,-1.99,-1.99,-1.93,-1.84,-1.66,-1.37,-1.1,-0.96,-0.88,-0.77,-0.61,-0.41,-0.23,-0.09,0.09,0.3,0.47,0.58,0.68,0.72,0.69,0.67,0.69,0.67,0.64,0.7,0.82,0.9,1.0,1.13,1.19,1.13,1.01,0.84,0.66,0.52,0.43,0.36,0.32,0.3,0.2,0.07,-0.06,-0.19,-0.29,-0.27,-0.17,-0.07,0.1,0.37,0.6,0.7,0.73,0.69,0.64,0.62,0.59,0.48,0.36,0.3,0.24,0.17,0.15,0.15,0.16,0.28,0.5,0.65,0.65,0.58,0.55,0.54,0.47,0.28,0.06,-0.09,-0.19,-0.27,-0.28,-0.22,-0.18,-0.19,-0.18,-0.17,-0.22,-0.31,-0.39,-0.46,-0.48,-0.46,-0.49,-0.56,-0.57,-0.52,-0.46,-0.35,-0.24,-0.21,-0.21,-0.16,-0.15,-0.18,-0.2,-0.18,-0.18,-0.14,-0.06,0.03,0.13,0.23,0.18,0.02,-0.11,-0.21,-0.34,-0.45,-0.49,-0.51,-0.48,-0.35,-0.22,-0.15,-0.1,-0.06,-0.09,-0.14,-0.16,-0.14,-0.08,0.06,0.19,0.21,0.17,0.14,0.1,0.01,-0.06,-0.11,-0.16,-0.15,-0.15,-0.23,-0.3,-0.24,-0.18,-0.2,-0.24,-0.25,-0.22,-0.15,-0.08,-0.1,-0.13,-0.06,0.04,0.08,0.11,0.21,0.31,0.39,0.49,0.5,0.41,0.27,0.16,0.06,-0.03,-0.07,-0.09,-0.09,-0.08,-0.12,-0.23,-0.35,-0.45,-0.57,-0.72,-0.82,-0.85,-0.84,-0.77,-0.71,-0.75,-0.78,-0.74,-0.76,-0.94,-1.09,-1.02,-0.78,-0.56,-0.43,-0.39,-0.42,-0.41,-0.32,-0.14,0.04,0.19,0.37,0.59,0.8,0.97,1.08,1.08,0.98,0.9,0.9,0.89,0.85,0.91,1.01,1.1,1.21,1.37,1.51,1.6,1.63,1.59,1.5,1.45,1.43,1.37,1.3,1.24,1.13,0.97,0.87,0.83,0.74,0.6,0.53,0.53,0.54,0.54,0.46,0.31,0.17,0.05,-0.12,-0.3,-0.42,-0.48,-0.54,-0.59,-0.64,-0.68,-0.65,-0.6,-0.66,-0.73,-0.69,-0.59,-0.51,-0.42,-0.34,-0.34,-0.37,-0.38,-0.45,-0.56,-0.62,-0.61,-0.54,-0.42,-0.32,-0.34,-0.41,-0.4,-0.39,-0.43,-0.42,-0.33,-0.25,-0.17,-0.1,-0.1,-0.12,-0.09,-0.06,-0.12,-0.19,-0.23,-0.23,-0.23,-0.25,-0.34,-0.4,-0.38,-0.34,-0.33,-0.28,-0.18,-0.1,-0.03,0.03,0.01,-0.06,-0.1,-0.14,-0.21,-0.21,-0.16,-0.11,-0.05,-0.01,-0.08,-0.2,-0.31,-0.44,-0.63,-0.79,-0.82,-0.78,-0.68,-0.52,-0.39,-0.33,-0.25,-0.14,-0.12,-0.21,-0.29,-0.26,-0.18,-0.12,-0.08,-0.1,-0.11,-0.08,-0.06,-0.11,-0.15,-0.14,-0.13,-0.16,-0.14,-0.09,-0.11,-0.18,-0.24,-0.36,-0.55,-0.66,-0.64,-0.57,-0.5,-0.4,-0.27,-0.18,-0.09,0.06,0.22,0.27,0.21,0.18,0.27,0.41,0.56,0.7,0.87,1.04,1.2,1.35,1.5,1.59,1.58,1.54,1.55,1.49,1.37,1.34,1.36,1.29,1.11,0.92,0.87,0.9,0.77,0.48,0.39,0.59,0.84,0.98,1.01,0.96,0.77,0.61,0.59,0.6,0.42,0.12,-0.1,-0.18,-0.21,-0.29,-0.35,-0.24,-0.05,0.11,0.24,0.32,0.4,0.57,0.85,1.02,1.03,1.02,1.12,1.29,1.32,1.06,0.64,0.38,0.29,0.11,-0.14,-0.27,-0.34,-0.46,-0.56,-0.59,-0.7,-0.84,-0.89,-0.96,-1.15,-1.29,-1.27,-1.16,-1.03,-0.94,-0.85,-0.73,-0.61,-0.55,-0.51,-0.44,-0.4,-0.41,-0.36,-0.29,-0.32,-0.39,-0.43,-0.5,-0.63,-0.71,-0.76,-0.83,-0.9,-0.95,-1.01,-1.0,-0.87,-0.77,-0.78,-0.76,-0.7,-0.67,-0.65,-0.63,-0.69,-0.81,-0.87,-0.9,-0.97,-0.98,-0.88,-0.74,-0.58,-0.4,-0.3,-0.27,-0.24,-0.23,-0.29,-0.34,-0.35,-0.34,-0.25,-0.07,0.08,0.08,0.06,0.11,0.12,0.01,-0.11,-0.22,-0.32,-0.39,-0.41,-0.46,-0.48,-0.4,-0.3,-0.25,-0.2,-0.12,-0.07,0.02,0.14,0.2,0.19,0.21,0.23,0.22,0.24,0.31,0.38,0.48,0.59,0.61,0.57,0.58,0.61,0.56,0.54,0.62,0.73,0.82,0.9,0.92,0.87,0.82,0.77,0.62,0.45,0.35,0.31,0.28,0.28,0.23,0.13,0.1,0.09,0.04,-0.02,-0.03,-0.03,0.0,0.08,0.08,0.01,0.0,0.1,0.17,0.21,0.26,0.31,0.36,0.4,0.36,0.23,0.13,0.1,0.01,-0.16,-0.25,-0.21,-0.11,0.02,0.09,0.05,0.02,0.13,0.26,0.25,0.14,0.03,-0.02,0.01,0.04,0.0,-0.06,-0.03,0.01,-0.03,-0.13,-0.18,-0.17,-0.1,-0.02,-0.01,-0.08,-0.1,-0.06,-0.08,-0.14,-0.19,-0.24,-0.31,-0.33,-0.38,-0.47,-0.54,-0.55,-0.57,-0.53,-0.41,-0.28,-0.18,-0.07,0.01,0.03,0.03,0.02,-0.03,-0.08,-0.03,0.06,0.13,0.24,0.4,0.49,0.52,0.59,0.63,0.6,0.61,0.68,0.71,0.68,0.64,0.57,0.49,0.42,0.28,0.1,0.0,0.0,-0.06,-0.21,-0.34,-0.48,-0.57,-0.57,-0.56,-0.57,-0.49,-0.33,-0.21,-0.1,-0.05,-0.1,-0.19,-0.21,-0.22,-0.28,-0.27,-0.11,0.06,0.2,0.39,0.51,0.49,0.37,0.24,0.15,0.12,0.09,-0.04,-0.15,-0.13,-0.05,0.01,0.05,0.06,0.0,-0.11,-0.12,-0.06,-0.02,0.0,0.03,0.04,0.04,0.05,0.01,-0.09,-0.12,-0.08,-0.1,-0.2,-0.27,-0.32,-0.36,-0.4,-0.47,-0.58,-0.63,-0.57,-0.48,-0.41,-0.35,-0.34,-0.36,-0.33,-0.3,-0.37,-0.42,-0.33,-0.15,0.06,0.25,0.31,0.23,0.21,0</t>
  </si>
  <si>
    <t>To_Avoid_Formula.28,0.2,0.04,0.0,0.04,0.07,0.11,0.15,0.15,0.2,0.35,0.47,0.48,0.51,0.59,0.65,0.7,0.79,0.92,1.04,1.13,1.12,1.03,0.97,0.92,0.8,0.66,0.59,0.5,0.34,0.23,0.17,0.08,0.01,-0.03,-0.06,-0.08,-0.04,-0.08,-0.19,-0.22,-0.22,-0.27,-0.32,-0.26,-0.17,-0.07,-0.01,-0.03,-0.1,-0.13,-0.15,-0.2,-0.21,-0.16,-0.14,-0.18,-0.23,-0.34,-0.5,-0.66,-0.78,-0.91,-0.99,-1.04,-1.07,-1.08,-1.05,-1.07,-1.11,-1.1,-1.04,-1.07,-1.08,-0.96,-0.74,-0.48,-0.32,-0.24,-0.16,-0.02,0.11,0.15,0.19,0.29,0.41,0.5,0.49,0.38,0.28,0.24,0.2,0.16,0.15,0.16,0.15,0.15,0.13,0.07,0.0,-0.01,0.04,0.1,0.23,0.37,0.51,0.61,0.64,0.51,0.25,0.01,-0.17,-0.32,-0.43,-0.47,-0.44,-0.33,-0.23,-0.18,-0.16,-0.1,-0.06,-0.07,-0.05,0.03,0.11,0.16,0.21,0.26,0.32,0.38,0.41,0.41,0.4,0.36,0.25,0.12,-0.02,-0.16,-0.19,-0.06,0.17,0.38,0.54,0.64,0.61,0.57,0.57,0.57,0.51,0.43,0.38,0.34,0.31,0.28,0.17,-0.01,-0.16,-0.29,-0.49,-0.78,-1.05,-1.23,-1.28,-1.35,-1.52,-1.71,-1.76,-1.78,-1.92,-2.12,-2.33,-2.54,-2.66,-2.72,-2.87,-3.01,-2.8,-2.21,-1.45,-0.67,0.07,0.77,1.43,2.11,2.7,3.11,3.4,3.67,3.91,4.05,4.06,3.99,3.98,4.1,4.21,4.14,3.96,3.79,3.69,3.68,3.72,3.66,3.49,3.38,3.31,3.13,2.76,2.22,1.65,1.2,0.88,0.51,0.03,-0.41,-0.66,-0.81,-0.99,-1.19,-1.4,-1.48,-1.42,-1.37,-1.4,-1.38,-1.21,-0.94,-0.72,-0.62,-0.61,-0.6,-0.56,-0.56,-0.62,-0.7,-0.77,-0.82,-0.9,-1.05,-1.29,-1.47,-1.51,-1.56,-1.72,-1.93,-2.1,-2.23,-2.26,-2.16,-2.06,-2.12,-2.23,-2.27,-2.25,-2.1,-1.83,-1.59,-1.47,-1.33,-1.08,-0.84,-0.69,-0.57,-0.4,-0.19,0.0,0.14,0.21,0.25,0.23,0.16,0.07,-0.07,-0.27,-0.46,-0.57,-0.68,-0.84,-0.9,-0.81,-0.72,-0.69,-0.6,-0.42,-0.24,-0.09,-0.01,0.04,0.15,0.27,0.27,0.17,0.09,0.01,-0.11,-0.24,-0.34,-0.4,-0.41,-0.42,-0.49,-0.57,-0.53,-0.43,-0.38,-0.37,-0.32,-0.23,-0.13,-0.1,-0.18,-0.25,-0.25,-0.23,-0.2,-0.15,-0.2,-0.3,-0.34,-0.3,-0.3,</t>
  </si>
  <si>
    <t>To_Avoid_Formula0.09,-0.07,-0.29,-0.52,-0.75,-1.03,-1.33,-1.57,-1.78,-1.98,-2.12,-2.19,-2.25,-2.22,-2.11,-1.97,-1.87,-1.8,-1.73,-1.63,-1.52,-1.42,-1.36,-1.32,-1.21,-1.09,-0.98,-0.87,-0.83,-0.83,-0.8,-0.72,-0.69,-0.69,-0.61,-0.48,-0.37,-0.25,-0.13,-0.07,-0.08,-0.14,-0.23,-0.35,-0.44,-0.48,-0.49,-0.47,-0.44,-0.48,-0.56,-0.61,-0.67,-0.74,-0.74,-0.68,-0.6,-0.47,-0.27,-0.1,0.03,0.17,0.29,0.38,0.48,0.59,0.66,0.69,0.71,0.67,0.65,0.67,0.69,0.67,0.72,0.84,0.93,0.93,0.9,0.89,0.89,0.87,0.79,0.68,0.62,0.62,0.62,0.67,0.75,0.83,0.86,0.89,0.91,0.87,0.8,0.73,0.67,0.63,0.63,0.59,0.53,0.51,0.52,0.5,0.51,0.55,0.55,0.52,0.51,0.48,0.42,0.37,0.31,0.22,0.15,0.15,0.17,0.21,0.26,0.23,0.16,0.14,0.14,0.12,0.11,0.15,0.22,0.29,0.4,0.5,0.55,0.59,0.62,0.57,0.5,0.48,0.49,0.52,0.61,0.71,0.73,0.69,0.66,0.62,0.54,0.49,0.48,0.46,0.47,0.49,0.45,0.39,0.39,0.38,0.32,0.26,0.23,0.21,0.22,0.26,0.27,0.27,0.34,0.4,0.41,0.43,0.5,0.56,0.59,0.64,0.65,0.59,0.49,0.4,0.31,0.22,0.18,0.16,0.13,0.09,0.01,-0.13,-0.28,-0.42,-0.6,-0.79,-0.94,-1.06,-1.15,-1.19,-1.22,-1.31,-1.39,-1.4,-1.41,-1.47,-1.48,-1.38,-1.23,-1.07,-0.92,-0.86,-0.93,-1.01,-1.04,-1.03,-1.03,-1.01,-0.94,-0.8,-0.66,-0.54,-0.46,-0.44,-0.46,-0.46,-0.41,-0.39,-0.39,-0.32,-0.21,-0.14,-0.09,-0.01,0.06,0.1,0.12,0.1,0.06,0.09,0.18,0.23,0.25,0.31,0.35,0.33,0.3,0.27,0.19,0.08,0.02,-0.03,-0.07,-0.11,-0.18,-0.29,-0.39,-0.47,-0.58,-0.69,-0.74,-0.73,-0.74,-0.78,-0.83,-0.88,-0.89,-0.89,-0.97,-1.06,-1.06,-1.0,-0.94,-0.85,-0.73,-0.67,-0.62,-0.55,-0.53,-0.55,-0.53,-0.47,-0.41,-0.31,-0.19,-0.15,-0.16,-0.13,-0.09,-0.08,-0.01,0.1,0.21,0.32,0.41,0.45,0.44,0.44,0.43,0.36,0.29,0.25,0.22,0.21,0.21,0.18,0.14,0.15,0.16,0.14,0.16,0.21,0.23,0.25,0.28,0.26,0.2,0.16,0.14,0.12,0.15,0.22,0.29,0.37,0.45,0.47,0.41,0.35,0.26,0.11,-0.05,-0.13,-0.15,-0.13,-0.06,-0.03,-0.06,-0.08,-0.05,-0.08,-0.17,-0.26,-0.26,-0.21,-0.16,-0.12,-0.12,-0.13,-0.12,-0.14,-0.21,-0.3,-0.35,-0.42,-0.48,-0.5,-0.51,-0.58,-0.66,-0.69,-0.76,-0.9,-1.0,-0.99,-0.95,-0.95,-0.94,-0.89,-0.86,-0.84,-0.77,-0.67,-0.62,-0.62,-0.56,-0.42,-0.26,-0.08,0.14,0.4,0.67,0.91,1.12,1.32,1.46,1.52,1.58,1.73,1.89,2.04,2.22,2.34,2.33,2.24,2.11,1.88,1.51,0.96,0.24,-0.39,-0.75,-0.9,-0.89,-0.83,-0.75,-0.67,-0.5,-0.14,0.29,0.6,0.85,1.14,1.46,1.76,1.96,2.11,2.29,2.52,2.73,2.91,3.02,3.1,3.26,3.5,3.66,3.66,3.65,3.73,3.88,3.96,3.83,3.55,3.34,3.26,3.14,2.93,2.76,2.62,2.46,2.34,2.27,2.11,1.92,1.84,1.77,1.58,1.4,1.33,1.34,1.36,1.36,1.35,1.36,1.41,1.45,1.48,1.52,1.54,1.51,1.54,1.59,1.54,1.43,1.34,1.24,1.08,0.95,0.86,0.78,0.74,0.72,0.67,0.65,0.7,0.72,0.64,0.58,0.57,0.56,0.53,0.51,0.44,0.33,0.25,0.18,0.07,0.01,0.02,0.04,0.05,0.08,0.07,0.0,-0.07,-0.15,-0.3,-0.46,-0.59,-0.68,-0.72,-0.68,-0.68,-0.77,-0.85,-0.84,-0.85,-0.94,-1.01,-1.03,-1.07,-1.11,-1.14,-1.19,-1.22,-1.2,-1.2,-1.25,-1.26,-1.19,-1.16,-1.12,-1.04,-1.0,-1.0,-1.0,-1.01,-1.05,-1.09,-1.08,-1.07,-1.03,-0.98,-0.97,-1.0,-0.99,-1.0,-1.08,-1.14,-1.09,-1.0,-0.97,-0.95,-0.94,-0.95,-0.94,-0.95,-1.02,-1.1,-1.12,-1.11,-1.09,-1.05,-1.05,-1.12,-1.15,-1.17,-1.24,-1.32,-1.33,-1.32,-1.3,-1.24,-1.24,-1.31,-1.35,-1.33,-1.34,-1.37,-1.35,-1.29,-1.24,-1.18,-1.16,-1.19,-1.21,-1.2,-1.25,-1.36,-1.42,-1.42,-1.4,-1.36,-1.31,-1.34,-1.39,-1.36,-1.31,-1.34,-1.42,-1.48,-1.5,-1.49,-1.48,-1.51,-1.54,-1.52,-1.51,-1.54,-1.59,-1.6,-1.61,-1.59,-1.54,-1.53,-1.59,-1.61,-1.57,-1.54,-1.51,-1.46,-1.37,-1.26,-1.14,-1.06,-1.04,-1.01,-0.96,-0.95,-0.94,-0.88,-0.8,-0.74,-0.68,-0.64,-0.65,-0.67,-0.67,-0.7,-0.75,-0.74,-0.67,-0.6,-0.49,-0.38,-0.32,-0.28,-0.21,-0.15,-0.16,-0.18,-0.15,-0.12,-0.09,-0.08,-0.11,-0.14,-0.12,-0.11,-0.15,-0.13,-0.05,-0.01,-0.06,-0.14,-0.29,-0.44,-0.53,-0.64,-0.77,-0.84,-0.84,-0.82,-0.8,-0.79,-0.86,-0.95,-0.96,-0.92,-0.91,-0.87,-0.75,-0.57,-0.38,-0.17,-0.06,-0.04,-0.04,-0.06,-0.1,-0.12,-0.09,-0.03,0.02,0.08,0.15,0.21,0.27,0.32,0.29,0.21,0.18,0.22,0.27,0.31,0.33,0.32,0.34,0.4,0.41,0.35,0.33,0.39,0.43,0.4,0.38,0.33,0.28,0.27,0.27,0.22,0.17,0.2,0.26,0.31,0.33,0.28,0.2,0.15,0.1,-0.04,-0.17,-0.16,-0.04,0.12,0.3,0.41,0.42,0.48</t>
  </si>
  <si>
    <t>To_Avoid_Formula,0.6,0.61,0.53,0.52,0.57,0.64,0.72,0.81,0.86,0.96,1.12,1.26,1.31,1.4,1.54,1.63,1.66,1.73,1.84,1.95,2.05,2.08,2.06,2.06,2.08,2.05,2.01,2.0,1.98,1.88,1.81,1.77,1.7,1.62,1.58,1.56,1.55,1.62,1.63,1.57,1.54,1.5,1.43,1.38,1.4,1.39,1.38,1.4,1.39,1.33,1.27,1.22,1.14,1.11,1.17,1.21,1.19,1.18,1.13,1.03,0.91,0.78,0.62,0.5,0.43,0.37,0.29,0.24,0.2,0.16,0.19,0.23,0.23,0.23,0.29,0.38,0.44,0.43,0.36,0.28,0.25,0.21,0.16,0.2,0.33,0.46,0.53,0.55,0.53,0.48,0.44,0.35,0.23,0.17,0.15,0.13,0.08,0.02,-0.07,-0.18,-0.29,-0.4,-0.53,-0.64,-0.71,-0.75,-0.77,-0.82,-0.97,-1.15,-1.27,-1.36,-1.43,-1.43,-1.38,-1.3,-1.19,-1.06,-1.0,-0.99,-0.96,-0.97,-1.02,-1.02,-0.93,-0.85,-0.8,-0.74,-0.65,-0.55,-0.46,-0.38,-0.32,-0.24,-0.19,-0.19,-0.19,-0.19,-0.21,-0.19,-0.06,0.1,0.24,0.34,0.4,0.38,0.33,0.3,0.26,0.2,0.13,0.08,0.04,0.04,0.03,-0.06,-0.23,-0.38,-0.52,-0.75,-1.03,-1.29,-1.52,-1.77,-2.05,-2.32,-2.51,-2.61,-2.76,-3.02,-3.27,-3.48,-3.68,-3.81,-3.93,-4.13,-4.29,-4.21,-3.91,-3.57,-3.21,-2.82,-2.45,-2.16,-1.89,-1.64,-1.44,-1.26,-1.04,-0.79,-0.49,-0.12,0.28,0.69,1.12,1.5,1.8,2.07,2.36,2.6,2.83,3.12,3.34,3.42,3.5,3.62,3.68,3.63,3.46,3.21,2.96,2.78,2.62,2.41,2.2,2.06,1.98,1.93,1.84,1.7,1.6,1.61,1.61,1.53,1.48,1.53,1.65,1.75,1.78,1.74,1.67,1.61,1.52,1.4,1.28,1.12,0.91,0.69,0.52,0.35,0.2,0.11,0.0,-0.22,-0.43,-0.5,-0.48,-0.43,-0.35,-0.23,-0.16,-0.11,-0.05,-0.01,0.05,0.22,0.4,0.47,0.5,0.55,0.61,0.64,0.62,0.57,0.53,0.53,0.56,0.55,0.5,0.42,0.33,0.29,0.27,0.21,0.15,0.19,0.28,0.31,0.35,0.43,0.48,0.47,0.53,0.64,0.68,0.69,0.71,0.71,0.71,0.68,0.6,0.51,0.47,0.43,0.36,0.32,0.35,0.4,0.43,0.4,0.33,0.29,0.33,0.34,0.26,0.17,0.16,0.17,0.14,0.06,-0.1,-0.24,-0.3,-0.33,-0.39,-0.48,-0.58,-0.67,-0.72,-0.72,-0.77,</t>
  </si>
  <si>
    <t>To_Avoid_Formula-3.09,-3.21,-3.33,-3.45,-3.53,-3.6,-3.68,-3.74,-3.82,-3.88,-3.88,-3.83,-3.74,-3.61,-3.41,-3.15,-2.87,-2.6,-2.36,-2.15,-1.94,-1.75,-1.65,-1.58,-1.46,-1.27,-1.06,-0.86,-0.74,-0.65,-0.5,-0.3,-0.16,-0.08,0.05,0.23,0.38,0.52,0.63,0.68,0.69,0.68,0.64,0.59,0.55,0.56,0.62,0.72,0.8,0.81,0.81,0.84,0.87,0.85,0.84,0.87,0.94,1.03,1.14,1.21,1.32,1.51,1.72,1.85,1.98,2.12,2.26,2.34,2.31,2.2,2.1,2.07,1.99,1.85,1.73,1.65,1.57,1.44,1.33,1.24,1.16,1.09,1.01,0.93,0.89,0.91,0.93,0.96,1.01,1.04,1.04,1.01,0.95,0.85,0.73,0.62,0.5,0.4,0.33,0.25,0.16,0.12,0.06,-0.06,-0.17,-0.22,-0.27,-0.35,-0.43,-0.52,-0.62,-0.71,-0.83,-1.0,-1.15,-1.21,-1.23,-1.24,-1.22,-1.2,-1.15,-1.05,-0.9,-0.79,-0.67,-0.51,-0.34,-0.21,-0.11,-0.04,-0.02,0.01,0.01,-0.05,-0.14,-0.17,-0.16,-0.15,-0.11,-0.06,-0.07,-0.11,-0.14,-0.19,-0.26,-0.29,-0.26,-0.23,-0.2,-0.15,-0.14,-0.17,-0.21,-0.27,-0.35,-0.4,-0.42,-0.46,-0.47,-0.41,-0.35,-0.29,-0.21,-0.16,-0.16,-0.16,-0.1,-0.07,-0.09,-0.1,-0.1,-0.13,-0.18,-0.25,-0.32,-0.37,-0.38,-0.38,-0.4,-0.44,-0.52,-0.63,-0.74,-0.86,-1.0,-1.15,-1.23,-1.3,-1.36,-1.39,-1.37,-1.37,-1.36,-1.29,-1.15,-0.94,-0.68,-0.44,-0.25,-0.05,0.19,0.32,0.28,0.17,0.08,-0.02,-0.12,-0.18,-0.17,-0.08,0.03,0.09,0.13,0.17,0.23,0.31,0.39,0.42,0.43,0.5,0.58,0.58,0.53,0.47,0.41,0.34,0.29,0.22,0.17,0.22,0.34,0.43,0.47,0.57,0.68,0.72,0.68,0.58,0.45,0.3,0.19,0.07,-0.06,-0.17,-0.27,-0.37,-0.43,-0.46,-0.51,-0.54,-0.48,-0.38,-0.32,-0.31,-0.33,-0.36,-0.37,-0.39,-0.46,-0.52,-0.5,-0.44,-0.36,-0.24,-0.07,0.07,0.21,0.35,0.45,0.53,0.62,0.71,0.75,0.82,0.93,0.99,0.99,1.0,1.03,1.06,1.13,1.22,1.3,1.35,1.4,1.4,1.32,1.21,1.08,0.94,0.81,0.71,0.6,0.53,0.51,0.5,0.47,0.43,0.37,0.29,0.25,0.22,0.15,0.09,0.06,0.01,-0.08,-0.13,-0.15,-0.15,-0.09,-0.01,0.05,0.12,0.22,0.27,0.26,0.21,0.15,0.02,-0.12,-0.22,-0.29,-0.32,-0.32,-0.37,-0.47,-0.56,-0.6,-0.65,-0.73,-0.78,-0.78,-0.73,-0.65,-0.57,-0.54,-0.53,-0.52,-0.53,-0.6,-0.7,-0.79,-0.87,-0.91,-0.91,-0.93,-1.0,-1.02,-0.95,-0.89,-0.91,-0.91,-0.82,-0.74,-0.72,-0.72,-0.68,-0.64,-0.62,-0.58,-0.49,-0.41,-0.31,-0.14,0.08,0.27,0.46,0.73,1.04,1.33,1.55,1.71,1.82,1.86,1.83,1.84,1.97,2.19,2.42,2.61,2.64,2.48,2.28,2.03,1.47,0.58,-0.48,-1.64,-2.76,-3.6,-4.03,-4.04,-3.82,-3.5,-3.07,-2.48,-1.69,-0.82,-0.02,0.73,1.45,2.1,2.61,2.96,3.16,3.25,3.34,3.41,3.45,3.38,3.24,3.16,3.14,3.03,2.79,2.53,2.36,2.26,2.15,1.93,1.58,1.25,1.04,0.83,0.54,0.23,-0.05,-0.31,-0.49,-0.63,-0.85,-1.08,-1.18,-1.22,-1.36,-1.53,-1.6,-1.61,-1.63,-1.64,-1.68,-1.71,-1.66,-1.57,-1.48,-1.4,-1.35,-1.33,-1.26,-1.18,-1.2,-1.28,-1.34,-1.4,-1.49,-1.56,-1.58,-1.55,-1.44,-1.31,-1.22,-1.14,-1.04,-0.99,-1.02,-1.04,-0.99,-0.93,-0.89,-0.83,-0.79,-0.77,-0.74,-0.72,-0.73,-0.7,-0.63,-0.6,-0.61,-0.61,-0.61,-0.65,-0.69,-0.75,-0.86,-0.99,-1.08,-1.13,-1.13,-1.09,-1.08,-1.13,-1.12,-1.02,-0.91,-0.84,-0.72,-0.52,-0.36,-0.25,-0.16,-0.07,0.01,0.1,0.1,0.06,0.11,0.26,0.38,0.45,0.56,0.65,0.7,0.74,0.75,0.72,0.68,0.67,0.66,0.67,0.7,0.71,0.71,0.73,0.71,0.59,0.52,0.56,0.62,0.6,0.55,0.54,0.55,0.59,0.62,0.62,0.62,0.65,0.71,0.77,0.84,0.86,0.8,0.76,0.71,0.61,0.51,0.5,0.51,0.51,0.53,0.52,0.44,0.35,0.28,0.18,0.07,0.05,0.1,0.13,0.17,0.23,0.27,0.3,0.32,0.28,0.2,0.16,0.13,0.05,-0.02,-0.02,-0.05,-0.14,-0.21,-0.26,-0.32,-0.38,-0.41,-0.41,-0.42,-0.43,-0.45,-0.46,-0.45,-0.47,-0.5,-0.5,-0.47,-0.47,-0.5,-0.49,-0.48,-0.52,-0.54,-0.49,-0.42,-0.31,-0.16,0.06,0.32,0.57,0.73,0.81,0.89,0.96,0.95,0.88,0.84,0.82,0.78,0.73,0.65,0.54,0.45,0.41,0.34,0.24,0.17,0.16,0.19,0.22,0.24,0.19,0.15,0.16,0.16,0.08,-0.04,-0.12,-0.15,-0.15,-0.15,-0.21,-0.26,-0.2,-0.11,-0.06,0.02,0.13,0.21,0.22,0.14,-0.05,-0.28,-0.47,-0.67,-0.91,-1.11,-1.22,-1.28,-1.3,-1.31,-1.36,-1.42,-1.38,-1.24,-1.11,-1.01,-0.88,-0.67,-0.43,-0.23,-0.15,-0.12,-0.04,0.03,0.01,-0.04,0.05,0.26,0.44,0.53,0.55,0.56,0.6,0.63,0.59,0.5,0.42,0.41,0.44,0.45,0.42,0.36,0.36,0.43,0.46,0.4,0.36,0.4,0.46,0.48,0.47,0.4,0.33,0.34,0.4,0.39,0.34,0.33,0.37,0.38,0.34,0.23,0.08,-0.04,-0.17,-0.36,-0.52,-0.55,-0.47,-0.35,-0.19,-0.05,0.05,0.16,0.32,0.38,0.35,0.35,0.39</t>
  </si>
  <si>
    <t>To_Avoid_Formula,0.46,0.56,0.66,0.72,0.81,0.93,1.01,1.02,1.09,1.2,1.22,1.13,1.07,1.05,1.02,1.01,0.97,0.89,0.83,0.81,0.77,0.71,0.68,0.63,0.51,0.4,0.32,0.2,0.07,0.0,-0.05,-0.08,-0.03,0.0,-0.03,-0.08,-0.18,-0.28,-0.34,-0.36,-0.46,-0.58,-0.61,-0.6,-0.65,-0.71,-0.79,-0.86,-0.87,-0.78,-0.7,-0.65,-0.6,-0.56,-0.57,-0.6,-0.68,-0.81,-0.88,-0.87,-0.88,-0.92,-0.94,-0.91,-0.82,-0.69,-0.55,-0.42,-0.32,-0.23,-0.2,-0.26,-0.37,-0.53,-0.68,-0.81,-0.95,-1.01,-0.88,-0.65,-0.48,-0.38,-0.28,-0.19,-0.14,-0.15,-0.24,-0.38,-0.44,-0.42,-0.4,-0.43,-0.48,-0.53,-0.61,-0.73,-0.91,-1.14,-1.38,-1.55,-1.65,-1.69,-1.72,-1.77,-1.74,-1.62,-1.48,-1.31,-1.07,-0.8,-0.55,-0.31,-0.08,0.08,0.16,0.22,0.23,0.2,0.24,0.38,0.51,0.59,0.71,0.85,0.99,1.1,1.21,1.32,1.45,1.55,1.63,1.71,1.82,1.87,1.9,1.97,2.01,1.98,1.93,1.88,1.76,1.6,1.44,1.29,1.15,1.02,0.91,0.81,0.77,0.74,0.61,0.41,0.26,0.1,-0.15,-0.41,-0.6,-0.8,-1.15,-1.53,-1.77,-1.8,-1.77,-1.88,-2.07,-2.17,-2.16,-2.1,-2.01,-1.95,-1.93,-1.86,-1.64,-1.4,-1.28,-1.18,-1.01,-0.88,-0.92,-1.04,-1.14,-1.18,-1.17,-1.07,-0.88,-0.54,0.04,0.72,1.34,1.83,2.2,2.56,2.96,3.36,3.56,3.66,3.81,3.9,3.84,3.69,3.59,3.48,3.35,3.18,2.92,2.56,2.24,2.03,1.86,1.67,1.47,1.3,1.21,1.11,0.91,0.69,0.55,0.41,0.21,0.02,-0.12,-0.22,-0.31,-0.42,-0.59,-0.8,-1.0,-1.22,-1.41,-1.58,-1.83,-2.18,-2.47,-2.59,-2.62,-2.64,-2.65,-2.7,-2.84,-2.88,-2.69,-2.35,-2.06,-1.82,-1.54,-1.21,-0.86,-0.58,-0.41,-0.31,-0.14,0.06,0.16,0.12,0.05,-0.01,-0.06,-0.17,-0.39,-0.62,-0.74,-0.78,-0.81,-0.89,-0.97,-1.01,-0.93,-0.76,-0.59,-0.44,-0.18,0.17,0.47,0.67,0.79,0.83,0.84,0.92,0.97,0.88,0.78,0.76,0.73,0.62,0.45,0.31,0.26,0.29,0.32,0.33,0.42,0.62,0.81,0.9,0.88,0.85,0.87,0.93,0.88,0.7,0.56,0.52,0.48,0.36,0.2,0.01,-0.15,-0.2,-0.21,-0.3,-0.44,-0.52,-0.52,-0.48,-0.44,-0.44,</t>
  </si>
  <si>
    <t>To_Avoid_Formula1.32,1.25,1.27,1.31,1.22,1.01,0.83,0.75,0.7,0.65,0.61,0.58,0.51,0.45,0.42,0.4,0.3,0.18,0.15,0.25,0.49,0.77,1.01,1.24,1.43,1.51,1.5,1.49,1.45,1.3,1.17,1.17,1.26,1.31,1.33,1.32,1.28,1.22,1.14,1.06,1.01,0.98,0.92,0.85,0.84,0.88,0.89,0.88,0.86,0.78,0.66,0.51,0.31,0.11,0.04,0.06,0.11,0.24,0.45,0.65,0.72,0.66,0.51,0.36,0.27,0.15,-0.02,-0.15,-0.21,-0.29,-0.44,-0.57,-0.7,-0.84,-0.88,-0.71,-0.4,-0.1,0.11,0.28,0.54,0.83,0.96,0.9,0.78,0.68,0.57,0.47,0.33,0.07,-0.27,-0.53,-0.67,-0.76,-0.88,-1.03,-1.1,-1.0,-0.84,-0.74,-0.66,-0.57,-0.46,-0.29,-0.06,0.12,0.19,0.26,0.39,0.53,0.65,0.77,0.91,1.1,1.36,1.63,1.86,2.04,2.11,1.98,1.76,1.57,1.33,1.03,0.73,0.46,0.17,-0.11,-0.33,-0.53,-0.74,-0.93,-1.12,-1.3,-1.34,-1.25,-1.11,-0.92,-0.65,-0.37,-0.15,0.05,0.17,0.18,0.13,0.06,-0.03,-0.14,-0.21,-0.3,-0.43,-0.5,-0.48,-0.48,-0.53,-0.58,-0.58,-0.55,-0.49,-0.48,-0.53,-0.55,-0.5,-0.43,-0.34,-0.2,-0.11,-0.1,-0.09,-0.02,0.03,-0.03,-0.15,-0.26,-0.29,-0.24,-0.16,-0.16,-0.18,-0.15,-0.12,-0.14,-0.21,-0.28,-0.36,-0.39,-0.34,-0.22,-0.08,0.07,0.19,0.22,0.25,0.26,0.08,-0.36,-0.8,-1.02,-1.06,-1.15,-1.34,-1.51,-1.63,-1.71,-1.72,-1.59,-1.34,-1.14,-0.98,-0.7,-0.17,0.42,0.79,0.82,0.77,0.85,0.99,1.06,1.02,0.93,0.79,0.67,0.68,0.82,0.97,1.11,1.2,1.25,1.35,1.52,1.65,1.69,1.74,1.74,1.62,1.46,1.39,1.34,1.19,1.02,0.91,0.94,1.06,1.22,1.37,1.49,1.59,1.66,1.74,1.87,1.96,1.91,1.78,1.71,1.69,1.64,1.58,1.5,1.38,1.33,1.38,1.48,1.57,1.65,1.72,1.75,1.75,1.72,1.59,1.4,1.22,1.05,0.94,0.9,0.83,0.64,0.43,0.3,0.19,0.07,0.03,0.06,0.11,0.2,0.32,0.4,0.46,0.52,0.57,0.63,0.72,0.83,0.93,1.03,1.09,1.09,1.07,1.13,1.22,1.32,1.44,1.56,1.62,1.64,1.69,1.74,1.75,1.71,1.65,1.64,1.69,1.74,1.71,1.63,1.51,1.31,1.06,0.81,0.57,0.34,0.2,0.16,0.17,0.25,0.42,0.62,0.79,0.96,1.13,1.29,1.44,1.59,1.74,1.91,2.06,2.12,2.09,2.05,2.01,1.95,1.86,1.8,1.79,1.76,1.74,1.82,1.96,2.03,2.01,1.93,1.83,1.74,1.66,1.59,1.55,1.57,1.61,1.6,1.58,1.63,1.71,1.74,1.66,1.56,1.48,1.52,1.63,1.71,1.66,1.51,1.33,1.14,0.99,0.91,0.83,0.67,0.47,0.28,0.03,-0.24,-0.48,-0.6,-0.64,-0.64,-0.57,-0.06,0.89,1.88,2.86,4.07,5.45,6.62,7.41,8.07,8.62,8.84,8.66,8.28,7.84,7.17,5.89,4.13,2.42,0.8,-1.02,-2.85,-4.16,-4.9,-5.36,-5.63,-5.58,-5.27,-4.8,-4.16,-3.32,-2.34,-1.36,-0.47,0.3,0.92,1.22,1.24,1.29,1.43,1.48,1.48,1.55,1.63,1.59,1.5,1.44,1.39,1.29,1.13,1.02,1.05,1.19,1.29,1.37,1.56,1.72,1.77,1.79,1.83,1.82,1.75,1.71,1.68,1.67,1.73,1.85,1.91,1.91,1.87,1.78,1.69,1.59,1.45,1.28,1.13,0.98,0.82,0.71,0.73,0.76,0.76,0.77,0.73,0.65,0.59,0.55,0.4,0.22,0.16,0.22,0.28,0.33,0.39,0.44,0.54,0.66,0.73,0.78,0.88,0.99,1.11,1.34,1.62,1.85,2.09,2.41,2.75,2.93,2.95,2.87,2.75,2.58,2.36,2.05,1.75,1.52,1.31,1.06,0.83,0.67,0.53,0.38,0.22,0.06,-0.07,-0.09,-0.02,0.08,0.23,0.41,0.54,0.65,0.8,0.98,1.07,1.07,1.07,1.08,1.12,1.18,1.24,1.32,1.45,1.58,1.7,1.86,2.04,2.1,2.03,1.93,1.81,1.62,1.46,1.38,1.28,1.13,0.96,0.8,0.66,0.55,0.41,0.25,0.16,0.14,0.12,0.15,0.27,0.4,0.49,0.64,0.88,1.14,1.39,1.55,1.62,1.64,1.65,1.58,1.45,1.36,1.31,1.22,1.12,1.06,1.05,1.06,1.07,1.0,0.91,0.94,1.11,1.3,1.48,1.65,1.75,1.81,1.96,2.17,2.29,2.26,2.19,2.13,2.1,2.07,1.97,1.86,1.8,1.83,1.9,1.99,2.08,2.07,1.96,1.84,1.69,1.37,0.93,0.58,0.37,0.16,-0.16,-0.51,-0.77,-0.86,-0.87,-0.91,-0.94,-0.85,-0.67,-0.45,-0.18,0.11,0.37,0.62,0.92,1.22,1.44,1.6,1.73,1.81,1.84,1.86,1.85,1.83,1.91,2.08,2.22,2.29,2.31,2.3,2.27,2.19,1.96,1.62,1.33,1.12,0.89,0.65,0.47,0.32,0.23,0.27,0.43,0.64,0.91,1.2,1.54,1.95,2.35,2.65,2.87,3.12,3.28,3.31,3.32,3.36,3.28,3.1,2.96,2.8,2.55,2.19,1.85,1.7,1.67,1.54,1.19,0.96,0.98,1.04,0.99,0.92,0.91,0.8,0.65,0.67,0.84,0.98,0.99,0.97,1.11,1.42,1.65,1.66,1.56,1.51,1.51,1.43,1.33,1.26,1.18,1.1,1.0,0.81,0.57,0.42,0.4,0.42,0.48,0.55,0.61,0.7,0.89,1.15,1.34,1.47,1.6,1.81,2.1,2.33,2.34,2.19,2.08,2.0,1.81,1.58,1.42,1.28,1.06,0.84,0.61,0.34,0.12,-0.05,-0.16,-0.2,-0.17,-0.18,-0.14,0.04,0.28,0.43,0.55,0.69,0.78,0.84,0.93,0.95,0.86,0.76,0.73,0.74,0.74,0.7,0.59,0.46,0.33,0.2,0.08,0.03,-0.02,-0.14,-0.25,-0.21,-0.08,-0.02,0.0,0.1,0.3,0.5,0.59,0.55,0.51,0.</t>
  </si>
  <si>
    <t>To_Avoid_Formula56,0.63,0.71,0.82,0.93,0.9,0.77,0.66,0.52,0.29,-0.04,-0.34,-0.49,-0.54,-0.65,-0.79,-0.9,-0.96,-1.11,-1.31,-1.48,-1.59,-1.79,-1.88,-1.83,-1.62,-1.35,-1.12,-0.9,-0.63,-0.29,-0.01,0.12,0.15,0.23,0.39,0.57,0.74,0.76,0.7,0.57,0.39,0.28,0.14,-0.07,-0.36,-0.6,-0.71,-0.66,-0.54,-0.38,-0.15,0.3,0.96,1.58,2.04,2.32,2.52,2.61,2.56,2.43,2.25,2.04,1.83,1.6,1.33,1.01,0.59,0.05,-0.44,-0.8,-1.06,-1.29,-1.4,-1.35,-1.2,-1.06,-0.93,-0.79,-0.65,-0.56,-0.57,-0.63,-0.72,-0.88,-1.18,-1.54,-1.98,-2.33,-2.53,-2.63,-2.6,-2.48,-2.32,-2.23,-2.22,-2.15,-1.96,-1.76,-1.58,-1.37,-1.11,-0.77,-0.52,-0.39,-0.35,-0.46,-0.63,-0.78,-0.85,-0.95,-1.13,-1.28,-1.14,-0.89,-0.85,-1.03,-1.17,-1.08,-1.02,-1.12,-1.36,-1.66,-1.95,-2.19,-2.42,-2.64,-2.8,-2.85,-2.63,-2.08,-1.35,-0.63,0.11,1.07,2.15,3.21,4.2,5.11,5.87,6.44,6.69,6.55,6.1,5.56,5.0,4.31,3.38,2.21,1.11,0.21,-0.53,-1.2,-1.77,-2.11,-2.2,-2.02,-1.79,-1.79,-1.98,-2.08,-1.9,-1.69,-1.64,-1.79,-1.94,-2.01,-2.14,-2.36,-2.61,-2.75,-2.69,-2.46,-2.09,-1.7,-1.37,-1.04,-0.58,-0.01,0.51,0.9,1.29,1.79,2.25,2.61,2.93,3.32,3.66,3.79,3.68,3.5,3.34,3.25,3.23,3.08,2.66,2.04,1.54,1.26,0.97,0.32,-0.57,-1.33,-1.7,-1.71,-1.7,-1.87,-2.12,-2.18,-1.93,-1.47,-0.95,-0.48,0.0,0.62,1.4,2.17,2.81,3.31,3.6,3.73,3.79,3.72,3.4,2.91,2.36,1.77,1.07,0.37,-0.23,-0.68,-1.02,-1.35,-1.57,-1.59,-1.54,-1.48,-1.28,-0.84,-0.31,0.15,0.56,0.94,1.15,1.12,0.9,0.61,0.34,0.09,-0.22,-0.58,-0.89,-1.1,-1.31,-1.51,-1.65,-1.68,-1.56,-1.36,-1.12,-0.85,-0.49,-0.18,-0.02,0.14,0.42,0.65,0.66,0.52,0.37,0.26,</t>
  </si>
  <si>
    <t>To_Avoid_Formula49.98,49.98,49.98,49.98,49.98,49.98,49.98,49.98,49.98,49.98,49.98,49.98,49.98,49.98,49.98,49.98,49.98,49.98,49.98,49.97,49.97,49.97,49.97,49.97,49.97,49.97,49.97,49.97,49.97,49.97,49.97,49.97,49.97,49.97,49.97,49.97,49.97,49.97,49.97,49.97,49.97,49.97,49.97,49.97,49.97,49.97,49.97,49.97,49.97,49.97,49.97,49.97,49.97,49.97,49.97,49.97,49.97,49.97,49.97,49.97,49.97,49.97,49.96,49.96,49.96,49.96,49.96,49.96,49.96,49.96,49.96,49.96,49.96,49.96,49.96,49.96,49.96,49.96,49.96,49.96,49.96,49.96,49.96,49.96,49.96,49.96,49.96,49.96,49.96,49.96,49.96,49.96,49.96,49.96,49.96,49.96,49.96,49.96,49.96,49.96,49.96,49.96,49.96,49.95,49.95,49.95,49.95,49.95,49.95,49.95,49.95,49.95,49.95,49.95,49.95,49.95,49.95,49.95,49.95,49.95,49.95,49.95,49.95,49.95,49.95,49.95,49.95,49.95,49.95,49.95,49.95,49.95,49.95,49.95,49.95,49.95,49.95,49.95,49.95,49.95,49.95,49.95,49.95,49.95,49.94,49.94,49.94,49.94,49.94,49.94,49.94,49.94,49.94,49.94,49.94,49.94,49.94,49.94,49.94,49.94,49.94,49.94,49.94,49.94,49.94,49.94,49.94,49.94,49.94,49.94,49.94,49.94,49.94,49.94,49.94,49.94,49.94,49.94,49.94,49.94,49.94,49.94,49.94,49.93,49.93,49.93,49.93,49.93,49.93,49.93,49.93,49.93,49.93,49.93,49.93,49.93,49.93,49.93,49.93,49.93,49.93,49.93,49.93,49.93,49.93,49.93,49.93,49.93,49.93,49.93,49.93,49.93,49.93,49.93,49.93,49.93,49.93,49.93,49.93,49.92,49.92,49.92,49.92,49.92,49.92,49.92,49.92,49.92,49.92,49.92,49.92,49.92,49.92,49.92,49.92,49.92,49.92,49.92,49.92,49.92,49.92,49.92,49.92,49.92,49.92,49.92,49.92,49.92,49.92,49.92,49.92,49.92,49.92,49.92,49.92,49.91,49.91,49.91,49.91,49.91,49.91,49.91,49.91,49.91,49.91,49.91,49.91,49.91,49.91,49.91,49.91,49.91,49.91,49.91,49.91,49.91,49.91,49.91,49.91,49.91,49.91,49.91,49.91,49.91,49.91,49.91,49.91,49.91,49.91,49.91,49.91,49.9,49.9,49.9,49.9,49.9,49.9,49.9,49.9,49.9,49.9,49.9,49.9,49.9,49.9,49.9,49.9,49.9,49.9,49.9,49.9,49.9,49.9,49.9,49.9,49.9,49.9,49.9,49.9,49.9,49.9,49.9,49.9,49.9,49.9,49.9,49.9,49.9,49.9,49.89,49.89,49.89,49.89,49.89,49.89,49.89,49.89,49.89,49.89,49.89,49.89,49.89,49.89,49.89,49.89,49.89,49.89,49.89,49.89,49.89,49.89,49.89,49.89,49.89,49.89,49.89,49.89,49.89,49.89,49.89,49.89,49.89,49.89,49.89,49.89,49.89,49.89,49.89,49.89,49.88,49.88,49.88,49.88,49.88,49.88,49.88,49.88,49.88,49.88,49.88,49.88,49.88,49.88,49.88,49.88,49.88,49.88,49.88,49.88,49.88,49.88,49.88,49.88,49.88,49.88,49.88,49.88,49.88,49.88,49.88,49.88,49.88,49.88,49.88,49.88,49.88,49.88,49.88,49.88,49.88,49.88,49.88,49.87,49.87,49.87,49.87,49.87,49.87,49.87,49.87,49.87,49.87,49.87,49.87,49.87,49.87,49.87,49.87,49.87,49.87,49.87,49.87,49.87,49.87,49.87,49.87,49.87,49.87,49.87,49.87,49.87,49.87,49.87,49.87,49.87,49.87,49.87,49.87,49.87,49.87,49.87,49.87,49.87,49.87,49.87,49.87,49.87,49.86,49.86,49.86,49.86,49.86,49.86,49.86,49.86,49.86,49.86,49.86,49.86,49.86,49.86,49.86,49.86,49.86,49.86,49.86,49.86,49.86,49.86,49.86,49.86,49.86,49.86,49.86,49.86,49.86,49.86,49.86,49.86,49.86,49.86,49.86,49.86,49.86,49.86,49.86,49.86,49.86,49.86,49.86,49.86,49.86,49.85,49.85,49.85,49.85,49.85,49.85,49.85,49.85,49.85,49.85,49.85,49.85,49.85,49.85,49.85,49.85,49.85,49.85,49.85,49.85,49.85,49.85,49.85,49.85,49.85,49.85,49.85,49.85,49.85,49.85,49.85,49.85,49.85,49.85,49.85,49.85,49.85,49.85,49.85,49.85,49.85,49.85,49.84,49.84,49.84,49.84,49.84,49.84,49.84,49.84,49.84,49.84,49.84,49.84,49.84,49.84,49.84,49.84,49.84,49.84,49.84,49.84,49.84,49.84,49.84,49.84,49.84,49.84,49.84,49.84,49.84,49.84,49.84,49.84,49.84,49.84,49.84,49.84,49.84,49.84,49.83,49.83,49.83,49.83,49.83,49.83,49.83,49.83,49.83,49.83,49.83,49.83,49.83,49.83,49.83,49.83,49.83,49.83,49.83,49.83,49.83,49.83,49.83,49.83,49.83,49.83,49.83,49.83,49.83,49.83,49.83,49.83,49.83,49.83,49.83,49.83,49.82,49.82,49.82,49.82,49.82,49.82,49.82,49.82,49.82,49.82,49.82,49.82,49.82,49.82,49.82,49.82,49.82,49.82,49.82,49.82,49.82,49.82,49.82,49.82,49.82,49.82,49.82,49.82,49.82,49.82,49.82,49.82,49.82,49.81,49.81,49.81,49.81,49.81,49.81,49.81,49.81,49.8</t>
  </si>
  <si>
    <t>To_Avoid_Formula1,49.81,49.81,49.81,49.81,49.81,49.81,49.81,49.81,49.81,49.81,49.81,49.81,49.81,49.81,49.81,49.81,49.81,49.81,49.81,49.81,49.81,49.81,49.81,49.81,49.8,49.8,49.8,49.8,49.8,49.8,49.8,49.8,49.8,49.8,49.8,49.8,49.8,49.8,49.8,49.8,49.8,49.8,49.8,49.8,49.8,49.8,49.8,49.8,49.8,49.8,49.8,49.8,49.8,49.8,49.8,49.8,49.79,49.79,49.79,49.79,49.79,49.79,49.79,49.79,49.79,49.79,49.79,49.79,49.79,49.79,49.79,49.79,49.79,49.79,49.79,49.79,49.79,49.79,49.79,49.79,49.79,49.79,49.79,49.79,49.79,49.79,49.79,49.78,49.78,49.78,49.78,49.78,49.78,49.78,49.78,49.78,49.78,49.78,49.78,49.78,49.78,49.78,49.78,49.78,49.78,49.78,49.78,49.78,49.78,49.78,49.78,49.78,49.78,49.78,49.78,49.78,49.78,49.78,49.78,49.78,49.77,49.77,49.77,49.77,49.77,49.77,49.77,49.77,49.77,49.77,49.77,49.77,49.77,49.77,49.77,49.77,49.77,49.77,49.77,49.77,49.77,49.77,49.77,49.77,49.77,49.77,49.77,49.77,49.77,49.77,49.77,49.77,49.77,49.77,49.76,49.76,49.76,49.76,49.76,49.76,49.76,49.76,49.76,49.76,49.76,49.76,49.76,49.76,49.76,49.76,49.76,49.76,49.76,49.76,49.76,49.76,49.76,49.76,49.76,49.76,49.76,49.76,49.76,49.76,49.76,49.76,49.76,49.76,49.76,49.75,49.75,49.75,49.75,49.75,49.75,49.75,49.75,49.75,49.75,49.75,49.75,49.75,49.75,49.75,49.75,49.75,49.75,49.75,49.75,49.75,49.75,49.75,49.75,49.75,49.75,49.75,49.75,49.75,49.75,49.75,49.75,49.75,49.75,49.75,49.75,49.75,49.74,49.74,49.74,49.74,49.74,49.74,49.74,49.74,49.74,49.74,49.74,49.74,49.74,49.74,49.74,49.74,49.74,49.74,49.74,49.74,49.74,49.74,49.74,49.74,49.74,49.74,49.74,49.74,49.74,49.74,49.74,49.74,49.74,49.74,49.74,49.74,49.74,49.74,49.73,49.73,49.73,49.73,49.73,49.73,49.73,49.73,49.73,49.73,49.73,49.73,49.73,49.73,49.73,49.73,49.73,49.73,49.73,49.73,49.73,49.73,49.73,49.73,49.73,49.73,49.73,49.73,49.73,49.73,49.73,49.73,49.73,49.73,49.73,49.73,49.73,49.73,49.73,49.73,49.73,49.72,49.72,49.72,49.72,49.72,49.72,49.72,49.72,49.72,49.72,49.72,49.72,49.72,49.72,49.72,49.72,49.72,49.72,49.72,49.72,49.72,49.72,49.72,49.72,49.72,49.72,49.72,49.72,49.72,49.72,49.72,49.72,49.72,49.72,49.72,49.72,49.72,49.72,49.72,49.71,49.71,49.71,49.71,49.71,49.71,49.71,49.71,49.71,49.71,49.71,49.71,49.71,49.71,49.71,49.71,49.71,49.71,49.71,49.71,49.71,49.71,49.71,49.71,49.71,49.71,49.71,49.71,49.71,49.71,49.71,49.71,49.71,49.71,49.71,</t>
  </si>
  <si>
    <t>To_Avoid_Formula-2.3,-2.25,-2.23,-2.26,-2.32,-2.38,-2.42,-2.47,-2.52,-2.54,-2.52,-2.46,-2.37,-2.28,-2.21,-2.18,-2.18,-2.22,-2.24,-2.24,-2.23,-2.19,-2.11,-2.02,-1.95,-1.92,-1.91,-1.92,-1.97,-2.05,-2.11,-2.13,-2.14,-2.15,-2.15,-2.11,-2.07,-2.07,-2.07,-2.02,-1.91,-1.79,-1.7,-1.62,-1.5,-1.37,-1.26,-1.13,-1.01,-0.91,-0.84,-0.77,-0.72,-0.7,-0.69,-0.65,-0.58,-0.44,-0.28,-0.13,0.04,0.19,0.36,0.51,0.64,0.75,0.85,0.94,1.01,1.08,1.14,1.16,1.15,1.12,1.11,1.09,1.06,1.04,1.07,1.1,1.14,1.17,1.2,1.19,1.16,1.13,1.11,1.1,1.09,1.1,1.1,1.12,1.18,1.23,1.23,1.21,1.2,1.21,1.2,1.17,1.14,1.09,1.02,0.95,0.87,0.79,0.72,0.68,0.67,0.7,0.74,0.77,0.8,0.84,0.86,0.83,0.77,0.73,0.74,0.76,0.78,0.85,0.95,1.04,1.08,1.07,1.02,0.98,0.97,1.0,1.05,1.13,1.23,1.31,1.37,1.41,1.43,1.44,1.44,1.45,1.48,1.54,1.6,1.66,1.69,1.74,1.76,1.75,1.73,1.71,1.68,1.57,1.53,1.52,1.52,1.53,1.55,1.56,1.56,1.53,1.47,1.4,1.33,1.31,1.32,1.35,1.38,1.4,1.4,1.4,1.38,1.33,1.27,1.21,1.16,1.1,1.02,0.96,0.91,0.86,0.78,0.64,0.49,0.35,0.26,0.21,0.18,0.12,0.05,-0.03,-0.15,-0.28,-0.42,-0.55,-0.64,-0.7,-0.75,-0.81,-0.82,-0.78,-0.71,-0.65,-0.61,-0.57,-0.52,-0.49,-0.49,-0.5,-0.49,-0.48,-0.47,-0.44,-0.4,-0.33,-0.25,-0.18,-0.13,-0.1,-0.11,-0.15,-0.19,-0.24,-0.27,-0.29,-0.28,-0.27,-0.22,-0.13,0.01,0.12,0.17,0.2,0.19,0.18,0.16,0.15,0.15,0.12,0.05,-0.01,-0.07,-0.14,-0.22,-0.31,-0.4,-0.47,-0.5,-0.49,-0.49,-0.53,-0.56,-0.59,-0.62,-0.68,-0.73,-0.77,-0.81,-0.85,-0.89,-0.92,-0.96,-0.99,-1.02,-1.04,-1.07,-1.1,-1.14,-1.19,-1.24,-1.27,-1.28,-1.25,-1.18,-1.08,-0.97,-0.84,-0.69,-0.54,-0.41,-0.32,-0.27,-0.25,-0.24,-0.21,-0.17,-0.11,-0.05,0.03,0.1,0.15,0.18,0.15,0.09,0.02,-0.05,-0.12,-0.2,-0.26,-0.28,-0.27,-0.23,-0.18,-0.16,-0.16,-0.17,-0.24,-0.35,-0.47,-0.58,-0.65,-0.68,-0.67,-0.64,-0.6,-0.54,-0.5,-0.51,-0.53,-0.55,-0.58,-0.61,-0.64,-0.64,-0.57,-0.47,-0.36,-0.28,-0.2,-0.13,-0.07,-0.04,-0.01,0.01,0.03,0.07,0.13,0.19,0.23,0.27,0.3,0.32,0.31,0.28,0.24,0.19,0.16,0.15,0.16,0.19,0.23,0.24,0.24,0.24,0.21,0.16,0.08,0.02,0.01,0.04,0.09,0.16,0.22,0.26,0.28,0.28,0.25,0.21,0.19,0.15,0.07,-0.03,-0.11,-0.18,-0.24,-0.29,-0.35,-0.43,-0.56,-0.73,-0.88,-1.03,-1.22,-1.44,-1.62,-1.77,-1.89,-1.99,-2.03,-1.93,-1.75,-1.53,-1.3,-1.07,-0.85,-0.66,-0.44,-0.22,0.01,0.23,0.43,0.61,0.75,0.86,0.96,1.05,1.13,1.21,1.25,1.28,1.34,1.42,1.5,1.53,1.54,1.54,1.51,1.48,1.46,1.45,1.46,1.49,1.52,1.56,1.59,1.61,1.6,1.55,1.44,1.3,1.16,1.03,0.9,0.74,0.51,0.27,0.04,-0.18,-0.39,-0.57,-0.7,-0.8,-0.87,-0.9,-0.91,-0.93,-0.93,-0.93,-0.92,-0.91,-0.9,-0.82,-0.68,-0.51,-0.33,-0.18,-0.05,0.1,0.28,0.47,0.61,0.69,0.75,0.82,0.93,1.04,1.13,1.22,1.3,1.38,1.43,1.43,1.41,1.39,1.35,1.28,1.18,1.08,1.01,0.99,0.97,0.91,0.83,0.73,0.59,0.39,0.18,-0.04,-0.28,-0.48,-0.61,-0.7,-0.74,-0.75,-0.7,-0.64,-0.68,-0.84,-0.94,-0.82,-0.54,-0.24,0.0,0.18,0.37,0.54,0.62,0.6,0.52,0.42,0.35,0.29,0.27,0.31,0.42,0.55,0.67,0.77,0.8,0.76,0.65,0.48,0.23,-0.04,-0.28,-0.46,-0.55,-0.6,-0.63,-0.65,-0.71,-0.87,-1.21,-1.58,-1.72,-1.62,-1.5,-1.47,-1.49,-1.51,-1.49,-1.41,-1.31,-1.23,-1.19,-1.16,-1.13,-1.08,-1.02,-0.95,-0.91,-0.92,-0.92,-0.9,-0.88,-0.88,-0.89,-0.89,-0.9,-0.93,-0.97,-1.03,-1.09,-1.11,-0.96,-0.69,-0.52,-0.51,-0.48,-0.4,-0.34,-0.32,-0.32,-0.31,-0.31,-0.31,-0.32,-0.38,-0.46,-0.52,-0.54,-0.55,-0.59,-0.62,-0.62,-0.61,-0.65,-0.8,-0.97,-1.09,-1.14,-1.19,-1.33,-1.54,-1.77,-1.97,-2.16,-2.38,-2.69,-2.91,-3.05,-3.12,-3.11,-3.05,-2.89,-2.66,-2.39,-2.15,-1.86,-1.56,-1.28,-1.03,-0.75,-0.46,-0.17,0.06,0.25,0.43,0.53,0.56,0.51,0.41,0.3,0.21,0.1,-0.02,-0.12,-0.17,-0.2,-0.28,-0.42,-0.53,-0.6,-0.69,-0.79,-0.89,-0.95,-0.99,-1.03,-1.09,-1.18,-1.28,-1.42,-1.6,-1.78,-1.93,-2.04,-2.12,-2.17,-2.18,-2.17,-2.15,-2.13,-2.1,-2.06,-2.02,-1.91,-1.73,-1.49,-1.24,-0.97,-0.67,-0.24,0.19,0.53,0.77,0.9,1.05,1.21,1.33,1.4,1.47,1.52,1.53,1.44,1.25,0.95,0.59,0.25,-0.02,-0.26,-0.5,-0.73,-0.93,-1.08,-1.21,-1.31,-1.4,-1.47,-1.54,-1.61,-1.67,-1.7,-1.69,-1.64,-1.59,-1.53,-1.45,-1.37,-1.32,-1.29,-1.26,-1.24,-1.24,-1.26,-1.28,-1.29,-1.28,-1.22,-1.12,-1.04,-0.96,-0.9,-0.83,-0.78,-0.75</t>
  </si>
  <si>
    <t>To_Avoid_Formula,-0.73,-0.7,-0.63,-0.55,-0.46,-0.36,-0.23,-0.11,-0.05,0.03,0.21,0.45,0.67,0.83,1.05,1.37,1.67,1.9,2.12,2.37,2.56,2.72,2.95,3.26,3.53,3.8,4.04,4.23,4.46,4.74,4.94,5.02,5.04,5.11,5.18,5.22,5.3,5.43,5.46,5.34,5.22,5.12,5.0,4.83,4.64,4.43,4.22,4.09,4.02,3.95,3.84,3.77,3.69,3.57,3.43,3.26,3.08,2.88,2.66,2.46,2.41,2.48,2.61,2.75,2.92,3.11,3.32,3.42,3.43,3.42,3.33,3.19,3.01,2.84,2.62,2.4,2.21,2.05,1.87,1.65,1.36,0.98,0.6,0.2,-0.19,-0.53,-0.85,-1.09,-1.27,-1.39,-1.46,-1.47,-1.46,-1.47,-1.52,-1.55,-1.53,-1.53,-1.56,-1.61,-1.68,-1.75,-1.81,-1.86,-1.91,-1.98,-2.07,-2.24,-2.47,-2.63,-2.7,-2.76,-2.83,-2.9,-2.96,-3.01,-3.06,-3.08,-3.11,-3.2,-3.37,-3.42,-3.28,-3.08,-2.88,-2.65,-2.36,-2.02,-1.65,-1.36,-1.27,-1.3,-1.27,-1.14,-0.98,-0.76,-0.5,-0.32,-0.15,0.02,0.09,0.02,-0.09,-0.16,-0.19,-0.21,-0.31,-0.46,-0.58,-0.7,-0.93,-1.11,-1.13,-1.09,-1.1,-1.07,-0.91,-0.62,-0.39,-0.48,-0.9,-1.54,-2.28,-2.93,-3.18,-3.06,-2.92,-2.92,-3.01,-3.11,-3.24,-3.39,-3.6,-3.85,-4.14,-4.39,-4.62,-4.78,-4.91,-4.99,-4.98,-4.87,-4.7,-4.58,-4.5,-4.39,-4.2,-3.96,-3.66,-3.3,-2.9,-2.53,-2.23,-1.96,-1.66,-1.26,-0.82,-0.46,-0.13,0.25,0.67,1.05,1.38,1.6,1.77,1.89,1.93,1.96,1.96,1.99,2.01,2.07,2.2,2.36,2.44,2.45,2.34,2.2,2.13,2.16,2.21,2.21,2.22,2.3,2.35,2.29,2.25,2.31,2.39,2.37,2.36,2.4,2.4,2.32,2.23,2.17,2.1,2.05,2.04,2.12,2.22,2.37,2.56,2.83,3.19,3.47,3.54,3.54,3.6,3.72,3.83,3.95,4.13,4.37,4.59,4.71,4.76,4.78,4.82,4.86,4.83,4.74,4.67,4.7,4.75,4.74,4.62,4.49,4.38,4.26,4.15,4.01,3.86,3.74,3.65,3.5,3.28,3.01,2.79,2.53,2.26,1.97,1.65,1.33,1.0,0.7,0.43,0.21,0.03,-0.09,-0.22,-0.41,-0.57,-0.67,-0.81,-1.0,-1.18,-1.28,-1.31,-1.31,-1.34,-1.4,-1.54,-1.76,-2.07,-2.31,-2.53,-2.75,-2.87,-2.89,-2.91,-3.08,-3.36,-3.64,-3.92,-4.23,-4.65,-5.01,-5.28,-5.47,-5.53,-5.58,-5.61,-5.62,-5.55,-5.45,-5.38,-5.34,-5.26,</t>
  </si>
  <si>
    <t>To_Avoid_Formula-0.59,-0.48,-0.4,-0.38,-0.38,-0.38,-0.37,-0.37,-0.36,-0.33,-0.26,-0.15,-0.01,0.11,0.21,0.26,0.29,0.27,0.27,0.28,0.31,0.37,0.46,0.56,0.63,0.66,0.66,0.64,0.59,0.51,0.45,0.43,0.42,0.41,0.41,0.44,0.47,0.47,0.46,0.5,0.6,0.69,0.76,0.81,0.9,0.98,1.05,1.13,1.19,1.23,1.24,1.24,1.22,1.18,1.13,1.1,1.1,1.17,1.25,1.32,1.39,1.46,1.52,1.57,1.59,1.59,1.59,1.56,1.52,1.48,1.42,1.33,1.21,1.08,0.97,0.85,0.72,0.62,0.56,0.52,0.47,0.42,0.37,0.29,0.19,0.09,0.0,-0.07,-0.13,-0.18,-0.23,-0.25,-0.25,-0.25,-0.28,-0.35,-0.4,-0.43,-0.48,-0.53,-0.6,-0.67,-0.75,-0.84,-0.93,-1.02,-1.08,-1.11,-1.11,-1.07,-1.03,-0.99,-0.95,-0.9,-0.87,-0.89,-0.94,-0.96,-0.94,-0.9,-0.86,-0.78,-0.66,-0.56,-0.51,-0.52,-0.55,-0.58,-0.58,-0.54,-0.47,-0.38,-0.28,-0.19,-0.13,-0.1,-0.07,-0.06,-0.06,-0.06,-0.02,0.04,0.1,0.14,0.17,0.2,0.22,0.2,0.17,0.15,0.11,0.01,-0.03,-0.04,-0.03,-0.01,0.01,0.03,0.04,0.01,-0.05,-0.1,-0.15,-0.16,-0.13,-0.08,-0.04,-0.01,0.01,0.01,0.0,-0.02,-0.07,-0.12,-0.15,-0.18,-0.23,-0.26,-0.28,-0.31,-0.36,-0.45,-0.57,-0.65,-0.69,-0.68,-0.66,-0.66,-0.67,-0.7,-0.75,-0.82,-0.89,-0.94,-0.96,-0.94,-0.92,-0.9,-0.83,-0.72,-0.59,-0.46,-0.36,-0.27,-0.17,-0.09,-0.05,-0.01,0.04,0.09,0.13,0.19,0.26,0.36,0.46,0.54,0.6,0.63,0.63,0.6,0.56,0.52,0.5,0.49,0.5,0.52,0.57,0.66,0.8,0.89,0.92,0.93,0.9,0.86,0.82,0.8,0.77,0.72,0.64,0.55,0.48,0.41,0.32,0.22,0.13,0.07,0.04,0.05,0.06,0.03,-0.01,-0.02,-0.05,-0.1,-0.14,-0.17,-0.2,-0.23,-0.25,-0.26,-0.29,-0.3,-0.31,-0.32,-0.33,-0.34,-0.36,-0.39,-0.42,-0.42,-0.41,-0.36,-0.27,-0.16,-0.03,0.09,0.24,0.38,0.49,0.55,0.58,0.57,0.56,0.56,0.57,0.59,0.62,0.66,0.7,0.71,0.69,0.62,0.52,0.42,0.32,0.22,0.12,0.04,0.0,0.01,0.03,0.06,0.06,0.05,0.01,-0.07,-0.19,-0.32,-0.42,-0.48,-0.5,-0.49,-0.45,-0.4,-0.34,-0.3,-0.3,-0.32,-0.34,-0.36,-0.39,-0.41,-0.4,-0.32,-0.22,-0.11,-0.03,0.03,0.09,0.14,0.15,0.16,0.16,0.17,0.19,0.23,0.27,0.28,0.3,0.31,0.3,0.27,0.21,0.15,0.09,0.04,0.01,0.01,0.03,0.05,0.05,0.04,0.02,-0.02,-0.08,-0.16,-0.22,-0.23,-0.2,-0.15,-0.09,-0.03,0.0,0.01,0.0,-0.04,-0.08,-0.11,-0.15,-0.23,-0.32,-0.4,-0.45,-0.49,-0.53,-0.56,-0.62,-0.73,-0.85,-0.97,-1.07,-1.2,-1.35,-1.47,-1.54,-1.58,-1.59,-1.54,-1.37,-1.11,-0.83,-0.55,-0.28,-0.03,0.18,0.4,0.62,0.83,1.02,1.19,1.32,1.42,1.47,1.52,1.54,1.56,1.56,1.54,1.5,1.49,1.5,1.5,1.46,1.4,1.32,1.23,1.13,1.05,0.98,0.93,0.9,0.87,0.86,0.83,0.79,0.72,0.62,0.46,0.28,0.11,-0.04,-0.19,-0.36,-0.59,-0.82,-1.03,-1.21,-1.38,-1.5,-1.58,-1.61,-1.62,-1.59,-1.53,-1.48,-1.42,-1.35,-1.28,-1.22,-1.14,-1.01,-0.82,-0.61,-0.4,-0.22,-0.08,0.08,0.26,0.44,0.57,0.63,0.66,0.71,0.79,0.86,0.92,0.97,1.01,1.04,1.04,0.99,0.93,0.86,0.78,0.67,0.55,0.42,0.32,0.28,0.24,0.17,0.08,-0.03,-0.18,-0.37,-0.56,-0.76,-0.96,-1.11,-1.2,-1.23,-1.21,-1.16,-1.05,-0.94,-0.93,-1.03,-1.07,-0.9,-0.58,-0.24,0.01,0.21,0.39,0.55,0.61,0.57,0.48,0.38,0.29,0.24,0.22,0.25,0.35,0.47,0.58,0.65,0.66,0.6,0.47,0.28,0.02,-0.24,-0.45,-0.6,-0.66,-0.67,-0.66,-0.65,-0.66,-0.78,-1.07,-1.37,-1.44,-1.26,-1.06,-0.97,-0.93,-0.89,-0.81,-0.67,-0.53,-0.41,-0.32,-0.25,-0.19,-0.11,-0.02,0.07,0.12,0.13,0.14,0.17,0.21,0.22,0.22,0.23,0.23,0.21,0.18,0.13,0.08,0.08,0.24,0.51,0.66,0.66,0.67,0.73,0.77,0.76,0.74,0.72,0.7,0.67,0.63,0.55,0.45,0.38,0.35,0.32,0.26,0.22,0.22,0.22,0.16,0.01,-0.16,-0.27,-0.31,-0.35,-0.47,-0.66,-0.85,-1.01,-1.15,-1.31,-1.55,-1.69,-1.74,-1.73,-1.62,-1.48,-1.24,-0.95,-0.64,-0.35,-0.04,0.27,0.55,0.78,1.03,1.27,1.51,1.67,1.79,1.88,1.89,1.84,1.7,1.51,1.33,1.17,1.0,0.82,0.67,0.58,0.51,0.39,0.22,0.08,-0.01,-0.11,-0.22,-0.33,-0.39,-0.43,-0.46,-0.53,-0.6,-0.69,-0.81,-0.96,-1.11,-1.22,-1.28,-1.31,-1.31,-1.27,-1.21,-1.14,-1.07,-0.99,-0.92,-0.83,-0.69,-0.48,-0.22,0.04,0.3,0.58,0.97,1.34,1.61,1.77,1.81,1.87,1.92,1.94,1.91,1.87,1.81,1.72,1.53,1.25,0.88,0.45,0.07,-0.22,-0.48,-0.72,-0.93,-1.11,-1.23,-1.32,-1.38,-1.42,-1.44,-1.46,-1.48,-1.49,-1.46,-1.39,-1.29,-1.18,-1.08,-0.95,-0.84,-0.75,-0.68,-0.62,-0.57,-0.55,-0.54,-0.53,-0.51,-0.47,-0.39,-0.27,-0.17,-0.08,-0.01,0.06,0.12,0.15,0.17,0.2,0.26,0.34,0.41,0.5,0.61,0.7,0.73,0.78,0.92</t>
  </si>
  <si>
    <t>To_Avoid_Formula,1.11,1.27,1.38,1.52,1.75,1.96,2.09,2.2,2.33,2.39,2.42,2.51,2.67,2.79,2.89,2.97,2.98,3.03,3.12,3.13,3.01,2.84,2.72,2.61,2.47,2.37,2.32,2.17,1.89,1.62,1.37,1.11,0.82,0.52,0.21,-0.08,-0.28,-0.41,-0.54,-0.69,-0.8,-0.91,-1.05,-1.22,-1.39,-1.56,-1.75,-1.95,-2.1,-2.12,-2.0,-1.82,-1.64,-1.45,-1.24,-1.01,-0.9,-0.88,-0.88,-0.96,-1.08,-1.23,-1.37,-1.53,-1.7,-1.82,-1.91,-2.0,-2.13,-2.32,-2.58,-2.84,-3.09,-3.31,-3.48,-3.6,-3.65,-3.62,-3.53,-3.4,-3.21,-3.0,-2.82,-2.68,-2.53,-2.33,-2.15,-2.01,-1.89,-1.79,-1.7,-1.6,-1.49,-1.38,-1.29,-1.24,-1.25,-1.32,-1.32,-1.24,-1.14,-1.05,-0.96,-0.87,-0.79,-0.69,-0.57,-0.46,-0.43,-0.46,-0.38,-0.12,0.19,0.48,0.79,1.14,1.52,1.92,2.22,2.3,2.25,2.27,2.38,2.52,2.7,2.9,3.02,3.11,3.2,3.18,3.02,2.83,2.67,2.56,2.47,2.29,2.08,1.9,1.72,1.43,1.21,1.16,1.15,1.11,1.09,1.21,1.44,1.6,1.45,0.96,0.29,-0.45,-1.07,-1.27,-1.1,-0.92,-0.88,-0.93,-0.99,-1.08,-1.19,-1.34,-1.53,-1.74,-1.91,-2.05,-2.11,-2.13,-2.12,-2.01,-1.8,-1.55,-1.35,-1.2,-1.02,-0.78,-0.5,-0.18,0.19,0.58,0.92,1.18,1.39,1.62,1.94,2.27,2.51,2.71,2.94,3.2,3.41,3.54,3.56,3.53,3.44,3.29,3.11,2.92,2.76,2.59,2.47,2.42,2.39,2.29,2.12,1.84,1.54,1.32,1.19,1.11,0.97,0.85,0.79,0.72,0.54,0.38,0.33,0.3,0.18,0.06,0.01,-0.09,-0.25,-0.42,-0.55,-0.68,-0.79,-0.85,-0.82,-0.77,-0.67,-0.54,-0.33,-0.05,0.15,0.14,0.05,0.03,0.07,0.1,0.13,0.23,0.38,0.5,0.53,0.47,0.41,0.35,0.3,0.19,0.02,-0.12,-0.15,-0.16,-0.23,-0.39,-0.57,-0.71,-0.85,-0.97,-1.12,-1.27,-1.38,-1.45,-1.57,-1.76,-1.97,-2.13,-2.32,-2.51,-2.7,-2.9,-3.09,-3.28,-3.42,-3.53,-3.58,-3.58,-3.51,-3.46,-3.46,-3.43,-3.33,-3.27,-3.26,-3.24,-3.13,-2.96,-2.75,-2.58,-2.46,-2.4,-2.43,-2.53,-2.56,-2.57,-2.58,-2.47,-2.28,-2.09,-2.05,-2.12,-2.18,-2.24,-2.32,-2.5,-2.61,-2.63,-2.57,-2.37,-2.17,-1.97,-1.75,-1.45,-1.14,-0.87,-0.65,-0.39,</t>
  </si>
  <si>
    <t>To_Avoid_Formula-7.09,-7.06,-7.03,-7.01,-6.98,-6.95,-6.93,-6.9,-6.88,-6.85,-6.83,-6.8,-6.78,-6.75,-6.73,-6.7,-6.68,-6.66,-6.63,-6.61,-6.59,-6.57,-6.54,-6.52,-6.5,-6.48,-6.46,-6.44,-6.41,-6.39,-6.37,-6.35,-6.33,-6.31,-6.29,-6.27,-6.25,-6.24,-6.22,-6.2,-6.18,-6.16,-6.14,-6.13,-6.11,-6.09,-6.07,-6.06,-6.04,-6.02,-6.01,-5.99,-5.98,-5.96,-5.95,-5.93,-5.92,-5.9,-5.89,-5.87,-5.86,-5.84,-5.83,-5.81,-5.8,-5.79,-5.77,-5.76,-5.75,-5.74,-5.72,-5.71,-5.7,-5.69,-5.67,-5.66,-5.65,-5.64,-5.63,-5.62,-5.61,-5.6,-5.59,-5.58,-5.57,-5.56,-5.55,-5.54,-5.53,-5.52,-5.52,-5.51,-5.5,-5.49,-5.49,-5.48,-5.47,-5.47,-5.46,-5.45,-5.45,-5.44,-5.44,-5.43,-5.43,-5.42,-5.42,-5.41,-5.41,-5.41,-5.4,-5.4,-5.39,-5.39,-5.39,-5.38,-5.38,-5.38,-5.38,-5.37,-5.37,-5.37,-5.37,-5.36,-5.36,-5.36,-5.36,-5.35,-5.35,-5.35,-5.35,-5.34,-5.34,-5.34,-5.34,-5.34,-5.33,-5.33,-5.33,-5.32,-5.32,-5.32,-5.32,-5.31,-5.31,-5.31,-5.3,-5.3,-5.29,-5.29,-5.29,-5.28,-5.27,-5.27,-5.26,-5.26,-5.25,-5.24,-5.24,-5.23,-5.22,-5.22,-5.21,-5.2,-5.19,-5.19,-5.18,-5.17,-5.16,-5.15,-5.14,-5.13,-5.12,-5.11,-5.1,-5.08,-5.07,-5.06,-5.04,-5.03,-5.02,-5.0,-4.99,-4.97,-4.95,-4.94,-4.92,-4.9,-4.89,-4.87,-4.85,-4.83,-4.81,-4.79,-4.77,-4.75,-4.73,-4.71,-4.68,-4.66,-4.64,-4.62,-4.59,-4.57,-4.54,-4.52,-4.49,-4.47,-4.44,-4.42,-4.39,-4.36,-4.34,-4.31,-4.28,-4.25,-4.23,-4.2,-4.17,-4.14,-4.11,-4.08,-4.05,-4.02,-3.99,-3.96,-3.92,-3.89,-3.86,-3.83,-3.8,-3.76,-3.73,-3.7,-3.66,-3.63,-3.6,-3.56,-3.53,-3.49,-3.46,-3.42,-3.38,-3.35,-3.31,-3.28,-3.24,-3.2,-3.16,-3.13,-3.09,-3.05,-3.01,-2.98,-2.94,-2.9,-2.86,-2.82,-2.78,-2.74,-2.7,-2.66,-2.62,-2.58,-2.54,-2.5,-2.46,-2.42,-2.38,-2.34,-2.3,-2.26,-2.22,-2.18,-2.14,-2.1,-2.06,-2.02,-1.98,-1.94,-1.9,-1.86,-1.82,-1.78,-1.75,-1.71,-1.67,-1.63,-1.59,-1.55,-1.51,-1.47,-1.43,-1.39,-1.36,-1.32,-1.28,-1.24,-1.2,-1.16,-1.13,-1.09,-1.05,-1.01,-0.97,-0.94,-0.9,-0.86,-0.82,-0.78,-0.75,-0.71,-0.67,-0.63,-0.6,-0.56,-0.52,-0.49,-0.45,-0.41,-0.37,-0.34,-0.3,-0.27,-0.23,-0.19,-0.16,-0.12,-0.08,-0.05,-0.01,0.02,0.06,0.09,0.13,0.16,0.2,0.23,0.27,0.3,0.34,0.37,0.41,0.44,0.47,0.51,0.54,0.58,0.61,0.65,0.68,0.71,0.75,0.78,0.82,0.85,0.89,0.92,0.95,0.99,1.02,1.06,1.09,1.12,1.16,1.19,1.23,1.26,1.3,1.33,1.36,1.4,1.43,1.47,1.5,1.53,1.57,1.6,1.63,1.67,1.7,1.74,1.77,1.8,1.84,1.87,1.9,1.94,1.97,2.0,2.04,2.07,2.11,2.14,2.17,2.21,2.24,2.28,2.31,2.34,2.38,2.41,2.45,2.48,2.52,2.55,2.59,2.62,2.66,2.69,2.73,2.76,2.8,2.83,2.87,2.9,2.94,2.97,3.01,3.04,3.08,3.11,3.15,3.18,3.22,3.25,3.29,3.32,3.36,3.39,3.43,3.46,3.5,3.53,3.57,3.6,3.64,3.67,3.7,3.74,3.77,3.81,3.84,3.87,3.91,3.94,3.98,4.01,4.04,4.08,4.11,4.14,4.18,4.21,4.24,4.28,4.31,4.34,4.37,4.41,4.44,4.47,4.5,4.54,4.57,4.6,4.63,4.66,4.7,4.73,4.76,4.79,4.82,4.85,4.88,4.91,4.94,4.97,5.0,5.03,5.06,5.09,5.12,5.15,5.17,5.2,5.23,5.26,5.28,5.31,5.33,5.36,5.38,5.41,5.43,5.46,5.48,5.5,5.53,5.55,5.57,5.59,5.62,5.64,5.66,5.68,5.7,5.72,5.74,5.76,5.78,5.8,5.81,5.83,5.85,5.87,5.88,5.9,5.92,5.93,5.95,5.97,5.98,6.0,6.01,6.03,6.04,6.05,6.07,6.08,6.09,6.1,6.11,6.12,6.14,6.15,6.15,6.16,6.17,6.18,6.19,6.19,6.2,6.21,6.21,6.22,6.22,6.23,6.23,6.23,6.23,6.24,6.24,6.24,6.24,6.24,6.24,6.24,6.23,6.23,6.23,6.22,6.22,6.22,6.21,6.2,6.2,6.19,6.18,6.17,6.16,6.15,6.14,6.13,6.12,6.11,6.1,6.08,6.07,6.05,6.04,6.02,6.0,5.99,5.97,5.95,5.93,5.91,5.89,5.87,5.85,5.82,5.8,5.77,5.75,5.72,5.7,5.67,5.64,5.61,5.58,5.55,5.52,5.49,5.46,5.42,5.39,5.35,5.32,5.28,5.24,5.21,5.17,5.13,5.09,5.05,5.0,4.96,4.92,4.88,4.83,4.79,4.74,4.7,4.65,4.61,4.56,4.51,4.46,4.42,4.37,4.32,4.27,4.22,4.17,4.12,4.07,4.03,3.98,3.93,3.88,3.83,3.78,3.73,3.68,3.63,3.58,3.53,3.48,3.43,3.38,3.33,3.28,3.23,3.18,3.13,3.08,3.03,2.98,2.93,2.88,2.83,2.78,2.73,2.69,2.64,2.59,2.55,2.5,2.45,2.41,2.36,2.32,2.27,2.23,2.18,2.14,2.1,2.06,2.01,1.97,1.93,1.89,1.85,1.81,1.77,1.73,1.69,1.66,1.62,1.58,1.54,1.51,1.47,1.44,1.4,1.37,1.33,1.3,1.26,1.23,1.2,1.16,1.13,1.1,1.06,1.03,1.0,0.97,0.94,0.91,0.87,0.84,0.81,0.78,0.75,0.72,0.69,0.66,0.63,0.6,0.57,0.54,0.51,0.48,0.45,0.42,0.4,0.37,0.34,0.31,0.28,0.25,0</t>
  </si>
  <si>
    <t>To_Avoid_Formula.23,0.2,0.17,0.15,0.12,0.09,0.07,0.04,0.01,-0.01,-0.04,-0.06,-0.09,-0.11,-0.13,-0.16,-0.18,-0.21,-0.23,-0.25,-0.28,-0.3,-0.32,-0.34,-0.37,-0.39,-0.41,-0.43,-0.45,-0.47,-0.49,-0.52,-0.54,-0.55,-0.57,-0.59,-0.61,-0.63,-0.65,-0.66,-0.68,-0.69,-0.71,-0.72,-0.73,-0.75,-0.76,-0.77,-0.78,-0.79,-0.8,-0.8,-0.81,-0.81,-0.82,-0.82,-0.82,-0.82,-0.82,-0.81,-0.81,-0.8,-0.8,-0.79,-0.78,-0.76,-0.75,-0.73,-0.72,-0.7,-0.67,-0.65,-0.63,-0.6,-0.57,-0.54,-0.5,-0.47,-0.43,-0.39,-0.35,-0.3,-0.26,-0.21,-0.15,-0.1,-0.04,0.02,0.08,0.14,0.21,0.28,0.35,0.43,0.51,0.59,0.67,0.76,0.85,0.94,1.03,1.13,1.23,1.33,1.44,1.55,1.66,1.78,1.89,2.02,2.14,2.27,2.4,2.53,2.66,2.8,2.94,3.09,3.24,3.39,3.54,3.7,3.86,4.02,4.19,4.35,4.53,4.7,4.88,5.06,5.24,5.43,5.62,5.81,6.0,6.2,6.4,6.6,6.8,7.01,7.22,7.43,7.64,7.86,8.08,8.3,8.52,8.75,8.97,9.2,9.43,9.66,9.89,10.13,10.37,10.6,10.84,11.08,11.33,11.57,11.81,12.06,12.3,12.55,12.8,13.05,13.29,13.54,13.79,14.05,14.3,14.55,14.8,15.05,15.3,15.55,15.81,16.06,16.31,16.56,16.81,17.06,17.31,17.56,17.81,18.05,18.3,18.55,18.79,19.03,19.27,19.52,19.75,19.99,20.23,20.46,20.7,20.93,21.16,21.39,21.62,21.84,22.07,22.29,22.51,22.73,22.94,23.16,23.37,23.58,23.79,23.99,24.2,24.4,24.6,24.8,24.99,25.19,25.38,25.56,25.75,25.94,26.12,26.3,26.48,26.65,26.82,27.0,27.16,27.33,27.49,27.66,27.82,27.98,28.13,28.28,28.44,28.58,28.73,28.88,29.02,29.16,29.3,29.43,29.57,29.7,29.83,29.95,30.08,30.2,30.32,30.44,30.55,30.66,30.77,30.88,30.98,31.09,31.19,31.28,31.38,31.47,31.56,31.65,31.73,31.81,31.89,31.97,32.04,32.12,32.19,32.25,32.32,32.38,32.44,32.5,32.55,32.6,32.65,32.7,32.74,32.78,32.82,32.86,32.89,32.92,32.95,32.98,33.0,33.02,33.04,33.05,33.06,33.07,33.08,33.08,33.08,33.08,33.07,33.06,33.05,33.03,33.02,32.99,32.97,32.94,32.91,32.88,32.84,32.8,32.76,</t>
  </si>
  <si>
    <t>To_Avoid_Formula0.36,0.25,0.19,0.25,0.43,0.66,0.86,1.0,1.09,1.09,1.04,0.91,0.71,0.55,0.46,0.39,0.32,0.32,0.43,0.55,0.66,0.77,0.9,1.04,1.18,1.31,1.43,1.56,1.71,1.88,2.0,2.03,1.99,1.93,1.85,1.69,1.49,1.31,1.17,1.01,0.89,0.88,0.94,1.0,1.05,1.1,1.21,1.37,1.48,1.47,1.46,1.54,1.66,1.74,1.74,1.69,1.64,1.57,1.46,1.34,1.28,1.3,1.32,1.3,1.28,1.26,1.24,1.26,1.35,1.43,1.47,1.52,1.67,1.88,1.98,1.91,1.84,1.87,1.92,1.89,1.81,1.73,1.69,1.7,1.76,1.78,1.75,1.75,1.78,1.74,1.63,1.56,1.56,1.6,1.68,1.74,1.8,1.86,1.91,1.92,1.92,1.97,2.06,2.1,2.07,2.01,1.96,1.93,1.93,1.88,1.76,1.69,1.71,1.74,1.7,1.66,1.67,1.7,1.69,1.67,1.68,1.77,1.91,2.04,2.13,2.16,2.18,2.25,2.34,2.34,2.24,2.12,2.05,2.01,1.94,1.85,1.8,1.86,1.96,2.01,2.01,2.02,2.08,2.13,2.09,1.98,1.89,1.87,1.95,2.04,2.08,2.17,2.26,2.31,2.29,2.23,2.19,2.19,2.22,2.26,2.25,2.18,2.09,1.98,1.87,1.76,1.67,1.59,1.51,1.44,1.46,1.57,1.67,1.69,1.65,1.62,1.63,1.66,1.64,1.6,1.58,1.59,1.61,1.63,1.69,1.78,1.84,1.8,1.64,1.48,1.35,1.22,1.05,0.92,0.86,0.86,0.91,1.02,1.17,1.36,1.53,1.61,1.61,1.62,1.63,1.61,1.61,1.64,1.67,1.67,1.66,1.62,1.52,1.41,1.34,1.31,1.24,1.14,1.01,0.91,0.86,0.84,0.82,0.84,0.93,1.11,1.29,1.44,1.63,1.86,2.08,2.2,2.24,2.2,2.14,2.07,1.99,1.88,1.73,1.6,1.54,1.55,1.55,1.53,1.57,1.62,1.61,1.47,1.29,1.16,1.06,0.93,0.72,0.55,0.48,0.48,0.5,0.5,0.5,0.53,0.54,0.49,0.4,0.32,0.3,0.33,0.39,0.43,0.47,0.61,0.88,1.13,1.23,1.24,1.26,1.38,1.51,1.6,1.64,1.68,1.77,1.86,1.87,1.79,1.67,1.58,1.54,1.45,1.3,1.17,1.1,1.07,1.08,1.14,1.26,1.34,1.39,1.44,1.5,1.52,1.49,1.39,1.29,1.24,1.25,1.31,1.41,1.49,1.52,1.49,1.45,1.37,1.24,1.15,1.15,1.17,1.15,1.14,1.19,1.3,1.42,1.5,1.51,1.45,1.38,1.29,1.15,0.95,0.79,0.71,0.68,0.67,0.66,0.67,0.72,0.8,0.9,0.99,1.04,1.05,1.06,1.07,1.04,0.96,0.87,0.78,0.68,0.65,0.67,0.73,0.82,0.93,1.03,1.16,1.36,1.58,1.75,1.84,1.9,1.96,2.0,1.99,1.9,1.76,1.62,1.48,1.37,1.31,1.28,1.29,1.33,1.32,1.29,1.35,1.5,1.6,1.56,1.47,1.44,1.46,1.46,1.42,1.32,1.22,1.16,1.15,1.14,1.12,1.1,1.13,1.22,1.34,1.5,1.67,1.8,1.84,1.85,1.85,1.82,1.77,1.73,1.67,1.61,1.62,1.69,1.75,1.81,1.91,2.05,2.16,2.23,2.27,2.31,2.36,2.38,2.29,2.14,2.04,1.99,1.99,2.03,2.09,2.17,2.32,2.57,2.81,2.93,2.9,2.76,2.59,2.42,2.21,1.93,1.71,1.58,1.49,1.42,1.37,1.37,1.43,1.51,1.51,1.42,1.4,1.52,1.7,1.81,1.75,1.61,1.48,1.46,1.5,1.54,1.58,1.56,1.5,1.46,1.49,1.55,1.62,1.69,1.7,1.63,1.51,1.37,1.2,1.07,1.01,1.01,1.07,1.18,1.26,1.33,1.47,1.65,1.82,1.97,2.15,2.26,2.22,2.11,2.08,2.19,2.37,2.45,2.42,2.32,2.13,1.84,1.51,1.18,0.77,0.32,0.09,0.22,0.58,1.01,1.4,1.7,1.98,2.18,2.15,1.9,1.58,1.37,1.31,1.22,1.0,0.73,0.52,0.43,0.43,0.45,0.43,0.4,0.41,0.45,0.42,0.33,0.25,0.2,0.11,-0.04,-0.18,-0.3,-0.39,-0.51,-0.65,-0.67,-0.49,-0.35,-0.41,-0.47,-0.2,0.28,0.66,0.75,0.81,0.98,1.23,1.39,1.42,1.42,1.39,1.31,1.22,1.21,1.2,1.2,1.29,1.47,1.61,1.64,1.64,1.67,1.7,1.67,1.52,1.29,1.12,1.05,0.94,0.74,0.59,0.58,0.71,0.92,1.16,1.44,1.77,2.06,2.26,2.42,2.56,2.65,2.67,2.66,2.66,2.58,2.42,2.27,2.19,2.18,2.16,2.15,2.27,2.54,2.82,2.96,3.04,3.19,3.37,3.45,3.39,3.22,3.11,3.08,2.98,2.83,2.72,2.68,2.68,2.75,2.85,2.9,2.88,2.85,2.82,2.73,2.57,2.4,2.3,2.25,2.2,2.17,2.2,2.32,2.46,2.58,2.73,2.89,2.89,2.7,2.46,2.27,2.13,1.95,1.74,1.58,1.5,1.52,1.6,1.67,1.67,1.6,1.48,1.38,1.29,1.17,1.04,0.95,0.94,1.01,1.06,1.02,0.95,1.01,1.19,1.31,1.31,1.35,1.49,1.63,1.67,1.65,1.6,1.55,1.53,1.49,1.38,1.21,1.04,0.98,1.03,1.08,1.04,0.99,1.01,1.05,0.99,0.86,0.74,0.66,0.63,0.59,0.51,0.48,0.54,0.63,0.63,0.55,0.49,0.51,0.61,0.67,0.61,0.53,0.58,0.73,0.84,0.81,0.72,0.68,0.73,0.79,0.74,0.61,0.49,0.45,0.41,0.31,0.19,0.14,0.2,0.27,0.3,0.34,0.43,0.45,0.35,0.23,0.17,0.12,-0.03,-0.26,-0.44,-0.53,-0.6,-0.66,-0.58,-0.39,-0.3,-0.33,-0.29,-0.13,-0.06,-0.17,-0.21,-0.01,0.22,0.34,0.51,0.86,1.24,1.48,1.68,1.92,2.12,2.27,2.36,2.29,2.02,1.81,1.81,1.94,2.06,2.13,2.15,2.06,1.95,1.93,1.95,1.9,1.76,1.53,1.29,1.17,1.18,1.15,1.06,1.04,1.02,0.89,0.77,0.89,1.06,1.04,0.95,1.03,1.32,1.71,2.11,2.43,2.66,2.77,2.79,2.68,2.4,1.9,1.55,1.33,1.14,0.97,0.72,0.48,0.35,0.37,0.46,0.61,0.78,0.91,0.9,0.78,0.6</t>
  </si>
  <si>
    <t>To_Avoid_Formula9,0.73,0.86,1.03,1.18,1.28,1.27,1.23,1.25,1.35,1.47,1.58,1.77,2.17,2.75,3.31,3.8,4.25,4.71,5.1,5.33,5.27,4.83,4.15,3.6,3.41,3.44,3.32,2.9,2.47,2.19,2.0,1.89,1.84,1.75,1.6,1.5,1.54,1.66,1.74,1.76,1.81,1.81,1.61,1.33,1.08,0.81,0.43,0.1,0.01,0.18,0.38,0.47,0.49,0.57,0.83,1.12,1.29,1.37,1.54,1.88,2.23,2.37,2.29,2.21,2.23,2.15,1.95,1.83,1.86,1.76,1.68,1.97,2.7,3.47,3.79,3.58,3.17,3.01,3.16,3.38,3.21,2.65,2.19,2.23,2.59,2.85,2.85,2.88,3.06,3.22,3.15,2.88,2.5,2.09,1.75,1.47,1.16,0.74,0.31,0.02,-0.05,-0.01,0.01,-0.04,-0.13,-0.22,-0.36,-0.65,-1.03,-1.23,-1.15,-0.98,-1.01,-1.24,-1.19,-0.67,0.02,0.45,0.63,0.78,1.04,1.34,1.61,1.78,1.73,1.58,1.55,1.68,1.72,1.62,1.49,1.47,1.54,1.67,1.95,2.32,2.61,2.71,2.79,2.95,3.17,3.45,3.74,3.89,3.87,3.86,3.96,4.03,3.86,3.52,3.31,3.43,3.67,3.74,3.57,3.37,3.34,3.42,3.46,3.28,3.02,2.92,2.95,2.92,2.83,2.88,3.2,3.62,3.81,3.79,3.72,3.76,3.86,3.85,3.71,3.49,3.34,3.28,3.19,2.99,2.73,2.51,2.41,2.37,2.26,2.04,1.84,1.8,1.91,1.98,1.92,1.83,1.9,2.08,2.17,2.13,2.07,2.08,2.0,1.75,1.46,1.31,1.18,0.82,0.3,-0.18,-0.55,-0.95,-1.37,-1.65,-1.59,-1.28,-0.88,-0.46,0.01,0.49,0.92,1.28,1.56,1.68,1.65,1.58,1.62,1.71,1.72,1.57,1.45,1.43,1.5,1.48,1.41,1.39,1.57,1.91,2.43,2.91,3.18,3.23,3.16,3.3,3.51,3.58,3.47,3.44,3.54,3.65,3.64,3.56,3.5,3.48,</t>
  </si>
  <si>
    <t>To_Avoid_Formula-0.81,-0.81,-0.81,-0.8,-0.79,-0.79,-0.78,-0.78,-0.77,-0.76,-0.76,-0.75,-0.74,-0.73,-0.73,-0.72,-0.71,-0.7,-0.69,-0.68,-0.67,-0.66,-0.65,-0.64,-0.63,-0.62,-0.61,-0.6,-0.59,-0.58,-0.57,-0.56,-0.55,-0.54,-0.54,-0.53,-0.52,-0.52,-0.51,-0.5,-0.5,-0.49,-0.49,-0.49,-0.48,-0.48,-0.47,-0.47,-0.46,-0.46,-0.45,-0.45,-0.44,-0.44,-0.43,-0.42,-0.42,-0.41,-0.4,-0.39,-0.38,-0.37,-0.36,-0.36,-0.35,-0.34,-0.33,-0.32,-0.32,-0.31,-0.3,-0.29,-0.28,-0.28,-0.27,-0.26,-0.25,-0.24,-0.24,-0.23,-0.22,-0.21,-0.19,-0.18,-0.16,-0.15,-0.13,-0.12,-0.11,-0.09,-0.07,-0.06,-0.04,-0.03,-0.01,0.0,0.02,0.03,0.05,0.06,0.07,0.09,0.1,0.11,0.13,0.14,0.15,0.16,0.16,0.17,0.18,0.18,0.19,0.19,0.2,0.2,0.2,0.21,0.21,0.21,0.21,0.21,0.21,0.21,0.21,0.21,0.21,0.21,0.21,0.21,0.21,0.2,0.2,0.19,0.18,0.18,0.17,0.16,0.15,0.15,0.14,0.13,0.12,0.11,0.11,0.1,0.09,0.09,0.08,0.07,0.07,0.06,0.05,0.05,0.04,0.04,0.04,0.03,0.03,0.03,0.03,0.03,0.03,0.03,0.04,0.04,0.05,0.05,0.06,0.07,0.08,0.08,0.09,0.1,0.1,0.11,0.12,0.12,0.13,0.13,0.14,0.15,0.16,0.16,0.17,0.18,0.19,0.19,0.2,0.2,0.21,0.22,0.22,0.23,0.23,0.24,0.24,0.25,0.25,0.26,0.26,0.27,0.27,0.27,0.28,0.28,0.28,0.28,0.28,0.28,0.29,0.29,0.29,0.29,0.29,0.29,0.29,0.29,0.29,0.28,0.28,0.28,0.27,0.27,0.27,0.27,0.26,0.26,0.25,0.25,0.24,0.24,0.23,0.23,0.22,0.22,0.21,0.2,0.2,0.19,0.18,0.18,0.18,0.18,0.17,0.17,0.17,0.18,0.18,0.18,0.18,0.19,0.19,0.19,0.2,0.2,0.21,0.22,0.22,0.23,0.24,0.24,0.25,0.25,0.26,0.27,0.27,0.28,0.29,0.3,0.31,0.32,0.33,0.34,0.35,0.37,0.38,0.39,0.41,0.42,0.44,0.46,0.47,0.49,0.51,0.53,0.54,0.56,0.58,0.59,0.61,0.62,0.64,0.65,0.65,0.66,0.67,0.67,0.68,0.68,0.68,0.68,0.68,0.69,0.69,0.69,0.69,0.69,0.69,0.69,0.7,0.7,0.7,0.7,0.71,0.71,0.71,0.72,0.72,0.73,0.73,0.74,0.74,0.74,0.74,0.74,0.74,0.74,0.74,0.74,0.75,0.75,0.75,0.75,0.75,0.75,0.76,0.76,0.76,0.77,0.77,0.78,0.78,0.79,0.8,0.8,0.81,0.82,0.83,0.84,0.85,0.87,0.88,0.89,0.9,0.91,0.92,0.93,0.94,0.95,0.96,0.97,0.98,0.98,0.99,0.99,1.0,1.0,1.01,1.01,1.01,1.01,1.01,1.01,1.01,1.01,1.02,1.02,1.02,1.02,1.02,1.02,1.02,1.01,1.01,1.01,1.01,1.01,1.01,1.01,1.01,1.01,1.01,1.01,1.01,1.01,1.02,1.02,1.02,1.02,1.02,1.01,1.01,1.01,1.0,1.0,0.99,0.99,0.98,0.98,0.97,0.96,0.96,0.95,0.95,0.94,0.93,0.93,0.92,0.92,0.91,0.91,0.91,0.9,0.9,0.9,0.91,0.91,0.91,0.91,0.91,0.92,0.92,0.93,0.94,0.95,0.96,0.97,0.97,0.98,0.99,0.99,1.0,1.0,1.0,1.0,1.0,1.0,0.99,0.99,0.98,0.98,0.97,0.97,0.96,0.96,0.95,0.95,0.94,0.94,0.94,0.94,0.94,0.94,0.94,0.94,0.94,0.94,0.95,0.95,0.94,0.94,0.94,0.93,0.92,0.92,0.91,0.9,0.89,0.88,0.86,0.85,0.83,0.81,0.79,0.77,0.74,0.72,0.7,0.68,0.65,0.63,0.61,0.6,0.58,0.57,0.56,0.55,0.54,0.53,0.53,0.53,0.52,0.52,0.52,0.52,0.51,0.51,0.5,0.49,0.49,0.48,0.47,0.46,0.45,0.44,0.43,0.42,0.41,0.4,0.4,0.39,0.38,0.37,0.37,0.36,0.36,0.35,0.35,0.34,0.34,0.33,0.32,0.32,0.31,0.3,0.3,0.29,0.28,0.27,0.26,0.25,0.24,0.23,0.22,0.21,0.2,0.19,0.17,0.16,0.14,0.13,0.11,0.09,0.07,0.06,0.04,0.02,0.0,-0.02,-0.03,-0.05,-0.07,-0.09,-0.11,-0.14,-0.16,-0.18,-0.2,-0.23,-0.25,-0.28,-0.3,-0.32,-0.35,-0.37,-0.39,-0.4,-0.42,-0.43,-0.45,-0.46,-0.46,-0.47,-0.47,-0.47,-0.47,-0.47,-0.47,-0.47,-0.47,-0.47,-0.46,-0.46,-0.45,-0.45,-0.44,-0.43,-0.43,-0.42,-0.41,-0.4,-0.38,-0.37,-0.35,-0.33,-0.31,-0.29,-0.27,-0.24,-0.22,-0.2,-0.17,-0.15,-0.12,-0.09,-0.06,-0.02,0.01,0.04,0.08,0.11,0.14,0.18,0.21,0.23,0.26,0.29,0.31,0.34,0.36,0.39,0.41,0.43,0.44,0.46,0.48,0.49,0.51,0.52,0.53,0.54,0.55,0.56,0.57,0.58,0.58,0.59,0.59,0.6,0.6,0.6,0.6,0.6,0.59,0.58,0.58,0.57,0.56,0.55,0.54,0.52,0.51,0.5,0.48,0.47,0.45,0.43,0.41,0.39,0.38,0.36,0.34,0.32,0.31,0.29,0.28,0.26,0.24,0.22,0.2,0.18,0.15,0.13,0.11,0.09,0.06,0.04,0.02,0.0,-0.02,-0.04,-0.06,-0.08,-0.09,-0.11,-0.12,-0.14,-0.15,-0.16,-0.17,-0.18,-0.19,-0.19,-0.2,-0.2,-0.2,-0.2,-0.2,-0.2,-0.2,-0.2,-0.2,-0.2,-0.2,-0.19,-0.19,-0.19,-0.19,-0.18,-0.18,-0.18,-0.17,-0.17,-0.16,-0.16,-0.15,-0.15,-0.14,-0.14,-0.13,-0.12,-0.11,-0.1,-0.09,-0.08,-0.06,-0.05,-0.04,-0.03,-0.03,-0.02,-0.02,-0.02,-0.02,-0.03,-0.03,-0.04,-0.05,-0.06,-0.07,-0.09,-0.1,-0.12,-0.14,-0.15,</t>
  </si>
  <si>
    <t>To_Avoid_Formula-0.17,-0.19,-0.21,-0.22,-0.24,-0.25,-0.26,-0.27,-0.27,-0.27,-0.28,-0.28,-0.27,-0.27,-0.27,-0.27,-0.26,-0.26,-0.26,-0.26,-0.26,-0.26,-0.25,-0.24,-0.24,-0.23,-0.23,-0.23,-0.23,-0.23,-0.24,-0.24,-0.23,-0.23,-0.23,-0.22,-0.22,-0.21,-0.2,-0.19,-0.18,-0.16,-0.15,-0.14,-0.13,-0.11,-0.1,-0.09,-0.08,-0.07,-0.06,-0.05,-0.04,-0.04,-0.03,-0.03,-0.02,-0.02,-0.03,-0.03,-0.04,-0.05,-0.06,-0.08,-0.09,-0.1,-0.11,-0.12,-0.13,-0.14,-0.14,-0.16,-0.17,-0.18,-0.19,-0.2,-0.21,-0.22,-0.22,-0.23,-0.23,-0.24,-0.24,-0.24,-0.25,-0.25,-0.25,-0.25,-0.25,-0.25,-0.24,-0.24,-0.24,-0.23,-0.22,-0.21,-0.2,-0.19,-0.17,-0.16,-0.14,-0.12,-0.11,-0.1,-0.08,-0.07,-0.06,-0.05,-0.04,-0.03,-0.02,-0.01,0.0,0.01,0.02,0.02,0.03,0.03,0.03,0.03,0.03,0.03,0.03,0.03,0.03,0.03,0.03,0.02,0.02,0.02,0.01,0.01,0.0,-0.01,-0.02,-0.03,-0.04,-0.06,-0.07,-0.09,-0.11,-0.13,-0.15,-0.17,-0.2,-0.23,-0.25,-0.28,-0.32,-0.35,-0.38,-0.41,-0.44,-0.47,-0.5,-0.53,-0.55,-0.58,-0.6,-0.63,-0.65,-0.67,-0.69,-0.71,-0.72,-0.73,-0.75,-0.76,-0.77,-0.78,-0.79,-0.79,-0.79,-0.79,-0.79,-0.78,-0.77,-0.76,-0.75,-0.74,-0.72,-0.71,-0.69,-0.68,-0.66,-0.64,-0.61,-0.59,-0.56,-0.53,-0.5,-0.47,-0.45,-0.42,-0.39,-0.35,-0.32,-0.28,-0.25,-0.21,-0.18,-0.14,-0.11,-0.08,-0.05,-0.02,0.01,0.04,0.06,0.09,0.11,0.12,0.14,0.15,0.16,0.17,0.18,0.19,0.2,0.21,0.21,0.21,0.2,0.18,0.16,0.14,0.12,0.09,0.06,0.03,-0.01,-0.04,-0.08,-0.12,-0.16,-0.21,-0.26,-0.31,-0.36,-0.41,-0.46,-0.51,-0.56,-0.61,-0.66,-0.71,-0.76,-0.81,-0.86,-0.92,-0.96,-1.01,-1.06,-1.11,-1.16,-1.21,-1.25,-1.3,-1.35,-1.39,-1.43,-1.47,-1.51,-1.54,-1.58,-1.62,-1.66,-1.7,-1.74,-1.78,-1.81,-1.85,-1.88,-1.91,-1.93,-1.96,-1.98,-2.01,-2.03,-2.05,-2.07,-2.09,-2.11,-2.13,-2.14,-2.15,-2.17,-2.18,</t>
  </si>
  <si>
    <t>To_Avoid_Formula0.0,0.0,0.0,0.0,0.0,0.0,0.0,0.0,0.0,0.0,0.0,0.0,0.0,0.0,0.0,0.0,0.0,0.0,0.0,0.0,0.0,0.0,0.0,0.0,0.0,0.0,0.0,0.0,0.0,0.0,0.0,0.0,0.0,0.0,0.0,0.0,0.0,0.0,0.0,0.0,0.0,0.0,0.0,0.0,0.0,0.0,0.0,0.0,0.0,0.0,0.0,0.0,0.0,0.0,0.0,0.0,0.0,0.0,0.0,0.0,0.0,0.0,0.0,0.0,</t>
  </si>
  <si>
    <t>To_Avoid_Formula2.05,2.06,2.08,2.1,2.13,2.15,2.17,2.2,2.21,2.23,2.24,2.25,2.25,2.25,2.25,2.24,2.22,2.19,2.15,2.11,2.05,1.99,1.93,1.86,1.79,1.71,1.63,1.55,1.47,1.41,1.35,1.31,1.29,1.27,1.28,1.32,1.39,1.48,1.58,1.7,1.82,1.95,2.08,2.21,2.32,2.43,2.51,2.58,2.63,2.66,2.66,2.64,2.6,2.54,2.47,2.4,2.33,2.27,2.22,2.19,2.17,2.16,2.16,2.16,2.17,2.19,2.2,2.23,2.26,2.3,2.35,2.41,2.47,2.53,2.58,2.63,2.68,2.72,2.77,2.81,2.86,2.9,2.94,2.98,3.01,3.04,3.06,3.07,3.07,3.07,3.07,3.06,3.03,2.99,2.94,2.87,2.79,2.69,2.57,2.44,2.29,2.12,1.94,1.75,1.54,1.32,1.09,0.86,0.63,0.4,0.18,-0.04,-0.26,-0.46,-0.65,-0.8,-0.94,-1.05,-1.14,-1.21,-1.25,-1.28,-1.28,-1.26,-1.23,-1.18,-1.13,-1.06,-0.99,-0.92,-0.86,-0.8,-0.77,-0.75,-0.74,-0.74,-0.75,-0.75,-0.73,-0.71,-0.67,-0.63,-0.59,-0.55,-0.5,-0.44,-0.38,-0.31,-0.23,-0.17,-0.12,-0.08,-0.08,-0.08,-0.09,-0.1,-0.12,-0.14,-0.17,-0.22,-0.27,-0.32,-0.38,-0.42,-0.45,-0.45,-0.43,-0.39,-0.33,-0.28,-0.23,-0.19,-0.15,-0.11,-0.06,0.0,0.07,0.16,0.24,0.32,0.39,0.44,0.46,0.47,0.46,0.44,0.41,0.38,0.33,0.28,0.24,0.21,0.19,0.2,0.23,0.27,0.31,0.35,0.38,0.41,0.43,0.45,0.45,0.43,0.41,0.37,0.31,0.25,0.17,0.08,-0.02,-0.12,-0.21,-0.3,-0.39,-0.47,-0.54,-0.6,-0.65,-0.69,-0.72,-0.74,-0.75,-0.76,-0.76,-0.76,-0.75,-0.74,-0.74,-0.75,-0.76,-0.78,-0.81,-0.84,-0.86,-0.89,-0.9,-0.91,-0.9,-0.88,-0.84,-0.8,-0.76,-0.7,-0.64,-0.58,-0.53,-0.47,-0.43,-0.4,-0.37,-0.35,-0.35,-0.36,-0.4,-0.45,-0.52,-0.59,-0.66,-0.74,-0.8,-0.85,-0.9,-0.92,-0.94,-0.93,-0.91,-0.88,-0.83,-0.78,-0.72,-0.65,-0.57,-0.49,-0.41,-0.34,-0.29,-0.25,-0.24,-0.26,-0.3,-0.37,-0.45,-0.54,-0.64,-0.73,-0.82,-0.9,-0.97,-1.03,-1.09,-1.14,-1.19,-1.23,-1.26,-1.3,-1.32,-1.34,-1.35,-1.35,-1.33,-1.3,-1.25,-1.2,-1.15,-1.09,-1.03,-0.97,-0.89,-0.81,-0.72,-0.62,-0.52,-0.42,-0.33,-0.26,-0.2,-0.17,-0.15,-0.16,-0.19,-0.24,-0.31,-0.38,-0.46,-0.53,-0.6,-0.65,-0.69,-0.71,-0.71,-0.7,-0.68,-0.65,-0.6,-0.54,-0.47,-0.4,-0.31,-0.22,-0.13,-0.03,0.06,0.15,0.23,0.3,0.35,0.38,0.39,0.39,0.37,0.34,0.3,0.26,0.21,0.16,0.11,0.06,0.02,-0.01,-0.03,-0.04,-0.05,-0.05,-0.05,-0.05,-0.04,-0.03,-0.03,-0.02,-0.02,-0.01,-0.01,0.0,0.0,-0.01,-0.02,-0.03,-0.04,-0.06,-0.07,-0.08,-0.08,-0.06,-0.03,0.03,0.1,0.19,0.29,0.39,0.49,0.56,0.61,0.63,0.63,0.61,0.56,0.5,0.43,0.35,0.27,0.2,0.13,0.06,0.01,-0.03,-0.06,-0.08,-0.1,-0.11,-0.11,-0.12,-0.14,-0.15,-0.17,-0.18,-0.2,-0.21,-0.22,-0.25,-0.28,-0.33,-0.4,-0.48,-0.58,-0.69,-0.79,-0.88,-0.97,-1.04,-1.1,-1.14,-1.18,-1.2,-1.21,-1.19,-1.15,-1.08,-0.99,-0.88,-0.76,-0.62,-0.48,-0.33,-0.19,-0.05,0.09,0.22,0.35,0.47,0.59,0.71,0.83,0.93,1.03,1.11,1.18,1.24,1.28,1.31,1.32,1.31,1.3,1.28,1.26,1.22,1.18,1.13,1.07,1.02,0.97,0.93,0.89,0.84,0.8,0.74,0.67,0.57,0.46,0.33,0.18,0.02,-0.16,-0.34,-0.51,-0.68,-0.81,-0.92,-0.99,-1.03,-1.03,-1.0,-0.95,-0.87,-0.77,-0.64,-0.5,-0.36,-0.22,-0.11,-0.02,0.02,0.02,-0.01,-0.08,-0.17,-0.27,-0.38,-0.51,-0.65,-0.8,-0.96,-1.12,-1.28,-1.44,-1.58,-1.71,-1.83,-1.94,-2.04,-2.12,-2.19,-2.26,-2.31,-2.35,-2.39,-2.42,-2.44,-2.44,-2.42,-2.38,-2.31,-2.18,-1.99,-1.74,-1.46,-1.18,-0.92,-0.69,-0.5,-0.36,-0.26,-0.19,-0.15,-0.13,-0.14,-0.16,-0.21,-0.28,-0.37,-0.46,-0.57,-0.66,-0.76,-0.84,-0.91,-0.98,-1.05,-1.12,-1.2,-1.28,-1.37,-1.46,-1.54,-1.6,-1.61,-1.57,-1.48,-1.37,-1.25,-1.12,-0.99,-0.86,-0.75,-0.65,-0.57,-0.5,-0.44,-0.38,-0.32,-0.26,-0.2,-0.15,-0.1,-0.06,-0.02,0.01,0.05,0.09,0.14,0.18,0.22,0.26,0.32,0.39,0.48,0.59,0.72,0.88,1.07,1.29,1.53,1.77,2.01,2.23,2.4,2.53,2.62,2.65,2.63,2.57,2.47,2.34,2.18,2.0,1.82,1.65,1.51,1.38,1.27,1.16,1.05,0.94,0.81,0.68,0.55,0.42,0.3,0.2,0.1,0.02,-0.06,-0.13,-0.2,-0.27,-0.34,-0.41,-0.49,-0.56,-0.64,-0.7,-0.75,-0.79,-0.82,-0.84,-0.86,-0.88,-0.91,-0.93,-0.96,-0.98,-1.0,-1.0,-1.01,-1.01,-1.01,-1.02,-1.03,-1.06,-1.09,-1.15,-1.2,-1.26,-1.29,-1.3,-1.27,-1.23,-1.16,-1.06,-0.94,-0.79,-0.62,-0.43,-0.24,-0.05,0.12,0.26,0.35,0.4,0.41,0.39,0.35,0.29,0.22,0.13,0.05,-0.04,-0.11,-0.17,-0.21,-0.23,-0.23,-0.22,-0.19,-0.15,-0.11,-0.06,-0.01,0.02,0.04,0.05,0.04,0.03,0.0,-0.02,-0.05,-0.07,-0.09,-0.11,-0.14,-0.15,-0.17,-0.1</t>
  </si>
  <si>
    <t>To_Avoid_Formula9,-0.21,-0.24,-0.27,-0.3,-0.34,-0.38,-0.44,-0.51,-0.59,-0.67,-0.75,-0.83,-0.91,-0.97,-1.02,-1.06,-1.11,-1.16,-1.2,-1.24,-1.27,-1.25,-1.14,-0.93,-0.6,-0.18,0.29,0.78,1.29,1.8,2.3,2.78,3.24,3.69,4.1,4.48,4.83,5.14,5.43,5.69,5.92,6.1,6.23,6.32,6.39,6.43,6.48,6.53,6.59,6.68,6.8,6.95,7.12,7.31,7.5,7.69,7.86,8.03,8.18,8.32,8.43,8.53,8.6,8.66,8.68,8.69,8.67,8.63,8.55,8.44,8.31,8.15,7.98,7.8,7.61,7.42,7.25,7.09,6.94,6.81,6.7,6.61,6.54,6.5,6.48,6.5,6.55,6.64,6.75,6.9,7.06,7.24,7.42,7.59,7.73,7.83,7.91,7.94,7.94,7.9,7.82,7.71,7.56,7.39,7.18,6.96,6.73,6.49,6.24,5.99,5.73,5.47,5.21,4.97,4.75,4.56,4.4,4.27,4.15,4.05,3.95,3.84,3.72,3.57,3.42,3.24,3.06,2.87,2.66,2.47,2.29,2.15,2.06,2.0,1.98,1.97,1.96,1.94,1.91,1.86,1.78,1.69,1.58,1.46,1.34,1.22,1.11,1.0,0.91,0.84,0.77,0.71,0.65,0.59,0.53,0.47,0.42,0.39,0.38,0.4,0.42,0.47,0.52,0.58,0.64,0.69,0.76,0.84,0.93,1.04,1.16,1.3,1.45,1.61,1.78,1.95,2.13,2.31,2.5,2.7,2.9,3.11,3.32,3.52,3.73,3.94,4.14,4.35,4.55,4.73,4.89,5.01,5.09,5.14,5.16,5.16,5.14,5.1,5.06,5.03,5.03,5.06,5.11,5.19,5.29,5.4,5.51,5.61,5.7,5.76,5.8,5.82,5.84,5.84,5.84,5.83,5.82,5.82,5.82,5.81,5.79,5.75,5.69,5.59,5.47,5.32,5.16,4.98,4.79,4.58,4.38,4.18,3.98,3.8,3.62,3.45,3.3,3.17,3.07,3.0,2.95,2.94,2.94,2.94,2.94,2.96,2.98,3.0,3.01,3.02,3.02,3.03,3.03,3.03,3.01,2.99,2.94,2.87,2.77,2.67,2.55,2.44,2.33,2.24,2.16,2.1,2.06,2.05,2.06,2.1,2.15,2.21,2.25,2.28,2.3,2.3,2.29,2.27,2.24,2.21,2.18,2.16,2.14,2.13,2.14,2.14,2.14,2.14,2.13,2.13,2.13,2.14,2.19,2.26,2.34,2.44,2.55,2.66,2.77,2.86,2.94,2.99,3.0,2.96,2.85,2.66,2.37,1.97,1.47,0.89,0.25,-0.43,-1.11,-1.77,-2.38,-2.92,-3.41,-3.84,-4.21,-4.52,-4.77,-4.97,-5.1,-5.17,-5.17,-5.1,-4.97,-4.77,-4.53,-4.24,-3.92,</t>
  </si>
  <si>
    <t>To_Avoid_Formula-0.35,-0.35,-0.3,-0.2,-0.03,0.19,0.38,0.53,0.61,0.6,0.53,0.47,0.37,0.28,0.21,0.18,0.19,0.3,0.49,0.61,0.68,0.78,0.89,0.97,1.05,1.16,1.22,1.23,1.24,1.26,1.27,1.27,1.25,1.17,1.07,0.95,0.8,0.68,0.59,0.44,0.28,0.27,0.31,0.31,0.33,0.42,0.55,0.69,0.72,0.59,0.45,0.45,0.53,0.55,0.51,0.48,0.46,0.41,0.33,0.21,0.08,0.02,0.0,-0.05,-0.11,-0.16,-0.23,-0.28,-0.29,-0.35,-0.45,-0.51,-0.5,-0.46,-0.45,-0.56,-0.7,-0.73,-0.7,-0.75,-0.87,-0.95,-0.99,-1.05,-1.11,-1.16,-1.27,-1.35,-1.35,-1.35,-1.41,-1.39,-1.29,-1.17,-1.01,-0.86,-0.77,-0.7,-0.59,-0.52,-0.49,-0.43,-0.31,-0.25,-0.21,-0.15,-0.11,-0.09,-0.03,0.03,0.05,0.07,0.12,0.14,0.16,0.25,0.33,0.34,0.37,0.43,0.47,0.53,0.65,0.77,0.82,0.82,0.75,0.69,0.69,0.72,0.66,0.57,0.55,0.57,0.54,0.51,0.54,0.55,0.55,0.53,0.48,0.44,0.45,0.45,0.37,0.27,0.22,0.19,0.23,0.31,0.32,0.24,0.25,0.26,0.26,0.24,0.18,0.15,0.18,0.18,0.12,0.07,0.03,-0.04,-0.09,-0.14,-0.17,-0.15,-0.07,-0.03,0.0,0.04,0.07,0.05,0.01,-0.02,-0.06,-0.08,-0.04,0.01,0.03,0.07,0.08,0.09,0.14,0.2,0.17,0.02,-0.17,-0.35,-0.5,-0.63,-0.74,-0.8,-0.75,-0.67,-0.61,-0.5,-0.33,-0.17,-0.06,-0.04,-0.12,-0.21,-0.26,-0.3,-0.34,-0.32,-0.27,-0.22,-0.17,-0.14,-0.18,-0.22,-0.2,-0.17,-0.18,-0.18,-0.17,-0.17,-0.14,-0.08,-0.03,0.03,0.16,0.29,0.38,0.46,0.53,0.55,0.6,0.63,0.6,0.55,0.54,0.53,0.51,0.47,0.37,0.24,0.18,0.16,0.1,0.07,0.14,0.21,0.2,0.17,0.12,0.06,0.04,0.01,-0.08,-0.16,-0.14,-0.1,-0.08,-0.03,0.01,0.02,0.01,-0.03,-0.1,-0.17,-0.18,-0.17,-0.15,-0.07,0.02,0.13,0.33,0.49,0.5,0.43,0.41,0.41,0.43,0.47,0.49,0.46,0.43,0.42,0.34,0.23,0.13,0.02,-0.1,-0.19,-0.29,-0.41,-0.47,-0.49,-0.51,-0.46,-0.35,-0.3,-0.31,-0.26,-0.2,-0.21,-0.27,-0.3,-0.31,-0.26,-0.16,-0.06,0.01,0.1,0.16,0.13,0.06,-0.01,-0.11,-0.18,-0.15,-0.12,-0.11,-0.06,0.03,0.11,0.21,0.31,0.31,0.25,0.23,0.19,0.08,0.0,-0.01,0.0,0.05,0.15,0.25,0.32,0.39,0.45,0.47,0.47,0.42,0.33,0.27,0.27,0.23,0.17,0.15,0.13,0.08,0.07,0.08,0.03,-0.02,-0.04,-0.07,-0.09,-0.05,0.01,0.05,0.08,0.09,0.06,0.03,0.0,-0.11,-0.28,-0.43,-0.54,-0.63,-0.6,-0.55,-0.53,-0.51,-0.43,-0.37,-0.34,-0.26,-0.21,-0.25,-0.33,-0.37,-0.42,-0.44,-0.44,-0.49,-0.54,-0.55,-0.55,-0.57,-0.56,-0.55,-0.55,-0.49,-0.39,-0.29,-0.17,0.0,0.09,0.14,0.23,0.29,0.25,0.2,0.21,0.2,0.2,0.27,0.34,0.39,0.5,0.6,0.64,0.64,0.64,0.61,0.56,0.48,0.33,0.17,0.11,0.11,0.12,0.18,0.31,0.38,0.46,0.61,0.72,0.71,0.62,0.49,0.36,0.29,0.19,0.03,-0.1,-0.13,-0.16,-0.21,-0.22,-0.2,-0.23,-0.26,-0.3,-0.42,-0.51,-0.5,-0.42,-0.35,-0.29,-0.25,-0.25,-0.24,-0.18,-0.12,-0.06,-0.01,0.01,0.02,0.08,0.18,0.28,0.34,0.3,0.17,0.07,0.04,-0.03,-0.18,-0.3,-0.36,-0.36,-0.32,-0.31,-0.37,-0.38,-0.32,-0.23,-0.15,0.03,0.15,0.06,-0.12,-0.19,-0.15,-0.12,-0.16,-0.28,-0.43,-0.66,-0.95,-1.21,-1.38,-1.51,-1.59,-1.51,-1.26,-0.98,-0.67,-0.39,-0.25,-0.17,-0.07,-0.05,-0.17,-0.3,-0.28,-0.11,0.05,0.14,0.22,0.35,0.53,0.71,0.87,1.04,1.19,1.3,1.41,1.53,1.58,1.55,1.5,1.39,1.22,1.1,1.02,0.93,0.85,0.78,0.77,0.87,1.0,0.95,0.78,0.82,1.04,1.18,1.14,1.08,1.09,1.11,1.11,1.03,0.85,0.65,0.47,0.3,0.21,0.14,0.09,0.1,0.2,0.24,0.15,0.06,0.04,-0.01,-0.12,-0.27,-0.47,-0.65,-0.72,-0.78,-0.88,-0.93,-0.93,-0.95,-0.96,-0.95,-0.99,-1.03,-1.01,-0.99,-1.02,-1.04,-1.05,-1.13,-1.23,-1.27,-1.32,-1.44,-1.48,-1.42,-1.37,-1.36,-1.29,-1.12,-0.88,-0.68,-0.63,-0.64,-0.58,-0.47,-0.48,-0.64,-0.85,-0.96,-0.98,-0.99,-1.04,-1.11,-1.08,-0.97,-0.81,-0.65,-0.59,-0.64,-0.68,-0.61,-0.59,-0.68,-0.76,-0.7,-0.56,-0.45,-0.37,-0.33,-0.24,-0.12,-0.06,-0.1,-0.19,-0.28,-0.34,-0.31,-0.24,-0.21,-0.16,-0.04,0.04,0.11,0.27,0.42,0.5,0.55,0.58,0.51,0.43,0.42,0.44,0.42,0.4,0.37,0.35,0.37,0.39,0.33,0.27,0.32,0.43,0.49,0.52,0.52,0.5,0.56,0.69,0.74,0.71,0.71,0.73,0.74,0.79,0.85,0.87,0.97,1.14,1.23,1.22,1.25,1.36,1.42,1.46,1.5,1.49,1.44,1.5,1.61,1.68,1.75,1.83,1.88,1.91,1.9,1.79,1.71,1.73,1.69,1.48,1.28,1.24,1.27,1.25,1.2,1.08,0.93,0.91,0.92,0.77,0.56,0.45,0.41,0.36,0.3,0.2,0.07,0.03,0.06,0.03,-0.1,-0.28,-0.51,-0.66,-0.7,-0.78,-0.94,-1.09,-1.17,-1.19,-1.14,-1.07,-1.01,-0.94,-0.8,-0.68,-0.6,-0.43,-0.24,-0.2,-0.24,-0.13,0.1,0.3,0.46,0</t>
  </si>
  <si>
    <t>To_Avoid_Formula.62,0.66,0.54,0.42,0.44,0.49,0.48,0.47,0.41,0.25,0.11,0.08,0.06,-0.03,-0.09,-0.11,-0.24,-0.48,-0.6,-0.61,-0.7,-0.9,-1.13,-1.36,-1.57,-1.67,-1.72,-1.85,-1.99,-2.1,-2.25,-2.39,-2.34,-2.26,-2.34,-2.46,-2.38,-2.14,-1.89,-1.69,-1.59,-1.59,-1.68,-1.71,-1.76,-1.9,-2.16,-2.33,-2.42,-2.45,-2.35,-2.24,-2.15,-2.09,-1.99,-1.83,-1.6,-1.35,-1.18,-1.17,-1.23,-1.23,-1.16,-1.13,-1.1,-1.01,-0.88,-0.79,-0.72,-0.61,-0.49,-0.36,-0.24,-0.12,0.02,0.26,0.54,0.77,0.97,1.17,1.39,1.57,1.69,1.74,1.74,1.76,1.83,1.87,1.75,1.52,1.42,1.48,1.59,1.75,1.98,2.18,2.27,2.34,2.46,2.55,2.61,2.71,2.83,2.78,2.55,2.34,2.21,2.01,1.67,1.35,1.17,1.15,1.15,1.08,0.93,0.82,0.87,1.0,1.06,1.01,0.91,0.83,0.81,0.77,0.64,0.48,0.39,0.27,0.09,0.02,0.07,-0.09,-0.39,-0.45,-0.24,-0.2,-0.6,-1.16,-1.37,-1.11,-0.71,-0.35,-0.07,0.16,0.23,0.34,0.59,0.85,0.97,1.02,1.07,1.08,0.99,0.79,0.55,0.31,0.15,0.06,0.03,-0.06,-0.24,-0.4,-0.35,-0.15,0.0,-0.02,-0.13,-0.19,-0.22,-0.3,-0.39,-0.39,-0.32,-0.24,-0.24,-0.29,-0.27,-0.11,0.08,0.19,0.2,0.2,0.19,0.18,0.21,0.24,0.11,-0.11,-0.24,-0.23,-0.25,-0.28,-0.29,-0.34,-0.39,-0.32,-0.18,-0.13,-0.19,-0.29,-0.37,-0.43,-0.43,-0.38,-0.35,-0.36,-0.44,-0.57,-0.71,-0.8,-0.85,-0.93,-0.97,-0.85,-0.66,-0.58,-0.64,-0.74,-0.8,-0.85,-0.83,-0.86,-0.96,-1.01,-0.91,-0.78,-0.79,-0.86,-0.83,-0.68,-0.61,-0.72,-0.94,-1.14,-1.24,-1.27,-1.3,-1.37,-1.44,-1.52,-1.58,-1.61,-1.66,-1.79,-1.92,-1.88,-1.76,-1.79,-1.9,-1.93,-1.87,-1.81,-1.75,-1.69,-1.63,-1.52,-1.32,-1.15,-1.13,-1.15,-1.09,-1.09,-1.14,-1.04,-0.87,-0.85,-0.89,-0.78,-0.65,-0.68,-0.68,-0.46,-0.09,0.27,0.65,1.06,1.51,1.97,2.38,2.68,2.89,3.05,3.17,3.22,3.25,3.39,3.58,3.69,3.79,4.01,4.24,4.36,4.43,4.51,4.59,4.65,4.73,4.76,4.62,4.33,4.05,3.86,3.66,3.4,3.09,2.77,2.46,2.2,1.94,1.61,1.3,1.08,</t>
  </si>
  <si>
    <t>To_Avoid_Formula-0.83,-0.84,-0.84,-0.85,-0.82,-0.76,-0.71,-0.66,-0.63,-0.65,-0.7,-0.71,-0.73,-0.78,-0.84,-0.87,-0.86,-0.79,-0.69,-0.65,-0.65,-0.6,-0.55,-0.53,-0.49,-0.42,-0.38,-0.38,-0.4,-0.4,-0.4,-0.34,-0.28,-0.26,-0.26,-0.25,-0.25,-0.25,-0.25,-0.3,-0.39,-0.4,-0.38,-0.4,-0.39,-0.31,-0.21,-0.12,-0.1,-0.18,-0.28,-0.28,-0.23,-0.21,-0.2,-0.15,-0.1,-0.08,-0.07,-0.1,-0.18,-0.23,-0.25,-0.28,-0.32,-0.35,-0.4,-0.46,-0.51,-0.61,-0.72,-0.81,-0.88,-0.94,-0.98,-1.05,-1.15,-1.21,-1.21,-1.26,-1.35,-1.41,-1.47,-1.57,-1.69,-1.79,-1.93,-2.06,-2.13,-2.17,-2.24,-2.25,-2.21,-2.17,-2.11,-2.03,-2.01,-2.01,-1.96,-1.91,-1.92,-1.9,-1.85,-1.82,-1.78,-1.69,-1.64,-1.62,-1.57,-1.48,-1.42,-1.37,-1.33,-1.33,-1.29,-1.18,-1.11,-1.1,-1.06,-0.98,-0.94,-0.91,-0.83,-0.75,-0.69,-0.67,-0.7,-0.75,-0.75,-0.68,-0.64,-0.63,-0.58,-0.51,-0.47,-0.42,-0.34,-0.32,-0.34,-0.35,-0.36,-0.37,-0.35,-0.34,-0.36,-0.38,-0.36,-0.36,-0.33,-0.27,-0.24,-0.31,-0.3,-0.28,-0.23,-0.2,-0.2,-0.19,-0.15,-0.13,-0.15,-0.14,-0.12,-0.12,-0.1,-0.08,-0.06,0.0,0.12,0.2,0.22,0.23,0.22,0.2,0.19,0.19,0.14,0.12,0.18,0.26,0.31,0.35,0.37,0.38,0.42,0.46,0.42,0.32,0.21,0.11,0.01,-0.07,-0.14,-0.17,-0.13,-0.09,-0.09,-0.08,-0.01,0.05,0.07,0.06,-0.02,-0.12,-0.17,-0.22,-0.26,-0.27,-0.24,-0.2,-0.14,-0.09,-0.09,-0.08,-0.04,-0.01,0.0,0.04,0.09,0.12,0.16,0.21,0.24,0.28,0.35,0.4,0.41,0.43,0.42,0.37,0.35,0.37,0.37,0.39,0.45,0.52,0.58,0.63,0.64,0.6,0.58,0.57,0.53,0.52,0.58,0.64,0.65,0.7,0.76,0.77,0.79,0.83,0.83,0.82,0.85,0.86,0.85,0.89,0.92,0.89,0.86,0.84,0.8,0.75,0.72,0.69,0.66,0.7,0.75,0.78,0.85,0.91,0.89,0.85,0.84,0.82,0.8,0.84,0.88,0.87,0.84,0.83,0.79,0.75,0.74,0.69,0.62,0.58,0.54,0.48,0.44,0.42,0.38,0.37,0.41,0.4,0.36,0.38,0.41,0.39,0.34,0.35,0.38,0.44,0.53,0.59,0.62,0.67,0.73,0.72,0.68,0.66,0.61,0.58,0.59,0.61,0.62,0.66,0.71,0.74,0.79,0.86,0.88,0.86,0.89,0.9,0.87,0.88,0.94,0.98,1.02,1.12,1.22,1.28,1.33,1.36,1.34,1.31,1.25,1.17,1.12,1.12,1.11,1.09,1.12,1.15,1.15,1.15,1.14,1.05,0.95,0.87,0.79,0.7,0.64,0.6,0.57,0.58,0.58,0.54,0.51,0.5,0.45,0.36,0.27,0.21,0.16,0.18,0.23,0.2,0.18,0.24,0.28,0.27,0.25,0.25,0.21,0.16,0.11,0.04,-0.01,-0.03,-0.05,-0.1,-0.11,-0.15,-0.21,-0.23,-0.26,-0.32,-0.35,-0.34,-0.35,-0.34,-0.25,-0.18,-0.13,-0.04,0.04,0.03,0.0,0.04,0.05,0.05,0.09,0.13,0.16,0.24,0.3,0.31,0.31,0.33,0.31,0.27,0.21,0.14,0.07,0.07,0.1,0.11,0.16,0.27,0.33,0.36,0.42,0.46,0.45,0.43,0.42,0.41,0.44,0.48,0.46,0.44,0.46,0.46,0.42,0.42,0.42,0.34,0.25,0.18,0.08,-0.04,-0.11,-0.16,-0.17,-0.1,-0.01,0.03,0.03,0.05,0.07,0.1,0.15,0.19,0.2,0.24,0.31,0.36,0.4,0.37,0.28,0.24,0.27,0.27,0.16,0.04,-0.05,-0.12,-0.16,-0.23,-0.35,-0.46,-0.51,-0.52,-0.52,-0.43,-0.36,-0.41,-0.53,-0.59,-0.61,-0.66,-0.75,-0.85,-0.96,-1.12,-1.3,-1.46,-1.54,-1.56,-1.54,-1.46,-1.4,-1.38,-1.37,-1.34,-1.39,-1.47,-1.48,-1.45,-1.46,-1.47,-1.38,-1.21,-1.03,-0.87,-0.67,-0.46,-0.26,-0.1,0.05,0.24,0.42,0.54,0.67,0.84,0.98,1.03,1.05,1.02,0.96,0.94,0.93,0.92,0.9,0.91,0.92,0.95,1.02,1.03,0.92,0.85,0.87,0.88,0.87,0.86,0.85,0.83,0.85,0.84,0.75,0.64,0.57,0.51,0.47,0.46,0.45,0.46,0.52,0.55,0.51,0.48,0.49,0.48,0.43,0.4,0.34,0.26,0.22,0.22,0.2,0.21,0.19,0.08,-0.06,-0.19,-0.38,-0.6,-0.73,-0.81,-0.92,-1.01,-1.07,-1.15,-1.26,-1.31,-1.34,-1.41,-1.41,-1.36,-1.34,-1.37,-1.35,-1.27,-1.2,-1.15,-1.18,-1.23,-1.25,-1.23,-1.27,-1.4,-1.54,-1.62,-1.65,-1.65,-1.67,-1.72,-1.73,-1.68,-1.6,-1.54,-1.53,-1.61,-1.67,-1.64,-1.61,-1.67,-1.72,-1.67,-1.57,-1.49,-1.44,-1.47,-1.5,-1.48,-1.52,-1.67,-1.86,-1.98,-1.98,-1.89,-1.77,-1.72,-1.63,-1.46,-1.36,-1.29,-1.19,-1.12,-1.1,-1.08,-1.03,-1.06,-1.12,-1.12,-1.08,-1.06,-1.08,-1.14,-1.23,-1.27,-1.26,-1.32,-1.45,-1.51,-1.49,-1.44,-1.44,-1.52,-1.62,-1.57,-1.43,-1.34,-1.34,-1.31,-1.25,-1.18,-1.03,-0.87,-0.81,-0.72,-0.54,-0.39,-0.34,-0.27,-0.14,0.02,0.18,0.34,0.42,0.45,0.59,0.81,0.97,1.09,1.21,1.36,1.53,1.65,1.64,1.61,1.7,1.8,1.73,1.6,1.58,1.66,1.75,1.85,1.85,1.76,1.81,1.93,1.95,1.87,1.85,1.9,1.97,2.03,2.01,1.9,1.88,1.94,1.94,1.83,1.68,1.54,1.47,1.47,1.43,1.34,1.3,1.29,1.29,1.34,1.41,1.4,1.36,1.45,1.58,1.63,1.72</t>
  </si>
  <si>
    <t>To_Avoid_Formula,1.89,2.01,2.01,2.04,2.19,2.38,2.51,2.56,2.51,2.35,2.23,2.22,2.26,2.28,2.33,2.4,2.47,2.51,2.56,2.54,2.46,2.42,2.46,2.43,2.28,2.21,2.22,2.18,2.06,1.94,1.8,1.61,1.45,1.36,1.21,1.0,0.81,0.63,0.44,0.31,0.19,0.0,-0.2,-0.29,-0.31,-0.37,-0.45,-0.59,-0.78,-0.99,-1.11,-1.19,-1.28,-1.42,-1.56,-1.69,-1.8,-1.79,-1.73,-1.71,-1.77,-1.86,-1.93,-1.95,-1.94,-1.98,-2.1,-2.26,-2.36,-2.46,-2.64,-2.85,-2.97,-3.02,-3.05,-3.09,-3.11,-3.16,-3.2,-3.23,-3.3,-3.44,-3.55,-3.58,-3.6,-3.63,-3.62,-3.54,-3.42,-3.19,-2.84,-2.44,-2.1,-1.88,-1.81,-1.83,-1.81,-1.68,-1.47,-1.25,-1.02,-0.73,-0.45,-0.24,-0.07,0.08,0.19,0.28,0.46,0.65,0.7,0.67,0.69,0.76,0.76,0.66,0.53,0.41,0.32,0.25,0.16,0.03,-0.1,-0.15,-0.12,-0.09,-0.12,-0.24,-0.43,-0.56,-0.59,-0.6,-0.65,-0.68,-0.71,-0.73,-0.71,-0.63,-0.71,-0.94,-1.13,-1.25,-1.54,-2.04,-2.46,-2.45,-2.1,-1.76,-1.47,-1.05,-0.49,-0.13,0.01,0.14,0.37,0.58,0.72,0.79,0.84,0.9,0.94,0.98,1.01,1.07,1.16,1.31,1.45,1.48,1.46,1.52,1.69,1.83,1.83,1.76,1.74,1.76,1.81,1.88,1.94,1.94,1.89,1.89,1.92,1.89,1.77,1.62,1.54,1.5,1.46,1.37,1.25,1.21,1.22,1.17,1.08,1.01,0.99,0.99,1.05,1.13,1.12,1.07,1.09,1.13,1.04,0.89,0.79,0.72,0.62,0.56,0.52,0.47,0.44,0.43,0.37,0.22,0.13,0.2,0.3,0.38,0.45,0.53,0.6,0.64,0.65,0.6,0.51,0.5,0.55,0.56,0.54,0.59,0.7,0.71,0.57,0.41,0.33,0.29,0.18,-0.03,-0.29,-0.48,-0.56,-0.57,-0.6,-0.67,-0.8,-0.91,-0.94,-0.96,-1.11,-1.32,-1.41,-1.37,-1.43,-1.6,-1.77,-1.93,-2.06,-2.14,-2.2,-2.33,-2.46,-2.45,-2.41,-2.5,-2.65,-2.7,-2.71,-2.77,-2.75,-2.67,-2.62,-2.56,-2.39,-2.26,-2.26,-2.25,-2.09,-1.93,-1.88,-1.83,-1.73,-1.58,-1.39,-1.19,-1.03,-0.91,-0.73,-0.51,-0.34,-0.22,-0.02,0.29,0.6,0.91,1.29,1.66,1.97,2.26,2.56,2.75,2.87,2.94,3.0,3.0,2.97,2.99,2.99,2.95,2.91,2.91,2.84,2.7,2.61,2.56,2.47,2.36,2.32,</t>
  </si>
  <si>
    <t>To_Avoid_Formula-0.43,-0.38,-0.33,-0.36,-0.41,-0.45,-0.46,-0.45,-0.43,-0.42,-0.4,-0.32,-0.21,-0.17,-0.18,-0.17,-0.12,-0.05,0.0,-0.02,-0.07,-0.07,-0.06,-0.1,-0.11,-0.08,-0.08,-0.12,-0.18,-0.23,-0.24,-0.16,-0.04,0.04,0.1,0.21,0.31,0.4,0.46,0.47,0.43,0.4,0.36,0.3,0.28,0.31,0.34,0.34,0.3,0.22,0.12,0.08,0.08,0.07,0.08,0.15,0.23,0.28,0.33,0.34,0.27,0.19,0.16,0.13,0.09,0.05,0.0,-0.07,-0.17,-0.3,-0.42,-0.52,-0.64,-0.77,-0.8,-0.79,-0.81,-0.85,-0.82,-0.8,-0.81,-0.79,-0.77,-0.84,-0.94,-1.0,-1.06,-1.13,-1.14,-1.1,-1.05,-0.96,-0.86,-0.79,-0.72,-0.63,-0.59,-0.57,-0.5,-0.41,-0.37,-0.33,-0.28,-0.24,-0.15,0.0,0.1,0.15,0.22,0.34,0.46,0.53,0.55,0.52,0.57,0.68,0.72,0.7,0.71,0.78,0.78,0.74,0.72,0.71,0.71,0.69,0.63,0.52,0.47,0.52,0.59,0.64,0.69,0.75,0.78,0.83,0.88,0.82,0.71,0.63,0.58,0.53,0.48,0.44,0.4,0.41,0.43,0.41,0.36,0.34,0.31,0.14,0.08,0.06,0.1,0.14,0.14,0.12,0.12,0.09,0.06,0.08,0.12,0.15,0.18,0.22,0.24,0.3,0.4,0.46,0.41,0.3,0.2,0.12,0.1,0.07,-0.02,-0.08,-0.04,0.02,0.04,0.03,0.01,-0.02,-0.04,-0.08,-0.17,-0.27,-0.31,-0.35,-0.4,-0.43,-0.44,-0.42,-0.38,-0.37,-0.42,-0.47,-0.5,-0.54,-0.59,-0.64,-0.7,-0.78,-0.82,-0.83,-0.85,-0.84,-0.79,-0.72,-0.64,-0.55,-0.47,-0.4,-0.32,-0.27,-0.22,-0.13,-0.03,0.04,0.08,0.12,0.14,0.15,0.15,0.1,0.01,-0.05,-0.14,-0.29,-0.39,-0.4,-0.37,-0.29,-0.17,-0.04,0.08,0.19,0.27,0.3,0.3,0.27,0.23,0.22,0.26,0.28,0.3,0.41,0.53,0.58,0.62,0.68,0.74,0.77,0.78,0.73,0.65,0.64,0.62,0.53,0.45,0.42,0.37,0.32,0.27,0.19,0.1,0.09,0.1,0.04,-0.04,-0.11,-0.17,-0.2,-0.21,-0.27,-0.34,-0.32,-0.28,-0.28,-0.32,-0.35,-0.36,-0.32,-0.25,-0.23,-0.26,-0.23,-0.17,-0.16,-0.15,-0.15,-0.18,-0.22,-0.22,-0.24,-0.28,-0.27,-0.24,-0.25,-0.25,-0.18,-0.07,0.03,0.11,0.15,0.13,0.15,0.21,0.22,0.2,0.21,0.23,0.24,0.25,0.25,0.26,0.3,0.32,0.28,0.27,0.3,0.31,0.31,0.37,0.42,0.44,0.52,0.63,0.67,0.68,0.74,0.79,0.8,0.78,0.71,0.61,0.5,0.39,0.27,0.2,0.18,0.16,0.17,0.23,0.28,0.29,0.28,0.23,0.09,-0.08,-0.21,-0.34,-0.49,-0.62,-0.73,-0.8,-0.79,-0.77,-0.78,-0.78,-0.72,-0.67,-0.66,-0.63,-0.58,-0.53,-0.45,-0.37,-0.37,-0.39,-0.3,-0.22,-0.25,-0.31,-0.34,-0.32,-0.29,-0.31,-0.36,-0.38,-0.34,-0.29,-0.26,-0.22,-0.24,-0.27,-0.26,-0.25,-0.3,-0.35,-0.37,-0.43,-0.45,-0.38,-0.29,-0.21,-0.08,0.05,0.09,0.1,0.18,0.24,0.24,0.26,0.28,0.29,0.32,0.33,0.3,0.28,0.3,0.28,0.23,0.19,0.18,0.2,0.27,0.32,0.34,0.36,0.44,0.46,0.42,0.37,0.29,0.24,0.26,0.33,0.42,0.53,0.66,0.75,0.8,0.85,0.84,0.79,0.76,0.71,0.55,0.39,0.29,0.21,0.08,-0.07,-0.21,-0.28,-0.18,-0.03,0.06,0.06,0.04,0.03,0.02,0.06,0.11,0.12,0.12,0.14,0.14,0.12,0.08,0.01,0.01,0.1,0.14,0.08,-0.04,-0.15,-0.27,-0.37,-0.48,-0.63,-0.79,-0.9,-0.96,-0.98,-0.93,-0.86,-0.85,-0.86,-0.85,-0.88,-0.96,-1.02,-1.04,-1.03,-1.03,-1.01,-0.95,-0.83,-0.61,-0.36,-0.18,-0.19,-0.36,-0.55,-0.69,-0.83,-0.98,-1.03,-0.91,-0.72,-0.52,-0.29,-0.07,0.16,0.43,0.74,1.01,1.19,1.29,1.36,1.48,1.59,1.61,1.63,1.72,1.8,1.79,1.73,1.64,1.55,1.49,1.43,1.35,1.28,1.26,1.16,1.0,0.91,0.86,0.69,0.41,0.14,-0.06,-0.14,-0.19,-0.29,-0.42,-0.47,-0.48,-0.55,-0.62,-0.62,-0.62,-0.63,-0.61,-0.59,-0.6,-0.61,-0.61,-0.63,-0.63,-0.59,-0.58,-0.57,-0.5,-0.42,-0.39,-0.38,-0.32,-0.23,-0.15,-0.17,-0.34,-0.56,-0.78,-1.06,-1.37,-1.56,-1.63,-1.7,-1.74,-1.71,-1.68,-1.66,-1.58,-1.45,-1.32,-1.15,-0.96,-0.85,-0.78,-0.68,-0.58,-0.57,-0.58,-0.58,-0.59,-0.59,-0.56,-0.55,-0.54,-0.5,-0.44,-0.37,-0.25,-0.12,-0.06,0.0,0.11,0.19,0.24,0.27,0.24,0.23,0.31,0.42,0.46,0.51,0.62,0.74,0.84,0.88,0.81,0.71,0.65,0.56,0.34,0.09,0.0,0.12,0.35,0.55,0.66,0.8,1.03,1.17,1.21,1.23,1.2,1.11,1.07,1.09,1.05,0.97,0.94,0.97,0.97,0.92,0.79,0.59,0.46,0.43,0.35,0.14,-0.05,-0.12,-0.1,-0.15,-0.32,-0.48,-0.47,-0.32,-0.21,-0.2,-0.18,-0.12,-0.02,0.18,0.37,0.41,0.42,0.51,0.62,0.63,0.61,0.66,0.77,0.91,1.04,1.06,1.01,1.06,1.22,1.28,1.24,1.21,1.24,1.33,1.35,1.21,1.02,0.97,0.99,0.85,0.6,0.42,0.36,0.4,0.46,0.4,0.21,0.15,0.24,0.25,0.15,0.08,0.09,0.13,0.18,0.11,-0.1,-0.22,-0.22,-0.29,-0.49,-0.68,-0.79,-0.81,-0.81,-0.84,-0.86,-0.81,-0.75,-0.74,-0.68,-0.61,-0.68,-0.84,-0.81,-0.67,-0.65,-0.65,-0.52,-0.35,-0.36,-0.</t>
  </si>
  <si>
    <t>To_Avoid_Formula43,-0.41,-0.27,-0.23,-0.35,-0.56,-0.79,-0.96,-1.01,-0.99,-0.97,-0.88,-0.69,-0.43,-0.23,-0.14,-0.18,-0.28,-0.3,-0.22,-0.16,-0.2,-0.22,-0.17,-0.15,-0.16,-0.13,-0.12,-0.22,-0.35,-0.39,-0.45,-0.6,-0.73,-0.79,-0.87,-1.0,-1.12,-1.22,-1.29,-1.32,-1.39,-1.53,-1.68,-1.83,-1.97,-2.06,-2.01,-1.85,-1.64,-1.39,-1.22,-1.13,-1.04,-0.85,-0.58,-0.37,-0.31,-0.35,-0.41,-0.43,-0.44,-0.46,-0.5,-0.52,-0.49,-0.53,-0.7,-0.89,-0.97,-0.96,-0.88,-0.78,-0.71,-0.7,-0.69,-0.66,-0.71,-0.92,-1.17,-1.31,-1.39,-1.44,-1.44,-1.34,-1.11,-0.65,0.09,0.95,1.62,1.96,2.03,2.07,2.28,2.59,2.87,3.1,3.28,3.47,3.66,3.79,3.85,3.81,3.69,3.57,3.57,3.56,3.44,3.34,3.32,3.31,3.25,3.13,2.95,2.67,2.29,1.94,1.64,1.36,1.05,0.75,0.52,0.38,0.23,-0.04,-0.45,-0.78,-0.88,-0.86,-0.87,-0.93,-0.92,-0.85,-0.78,-0.73,-0.79,-1.0,-1.33,-1.79,-2.38,-2.92,-3.1,-2.76,-2.23,-1.88,-1.62,-1.07,-0.21,0.35,0.42,0.33,0.39,0.56,0.63,0.57,0.5,0.54,0.68,0.84,0.99,1.12,1.24,1.42,1.62,1.71,1.65,1.57,1.55,1.51,1.37,1.18,1.05,0.99,1.02,1.11,1.1,0.88,0.59,0.46,0.47,0.27,-0.23,-0.78,-1.12,-1.26,-1.38,-1.59,-1.83,-1.96,-1.97,-1.92,-1.89,-1.87,-1.9,-1.85,-1.67,-1.47,-1.41,-1.45,-1.43,-1.46,-1.65,-1.85,-1.89,-1.89,-1.93,-1.98,-2.02,-2.05,-2.0,-1.84,-1.75,-1.79,-1.75,-1.46,-1.05,-0.76,-0.66,-0.59,-0.46,-0.24,-0.06,-0.03,-0.09,-0.05,0.15,0.34,0.4,0.47,0.62,0.7,0.56,0.27,0.03,-0.04,-0.06,-0.17,-0.37,-0.52,-0.5,-0.36,-0.2,-0.13,-0.16,-0.17,-0.05,0.1,0.1,-0.03,-0.06,0.06,0.14,0.09,-0.05,-0.24,-0.36,-0.37,-0.35,-0.47,-0.63,-0.61,-0.49,-0.49,-0.6,-0.55,-0.38,-0.26,-0.14,0.02,0.25,0.55,0.91,1.16,1.26,1.38,1.56,1.57,1.34,1.1,0.91,0.76,0.67,0.63,0.58,0.55,0.66,0.89,1.06,1.12,1.23,1.49,1.81,2.1,2.38,2.59,2.78,2.96,3.11,3.06,2.85,2.53,2.24,2.01,1.86,1.84,1.69,1.47,1.33,1.31,1.19,0.95,0.75,0.67,0.57,0.45,0.39,</t>
  </si>
  <si>
    <t>To_Avoid_Formula0.17,0.01,-0.18,-0.24,-0.11,0.08,0.27,0.44,0.44,0.3,0.23,0.23,0.15,0.03,0.0,0.03,0.07,0.13,0.18,0.12,0.0,-0.09,-0.11,-0.05,0.09,0.27,0.52,0.85,1.17,1.42,1.61,1.72,1.67,1.5,1.29,1.03,0.72,0.42,0.13,-0.17,-0.42,-0.55,-0.62,-0.72,-0.84,-0.9,-0.82,-0.61,-0.45,-0.38,-0.23,0.05,0.34,0.57,0.72,0.8,0.75,0.62,0.47,0.3,0.17,0.09,-0.05,-0.18,-0.19,-0.2,-0.29,-0.4,-0.39,-0.31,-0.22,-0.12,0.11,0.42,0.64,0.63,0.54,0.55,0.63,0.62,0.54,0.48,0.43,0.36,0.33,0.31,0.23,0.08,-0.11,-0.24,-0.27,-0.28,-0.32,-0.32,-0.22,-0.06,0.07,0.18,0.21,0.16,0.14,0.22,0.31,0.32,0.33,0.38,0.39,0.38,0.33,0.2,0.02,-0.11,-0.15,-0.17,-0.22,-0.26,-0.3,-0.36,-0.4,-0.4,-0.33,-0.18,-0.02,0.11,0.25,0.4,0.49,0.54,0.6,0.64,0.58,0.44,0.35,0.32,0.27,0.17,0.03,-0.05,-0.09,-0.11,-0.15,-0.16,-0.17,-0.21,-0.26,-0.25,-0.23,-0.18,-0.07,0.09,0.23,0.31,0.3,0.3,0.27,0.22,0.11,0.06,0.13,0.28,0.36,0.31,0.14,-0.05,-0.21,-0.34,-0.5,-0.67,-0.8,-0.84,-0.77,-0.62,-0.52,-0.53,-0.61,-0.63,-0.54,-0.43,-0.35,-0.28,-0.18,-0.08,0.02,0.12,0.24,0.32,0.27,0.13,-0.04,-0.17,-0.27,-0.42,-0.6,-0.72,-0.74,-0.72,-0.69,-0.59,-0.45,-0.32,-0.25,-0.23,-0.19,-0.03,0.15,0.26,0.4,0.59,0.75,0.81,0.81,0.72,0.5,0.23,-0.02,-0.23,-0.37,-0.48,-0.61,-0.73,-0.76,-0.78,-0.83,-0.83,-0.74,-0.55,-0.34,-0.08,0.23,0.52,0.78,0.96,1.1,1.19,1.23,1.21,1.15,1.06,0.9,0.66,0.43,0.27,0.1,-0.1,-0.29,-0.46,-0.59,-0.76,-0.91,-0.98,-1.0,-1.06,-1.16,-1.19,-1.12,-1.06,-1.05,-1.05,-1.03,-1.04,-1.08,-1.12,-1.07,-0.97,-0.86,-0.73,-0.54,-0.3,-0.07,0.14,0.4,0.63,0.73,0.73,0.74,0.84,1.02,1.2,1.31,1.38,1.44,1.47,1.44,1.32,1.06,0.7,0.41,0.21,0.07,-0.09,-0.28,-0.45,-0.52,-0.49,-0.43,-0.43,-0.47,-0.43,-0.29,-0.15,-0.1,-0.14,-0.16,-0.07,0.07,0.21,0.34,0.42,0.37,0.23,0.11,-0.02,-0.2,-0.35,-0.38,-0.32,-0.24,-0.15,-0.04,0.06,0.11,0.09,0.01,-0.06,-0.11,-0.16,-0.22,-0.29,-0.36,-0.44,-0.49,-0.48,-0.48,-0.52,-0.58,-0.62,-0.6,-0.52,-0.42,-0.33,-0.22,-0.08,0.09,0.17,0.16,0.1,0.01,-0.01,0.0,0.01,0.02,0.03,0.04,0.13,0.31,0.51,0.67,0.8,0.94,1.09,1.23,1.31,1.25,1.1,0.9,0.66,0.44,0.27,0.12,-0.07,-0.25,-0.43,-0.55,-0.55,-0.45,-0.4,-0.43,-0.43,-0.32,-0.17,-0.02,0.05,0.01,-0.06,-0.13,-0.18,-0.18,-0.17,-0.25,-0.37,-0.38,-0.22,0.03,0.22,0.34,0.38,0.43,0.53,0.6,0.61,0.58,0.53,0.49,0.52,0.56,0.53,0.47,0.41,0.38,0.36,0.38,0.42,0.46,0.54,0.61,0.56,0.46,0.42,0.37,0.31,0.29,0.29,0.26,0.28,0.41,0.58,0.66,0.59,0.4,0.21,0.13,0.07,-0.1,-0.28,-0.41,-0.54,-0.68,-0.8,-0.95,-1.14,-1.3,-1.42,-1.47,-1.36,-1.07,-0.72,-0.4,-0.18,-0.1,-0.1,-0.04,0.08,0.17,0.21,0.12,-0.01,-0.05,0.07,0.15,0.11,-0.01,-0.11,-0.13,-0.1,-0.12,-0.25,-0.42,-0.54,-0.57,-0.49,-0.32,-0.2,-0.16,-0.08,0.03,0.12,0.27,0.53,0.75,0.85,0.9,1.0,1.19,1.36,1.38,1.24,1.06,0.8,0.37,-0.14,-0.64,-1.2,-1.83,-2.16,-2.0,-1.53,-1.07,-0.79,-0.67,-0.47,-0.23,-0.16,-0.24,-0.25,-0.14,0.13,0.46,0.68,0.63,0.3,-0.14,-0.58,-0.96,-1.27,-1.58,-1.77,-1.7,-1.48,-1.25,-1.12,-1.11,-1.12,-1.04,-0.91,-0.82,-0.83,-0.94,-1.1,-1.1,-0.89,-0.76,-0.86,-0.89,-0.53,0.03,0.46,0.65,0.84,1.17,1.53,1.78,1.94,2.07,2.06,1.8,1.57,1.62,1.67,1.4,1.01,0.82,0.86,0.84,0.66,0.45,0.31,0.25,0.09,-0.11,-0.19,-0.17,-0.28,-0.46,-0.61,-0.71,-0.76,-0.69,-0.48,-0.21,0.09,0.36,0.59,0.9,1.28,1.54,1.62,1.73,1.92,1.99,1.84,1.56,1.27,1.02,0.72,0.38,0.21,0.28,0.4,0.39,0.38,0.52,0.71,0.8,0.82,0.8,0.84,0.89,0.8,0.67,0.56,0.41,0.14,-0.07,-0.1,-0.14,-0.31,-0.52,-0.63,-0.67,-0.65,-0.72,-0.78,-0.74,-0.64,-0.55,-0.47,-0.35,-0.29,-0.27,-0.17,0.01,0.04,-0.13,-0.27,-0.3,-0.27,-0.34,-0.51,-0.62,-0.67,-0.68,-0.73,-0.79,-0.91,-1.13,-1.41,-1.51,-1.41,-1.29,-1.23,-1.18,-1.02,-0.74,-0.51,-0.48,-0.57,-0.59,-0.48,-0.37,-0.28,-0.13,0.11,0.34,0.5,0.6,0.65,0.62,0.52,0.42,0.36,0.26,0.03,-0.2,-0.27,-0.24,-0.31,-0.5,-0.61,-0.62,-0.66,-0.74,-0.82,-0.87,-0.85,-0.79,-0.7,-0.57,-0.44,-0.41,-0.45,-0.49,-0.5,-0.51,-0.44,-0.32,-0.25,-0.2,-0.08,0.1,0.24,0.3,0.24,0.14,0.1,0.16,0.19,0.11,-0.02,-0.16,-0.25,-0.3,-0.35,-0.44,-0.53,-0.56,-0.51,-0.38,-0.26,-0.28,-0.44,-0.51,-0.43,-0.37,-0.48,-0.67,-0.75,-0.71,-0.74,-0.86,-0.85,-0.68,-0.64,-0.76,</t>
  </si>
  <si>
    <t>To_Avoid_Formula-0.74,-0.48,-0.28,-0.34,-0.33,0.02,0.49,0.78,1.04,1.46,1.89,2.05,2.07,2.22,2.45,2.57,2.49,2.34,2.19,2.02,1.82,1.71,1.72,1.62,1.29,0.83,0.48,0.25,0.03,-0.22,-0.51,-0.84,-1.0,-0.85,-0.62,-0.65,-0.88,-1.02,-1.11,-1.26,-1.29,-1.06,-0.87,-0.9,-0.95,-0.74,-0.21,0.42,0.94,1.25,1.51,1.72,1.75,1.66,1.51,1.14,0.65,0.27,0.1,0.02,-0.3,-0.84,-1.36,-1.74,-1.97,-2.05,-1.99,-1.88,-1.78,-1.61,-1.21,-0.82,-0.47,-0.11,0.21,0.55,0.79,0.88,0.88,0.89,0.86,0.8,0.86,1.27,1.97,2.62,3.07,3.39,3.67,3.92,4.05,3.99,3.59,2.9,2.25,1.94,1.86,1.55,0.73,-0.28,-1.11,-1.79,-2.37,-2.87,-3.35,-3.72,-3.76,-3.28,-2.49,-1.86,-1.64,-1.63,-1.51,-1.28,-1.14,-1.11,-1.19,-1.45,-1.73,-1.74,-1.42,-1.12,-1.07,-1.17,-1.17,-0.94,-0.69,-0.52,-0.24,0.2,0.8,1.42,1.93,2.19,2.2,2.05,1.77,1.47,1.35,1.29,0.93,0.56,0.68,1.34,1.94,1.91,1.35,0.8,0.72,0.95,1.14,1.06,0.7,0.35,0.37,0.83,1.17,0.89,0.18,-0.41,-0.57,-0.43,-0.29,-0.51,-1.07,-1.63,-1.74,-1.49,-1.45,-1.91,-2.57,-2.89,-2.87,-2.87,-3.1,-3.35,-3.37,-3.23,-3.15,-3.11,-2.98,-2.62,-2.13,-1.74,-1.55,-1.21,-0.62,0.03,0.44,0.67,0.92,1.26,1.7,2.26,2.8,2.96,2.73,2.52,2.68,2.96,2.8,2.16,1.46,1.09,1.04,1.17,1.28,1.27,1.1,1.02,1.22,1.59,1.91,2.06,2.17,2.25,2.37,2.49,2.49,2.19,1.57,0.99,0.82,0.96,0.95,0.62,0.2,-0.12,-0.32,-0.43,-0.59,-0.84,-1.05,-1.08,-0.94,-0.7,-0.43,-0.23,-0.05,0.07,0.22,0.35,0.43,0.44,0.39,0.43,0.48,0.42,0.33,0.27,0.17,-0.15,-0.68,-1.2,-1.44,-1.52,-1.69,-1.93,-2.06,-1.94,-1.73,-1.58,-1.51,-1.38,-1.12,-0.82,-0.6,-0.44,-0.33,-0.37,-0.51,-0.58,-0.52,-0.62,-1.09,-1.68,-2.1,-2.38,-2.85,-3.45,-3.82,-3.73,-3.35,-2.96,-2.46,-1.74,-0.97,-0.4,0.1,0.74,1.38,1.83,2.14,2.57,3.08,3.37,3.17,2.72,2.32,1.96,1.47,0.92,0.48,0.29,0.35,0.75,1.26,1.59,1.61,1.44,1.58,1.94,2.14,2.04,1.94,2.06,2.24,2.25,1.99,1.59,1.04,</t>
  </si>
  <si>
    <t>To_Avoid_Formula49.71,49.71,49.71,49.71,49.7,49.7,49.7,49.7,49.7,49.7,49.7,49.7,49.7,49.7,49.7,49.7,49.7,49.7,49.7,49.7,49.7,49.7,49.7,49.7,49.7,49.7,49.7,49.7,49.7,49.7,49.7,49.7,49.7,49.7,49.7,49.7,49.7,49.7,49.7,49.7,49.7,49.69,49.69,49.69,49.69,49.69,49.69,49.69,49.69,49.69,49.69,49.69,49.69,49.69,49.69,49.69,49.69,49.69,49.69,49.69,49.69,49.69,49.69,49.69,49.69,49.69,49.69,49.69,49.69,49.69,49.69,49.69,49.69,49.69,49.69,49.69,49.68,49.68,49.68,49.68,49.68,49.68,49.68,49.68,49.68,49.68,49.68,49.68,49.68,49.68,49.68,49.68,49.68,49.68,49.68,49.68,49.68,49.68,49.68,49.68,49.68,49.68,49.68,49.68,49.68,49.68,49.68,49.68,49.68,49.68,49.67,49.67,49.67,49.67,49.67,49.67,49.67,49.67,49.67,49.67,49.67,49.67,49.67,49.67,49.67,49.67,49.67,49.67,49.67,49.67,49.67,49.67,49.67,49.67,49.67,49.67,49.67,49.67,49.67,49.67,49.67,49.67,49.66,49.66,49.66,49.66,49.66,49.66,49.66,49.66,49.66,49.66,49.66,49.66,49.66,49.66,49.66,49.66,49.66,49.66,49.66,49.66,49.66,49.66,49.66,49.66,49.66,49.66,49.66,49.66,49.66,49.66,49.65,49.65,49.65,49.65,49.65,49.65,49.65,49.65,49.65,49.65,49.65,49.65,49.65,49.65,49.65,49.65,49.65,49.65,49.65,49.65,49.65,49.65,49.65,49.65,49.65,49.65,49.65,49.65,49.65,49.65,49.64,49.64,49.64,49.64,49.64,49.64,49.64,49.64,49.64,49.64,49.64,49.64,49.64,49.64,49.64,49.64,49.64,49.64,49.64,49.64,49.64,49.64,49.64,49.64,49.64,49.64,49.64,49.64,49.64,49.64,49.63,49.63,49.63,49.63,49.63,49.63,49.63,49.63,49.63,49.63,49.63,49.63,49.63,49.63,49.63,49.63,49.63,49.63,49.63,49.63,49.63,49.63,49.63,49.63,49.63,49.63,49.63,49.63,49.63,49.63,49.63,49.62,49.62,49.62,49.62,49.62,49.62,49.62,49.62,49.62,49.62,49.62,49.62,49.62,49.62,49.62,49.62,49.62,49.62,49.62,49.62,49.62,49.62,49.62,49.62,49.62,49.62,49.62,49.62,49.62,49.62,49.62,49.61,49.61,49.61,49.61,49.61,49.61,49.61,49.61,49.61,49.61,49.61,49.61,49.61,49.61,49.61,49.61,49.61,49.61,49.61,49.61,49.61,49.61,49.61,49.61,49.61,49.61,49.61,49.61,49.61,49.61,49.61,49.61,49.6,49.6,49.6,49.6,49.6,49.6,49.6,49.6,49.6,49.6,49.6,49.6,49.6,49.6,49.6,49.6,49.6,49.6,49.6,49.6,49.6,49.6,49.6,49.6,49.6,49.6,49.6,49.6,49.6,49.6,49.6,49.6,49.6,49.59,49.59,49.59,49.59,49.59,49.59,49.59,49.59,49.59,49.59,49.59,49.59,49.59,49.59,49.59,49.59,49.59,49.59,49.59,49.59,49.59,49.59,49.59,49.59,49.59,49.59,49.59,49.59,49.59,49.59,49.59,49.59,49.59,49.59,49.58,49.58,49.58,49.58,49.58,49.58,49.58,49.58,49.58,49.58,49.58,49.58,49.58,49.58,49.58,49.58,49.58,49.58,49.58,49.58,49.58,49.58,49.58,49.58,49.58,49.58,49.58,49.58,49.58,49.58,49.58,49.58,49.58,49.58,49.58,49.58,49.57,49.57,49.57,49.57,49.57,49.57,49.57,49.57,49.57,49.57,49.57,49.57,49.57,49.57,49.57,49.57,49.57,49.57,49.57,49.57,49.57,49.57,49.57,49.57,49.57,49.57,49.57,49.57,49.57,49.57,49.57,49.57,49.57,49.57,49.57,49.57,49.56,49.56,49.56,49.56,49.56,49.56,49.56,49.56,49.56,49.56,49.56,49.56,49.56,49.56,49.56,49.56,49.56,49.56,49.56,49.56,49.56,49.56,49.56,49.56,49.56,49.56,49.56,49.56,49.56,49.56,49.56,49.56,49.56,49.56,49.56,49.56,49.56,49.56,49.55,49.55,49.55,49.55,49.55,49.55,49.55,49.55,49.55,49.55,49.55,49.55,49.55,49.55,49.55,49.55,49.55,49.55,49.55,49.55,49.55,49.55,49.55,49.55,49.55,49.55,49.55,49.55,49.55,49.55,49.55,49.55,49.55,49.55,49.55,49.55,49.55,49.54,49.54,49.54,49.54,49.54,49.54,49.54,49.54,49.54,49.54,49.54,49.54,49.54,49.54,49.54,49.54,49.54,49.54,49.54,49.54,49.54,49.54,49.54,49.54,49.54,49.54,49.54,49.54,49.54,49.54,49.54,49.54,49.54,49.54,49.54,49.53,49.53,49.53,49.53,49.53,49.53,49.53,49.53,49.53,49.53,49.53,49.53,49.53,49.53,49.53,49.53,49.53,49.53,49.53,49.53,49.53,49.53,49.53,49.53,49.53,49.53,49.53,49.53,49.53,49.53,49.53,49.53,49.53,49.53,49.52,49.52,49.52,49.52,49.52,49.52,49.52,49.52,49.52,49.52,49.52,49.52,49.52,49.52,49.52,49.52,49.52,49.52,49.52,49.52,49.52,49.52,49.52,49.52,49.52,49.52,49.52,49.52,49.52,49.52,49.52,49.51,49.51,49.51,49.51,49.51,49.51,49.51,49.51,49.51,49.51,49.51,49.51,49.51,49.51,49.51,49.51,49.51,49.51,49.51,49.51,49.51,49.51,49.51,49.51,49.51,</t>
  </si>
  <si>
    <t>To_Avoid_Formula49.51,49.51,49.51,49.51,49.5,49.5,49.5,49.5,49.5,49.5,49.5,49.5,49.5,49.5,49.5,49.5,49.5,49.5,49.5,49.5,49.5,49.5,49.5,49.5,49.5,49.5,49.5,49.5,49.5,49.5,49.5,49.49,49.49,49.49,49.49,49.49,49.49,49.49,49.49,49.49,49.49,49.49,49.49,49.49,49.49,49.49,49.49,49.49,49.49,49.49,49.49,49.49,49.49,49.49,49.49,49.49,49.49,49.48,49.48,49.48,49.48,49.48,49.48,49.48,49.48,49.48,49.48,49.48,49.48,49.48,49.48,49.48,49.48,49.48,49.48,49.48,49.48,49.48,49.48,49.48,49.48,49.48,49.47,49.47,49.47,49.47,49.47,49.47,49.47,49.47,49.47,49.47,49.47,49.47,49.47,49.47,49.47,49.47,49.47,49.47,49.47,49.47,49.47,49.47,49.47,49.47,49.46,49.46,49.46,49.46,49.46,49.46,49.46,49.46,49.46,49.46,49.46,49.46,49.46,49.46,49.46,49.46,49.46,49.46,49.46,49.46,49.46,49.46,49.46,49.46,49.46,49.45,49.45,49.45,49.45,49.45,49.45,49.45,49.45,49.45,49.45,49.45,49.45,49.45,49.45,49.45,49.45,49.45,49.45,49.45,49.45,49.45,49.45,49.45,49.45,49.44,49.44,49.44,49.44,49.44,49.44,49.44,49.44,49.44,49.44,49.44,49.44,49.44,49.44,49.44,49.44,49.44,49.44,49.44,49.44,49.44,49.44,49.44,49.44,49.44,49.43,49.43,49.43,49.43,49.43,49.43,49.43,49.43,49.43,49.43,49.43,49.43,49.43,49.43,49.43,49.43,49.43,49.43,49.43,49.43,49.43,49.43,49.43,49.43,49.43,49.43,49.42,49.42,49.42,49.42,49.42,49.42,49.42,49.42,49.42,49.42,49.42,49.42,49.42,49.42,49.42,49.42,49.42,49.42,49.42,49.42,49.42,49.42,49.42,49.42,49.42,49.42,49.41,49.41,49.41,49.41,49.41,49.41,49.41,49.41,49.41,49.41,49.41,49.41,49.41,49.41,49.41,49.41,49.41,49.41,49.41,49.41,49.41,49.41,49.41,49.41,49.41,49.41,49.41,49.41,49.4,49.4,49.4,49.4,49.4,49.4,49.4,49.4,49.4,49.4,49.4,49.4,49.4,49.4,49.4,49.4,49.4,49.4,49.4,49.4,49.4,49.4,49.4,49.4,49.4,49.4,49.4,49.4,49.4,49.4,49.4,49.4,49.39,49.39,49.39,49.39,49.39,49.39,49.39,49.39,49.39,49.39,49.39,49.39,49.39,49.39,49.39,49.39,49.39,49.39,49.39,49.39,49.39,49.39,49.39,49.39,49.39,49.39,49.39,49.39,49.39,49.39,49.39,49.39,49.39,49.39,49.38,49.38,49.38,49.38,49.38,49.38,49.38,49.38,49.38,49.38,49.38,49.38,49.38,49.38,49.38,49.38,49.38,49.38,49.38,49.38,49.38,49.38,49.38,49.38,49.38,49.38,49.38,49.38,49.38,49.38,49.38,49.38,49.38,49.38,49.38,49.38,49.38,49.38,49.37,49.37,49.37,49.37,49.37,49.37,49.37,49.37,49.37,49.37,49.37,49.37,49.37,49.37,49.37,</t>
  </si>
  <si>
    <t>To_Avoid_Formula-5.12,-4.97,-4.86,-4.75,-4.61,-4.48,-4.35,-4.2,-4.02,-3.85,-3.68,-3.45,-3.2,-3.05,-3.01,-2.93,-2.75,-2.48,-2.25,-2.11,-1.93,-1.6,-1.18,-0.83,-0.59,-0.45,-0.27,0.01,0.38,0.76,1.02,1.18,1.32,1.54,1.85,2.18,2.41,2.57,2.69,2.73,2.62,2.39,2.21,2.09,1.9,1.57,1.21,1.01,0.98,0.8,0.26,-0.53,-1.18,-1.54,-1.67,-1.67,-1.68,-1.71,-1.75,-1.81,-1.93,-2.07,-2.2,-2.31,-2.36,-2.43,-2.48,-2.44,-2.27,-2.11,-2.06,-2.02,-1.81,-1.63,-1.51,-1.38,-1.24,-1.12,-1.1,-1.15,-1.21,-1.24,-1.3,-1.35,-1.38,-1.4,-1.43,-1.48,-1.53,-1.57,-1.64,-1.76,-1.92,-2.13,-2.33,-2.43,-2.43,-2.41,-2.35,-2.19,-2.02,-1.87,-1.75,-1.61,-1.46,-1.37,-1.35,-1.32,-1.21,-1.1,-1.0,-0.92,-0.87,-0.86,-0.9,-0.96,-1.0,-0.96,-0.83,-0.57,-0.31,-0.08,0.19,0.4,0.5,0.51,0.53,0.58,0.63,0.67,0.72,0.75,0.77,0.86,0.97,1.0,0.95,0.92,0.97,1.0,1.0,1.0,1.09,1.2,1.29,1.3,1.24,1.26,1.35,1.44,1.48,1.48,1.43,1.39,1.39,1.37,1.36,1.42,1.5,1.55,1.6,1.69,1.78,1.85,1.95,2.1,2.26,2.4,2.57,2.77,2.99,3.24,3.49,3.7,3.87,4.0,4.14,4.3,4.43,4.56,4.74,4.98,5.25,5.5,5.66,5.75,5.8,5.8,5.76,5.73,5.69,5.55,5.35,5.18,5.07,4.96,4.85,4.77,4.74,4.76,4.77,4.7,4.57,4.46,4.41,4.36,4.28,4.2,4.2,4.28,4.4,4.53,4.69,4.92,5.14,5.2,5.16,5.11,5.02,4.86,4.64,4.4,4.15,4.0,4.0,4.03,4.04,4.07,4.14,4.2,4.16,4.07,3.93,3.72,3.37,3.13,2.97,2.8,2.69,2.61,2.51,2.28,2.04,1.85,1.68,1.47,1.31,1.17,1.06,1.04,1.06,1.06,1.04,1.03,1.07,1.11,1.11,1.04,0.94,0.84,0.7,0.56,0.43,0.32,0.27,0.29,0.35,0.48,0.48,0.4,0.31,0.17,0.03,-0.12,-0.26,-0.39,-0.49,-0.59,-0.69,-0.81,-0.92,-1.02,-1.1,-1.17,-1.2,-1.22,-1.24,-1.23,-1.18,-1.23,-1.45,-1.67,-1.72,-1.63,-1.59,-1.68,-1.9,-2.16,-2.44,-2.69,-2.99,-3.2,-3.36,-3.52,-3.66,-3.88,-4.13,-4.24,-4.02,-3.6,-3.09,-2.56,-2.11,-1.79,-1.57,-1.34,-0.96,-0.51,-0.17,-0.05,-0.07,-0.14,-0.2,-0.33,-0.54,-0.86,-1.33,-1.83,-2.22,-2.44,-2.55,-2.63,-2.68,-2.7,-2.79,-2.94,-3.08,-3.14,-3.17,-3.2,-3.18,-3.06,-2.89,-2.66,-2.48,-2.35,-2.21,-2.11,-2.03,-1.98,-1.92,-1.88,-1.83,-1.8,-1.76,-1.74,-1.72,-1.73,-1.82,-1.96,-2.04,-2.12,-2.26,-2.49,-2.78,-3.19,-3.49,-3.72,-3.92,-4.03,-4.08,-3.97,-3.83,-3.71,-3.64,-3.58,-3.51,-3.46,-3.48,-3.43,-3.28,-3.11,-3.05,-3.03,-2.93,-2.72,-2.61,-2.66,-2.8,-2.78,-2.64,-2.6,-2.65,-2.7,-2.71,-2.61,-2.5,-2.49,-2.52,-2.55,-2.65,-2.72,-2.66,-2.51,-2.44,-2.36,-2.12,-1.86,-1.75,-1.74,-1.7,-1.67,-1.69,-1.7,-1.65,-1.61,-1.57,-1.53,-1.54,-1.62,-1.67,-1.58,-1.39,-1.25,-1.13,-0.94,-0.61,-0.44,-0.37,-0.29,-0.3,-0.32,-0.42,-0.5,-0.58,-0.54,-0.39,-0.1,0.09,0.2,0.26,0.15,-0.09,-0.38,-0.6,-0.75,-0.82,-0.89,-0.97,-1.01,-0.94,-0.89,-1.01,-1.24,-1.42,-1.55,-1.71,-1.84,-1.87,-1.92,-1.99,-2.03,-2.06,-2.14,-2.19,-2.14,-2.08,-2.05,-1.97,-1.85,-1.74,-1.47,-1.06,-0.63,-0.44,-0.55,-0.75,-0.76,-0.58,-0.36,-0.11,0.09,0.28,0.42,0.51,0.52,0.49,0.3,0.28,0.42,0.71,1.07,1.35,1.71,2.21,2.81,3.35,3.68,3.73,3.68,3.62,3.69,3.81,3.89,3.88,3.9,4.05,4.31,4.45,4.48,4.57,4.72,4.83,4.77,4.67,4.6,4.56,4.39,4.27,4.17,4.03,3.89,3.74,3.66,3.69,3.81,3.97,4.05,4.07,4.1,4.14,4.13,4.01,3.81,3.55,3.31,3.14,3.07,3.1,3.23,3.38,3.48,3.46,3.32,3.08,2.75,2.35,1.94,1.58,1.29,1.01,0.77,0.67,0.76,0.88,0.71,0.3,0.09,0.18,0.21,-0.06,-0.37,-0.56,-0.71,-0.91,-1.2,-1.54,-1.88,-2.18,-2.46,-2.73,-3.02,-3.26,-3.46,-3.61,-3.61,-3.49,-3.43,-3.42,-3.35,-3.23,-3.11,-3.01,-2.97,-3.05,-3.21,-3.34,-3.44,-3.51,-3.56,-3.58,-3.64,-3.75,-3.85,-3.8,-3.69,-3.59,-3.44,-3.23,-2.91,-2.58,-2.24,-1.93,-1.53,-1.08,-0.63,-0.23,0.04,0.3,0.54,0.77,0.97,1.21,1.41,1.63,1.86,2.06,2.25,2.44,2.62,2.76,2.91,3.15,3.37,3.52,3.67,3.82,4.04,4.31,4.61,4.85,5.01,5.16,5.33,5.51,5.71,5.91,6.09,6.28,6.43,6.45,6.35,6.36,6.41,6.45,6.52,6.63,6.76,6.93,7.14,7.38,7.53,7.66,7.82,7.91,7.94,7.9,7.8,7.63,7.39,7.14,6.95,6.77,6.59,6.44,6.36,6.3,6.22,6.05,5.84,5.53,5.21,5.03,5.03,5.06,5.02,4.94,4.89,4.74,4.41,4.05,3.85,3.77,3.74,3.73,3.72,3.65,3.53,3.35,3.18,3.01,2.74,2.44,2.11,1.72,1.18,0.71,0.34,-0.02,-0.33,-0.59,-0.8,-1.0,-1.2,-1.43,-1.63,-1.8,-1.95,-2.1,-2.25,-2.41,-2.58,-2.75,-2.93,-3.1,-3.27,-3.42,-3.57,-3.72,-3.84,-3.91,-3.96,-4.02,-4.12,-4.25,</t>
  </si>
  <si>
    <t>To_Avoid_Formula-4.42,-4.62,-4.82,-5.06,-5.07,-5.09,-5.18,-5.2,-5.18,-5.21,-5.32,-5.46,-5.56,-5.66,-5.77,-5.9,-6.02,-6.16,-6.29,-6.43,-6.55,-6.64,-6.66,-6.59,-6.46,-6.37,-6.31,-6.26,-6.25,-6.28,-6.34,-6.41,-6.46,-6.49,-6.46,-6.39,-6.29,-6.15,-6.02,-5.9,-5.84,-5.81,-5.81,-5.77,-5.67,-5.55,-5.39,-5.22,-5.07,-4.98,-4.97,-4.98,-4.96,-4.91,-4.82,-4.7,-4.54,-4.37,-4.22,-4.06,-3.87,-3.75,-3.7,-3.65,-3.61,-3.56,-3.52,-3.49,-3.46,-3.41,-3.32,-3.19,-3.04,-2.88,-2.74,-2.61,-2.52,-2.51,-2.55,-2.56,-2.53,-2.45,-2.33,-2.15,-1.97,-1.77,-1.52,-1.19,-0.92,-0.71,-0.51,-0.28,-0.08,0.09,0.26,0.49,0.65,0.75,0.84,0.87,0.88,0.87,0.87,0.85,0.8,0.76,0.75,0.75,0.77,0.79,0.8,0.8,0.8,0.84,0.88,0.93,1.0,1.08,1.19,1.28,1.38,1.51,1.65,1.75,1.84,1.93,2.02,2.11,2.2,2.25,2.27,2.3,2.36,2.43,2.46,2.46,2.47,2.52,2.58,2.64,2.67,2.7,2.75,2.77,2.77,2.77,2.77,2.78,2.79,2.81,2.84,2.89,2.94,2.92,2.89,2.89,2.91,2.9,2.88,2.84,2.77,2.69,2.66,2.67,2.66,2.63,2.64,2.69,2.71,2.69,2.66,2.66,2.65,2.62,2.58,2.53,2.45,2.39,2.37,2.38,2.39,2.38,2.38,2.43,2.46,2.42,2.35,2.28,2.21,2.15,2.15,2.27,2.45,2.6,2.7,2.69,2.64,2.55,2.4,2.21,2.05,1.99,2.02,2.12,2.3,2.51,2.73,2.93,3.11,3.16,3.15,3.1,2.97,2.84,2.72,2.68,2.72,2.79,2.87,2.94,3.0,3.0,2.94,2.86,2.78,2.69,2.64,2.62,2.59,2.57,2.59,2.67,2.76,2.84,2.87,2.85,2.82,2.78,2.76,2.72,2.7,2.73,2.77,2.77,2.76,2.72,2.6,2.42,2.21,1.97,1.68,1.46,1.3,1.19,1.15,1.14,1.19,1.23,1.24,1.22,1.24,1.29,1.34,1.36,1.34,1.29,1.21,1.19,1.18,1.14,1.09,1.03,0.95,0.85,0.73,0.57,0.42,0.3,0.2,0.12,0.05,-0.01,-0.07,-0.14,-0.19,-0.23,-0.22,-0.17,-0.09,-0.04,-0.02,-0.05,-0.11,-0.2,-0.27,-0.33,-0.37,-0.37,-0.31,-0.21,-0.07,-0.02,-0.03,-0.09,-0.17,-0.23,-0.28,-0.29,-0.23,-0.13,-0.03,0.08,0.15,0.19,0.18,0.16,0.12,</t>
  </si>
  <si>
    <t>To_Avoid_Formula-0.09,0.2,0.45,0.68,0.93,1.16,1.37,1.6,1.84,2.05,2.26,2.5,2.76,2.89,2.91,2.96,3.11,3.33,3.5,3.57,3.67,3.91,4.21,4.42,4.52,4.51,4.52,4.63,4.82,5.0,5.05,4.98,4.9,4.9,4.97,5.05,5.03,4.92,4.78,4.56,4.2,3.73,3.33,2.99,2.6,2.09,1.56,1.22,1.05,0.74,0.09,-0.77,-1.46,-1.83,-1.96,-1.96,-1.96,-1.98,-2.02,-2.06,-2.16,-2.27,-2.38,-2.44,-2.46,-2.48,-2.48,-2.39,-2.18,-1.99,-1.9,-1.83,-1.6,-1.4,-1.28,-1.14,-1.0,-0.89,-0.87,-0.93,-0.99,-1.02,-1.07,-1.12,-1.14,-1.14,-1.16,-1.19,-1.22,-1.24,-1.28,-1.37,-1.49,-1.66,-1.8,-1.84,-1.78,-1.69,-1.57,-1.36,-1.14,-0.95,-0.8,-0.64,-0.47,-0.36,-0.34,-0.29,-0.18,-0.06,0.04,0.1,0.15,0.15,0.1,0.04,-0.01,0.03,0.16,0.4,0.63,0.83,1.05,1.2,1.25,1.19,1.15,1.13,1.12,1.11,1.1,1.06,1.02,1.05,1.09,1.06,0.94,0.86,0.84,0.82,0.76,0.71,0.74,0.8,0.83,0.77,0.66,0.62,0.66,0.69,0.68,0.62,0.52,0.43,0.38,0.32,0.27,0.29,0.33,0.34,0.35,0.39,0.43,0.45,0.5,0.6,0.7,0.78,0.87,1.0,1.15,1.3,1.45,1.57,1.62,1.64,1.67,1.7,1.71,1.72,1.78,1.88,2.02,2.12,2.13,2.07,1.97,1.82,1.64,1.48,1.31,1.06,0.76,0.5,0.3,0.12,-0.05,-0.18,-0.26,-0.29,-0.31,-0.43,-0.59,-0.72,-0.79,-0.85,-0.94,-1.01,-1.01,-0.93,-0.81,-0.68,-0.53,-0.31,-0.12,-0.08,-0.15,-0.23,-0.33,-0.5,-0.72,-0.94,-1.16,-1.27,-1.23,-1.16,-1.11,-1.04,-0.93,-0.84,-0.84,-0.9,-0.98,-1.14,-1.43,-1.59,-1.67,-1.74,-1.76,-1.73,-1.73,-1.86,-1.97,-2.03,-2.07,-2.15,-2.17,-2.17,-2.13,-2.0,-1.83,-1.69,-1.58,-1.45,-1.29,-1.12,-1.0,-0.96,-0.94,-0.93,-0.95,-0.96,-0.97,-0.96,-0.88,-0.74,-0.57,-0.33,-0.23,-0.21,-0.2,-0.24,-0.28,-0.33,-0.37,-0.39,-0.39,-0.38,-0.37,-0.38,-0.38,-0.37,-0.34,-0.3,-0.23,-0.15,-0.07,0.03,0.16,0.2,0.06,-0.06,-0.03,0.15,0.27,0.25,0.12,-0.07,-0.25,-0.4,-0.6,-0.69,-0.73,-0.77,-0.79,-0.89,-1.01,-0.98,-0.65,-0.12,0.46,1.04,1.51,1.83,2.03,2.24,2.57,2.95,3.21,3.23,3.11,2.94,2.79,2.57,2.28,1.89,1.37,0.84,0.44,0.22,0.12,0.06,0.01,0.0,-0.07,-0.21,-0.32,-0.35,-0.36,-0.36,-0.32,-0.18,-0.01,0.21,0.39,0.5,0.61,0.68,0.72,0.73,0.74,0.75,0.75,0.73,0.72,0.69,0.66,0.59,0.46,0.28,0.16,0.05,-0.11,-0.36,-0.66,-1.05,-1.32,-1.52,-1.67,-1.72,-1.71,-1.55,-1.37,-1.2,-1.1,-1.0,-0.91,-0.84,-0.83,-0.77,-0.6,-0.42,-0.36,-0.34,-0.24,-0.05,0.05,-0.02,-0.18,-0.17,-0.04,-0.02,-0.08,-0.15,-0.17,-0.08,0.01,-0.01,-0.06,-0.1,-0.21,-0.3,-0.24,-0.1,-0.05,0.01,0.22,0.45,0.51,0.47,0.47,0.45,0.39,0.34,0.34,0.34,0.34,0.33,0.28,0.16,0.08,0.13,0.28,0.37,0.45,0.58,0.85,0.94,0.93,0.94,0.85,0.75,0.59,0.44,0.31,0.29,0.39,0.62,0.73,0.77,0.75,0.57,0.27,-0.07,-0.33,-0.5,-0.59,-0.66,-0.75,-0.8,-0.73,-0.68,-0.81,-1.03,-1.18,-1.28,-1.42,-1.5,-1.49,-1.49,-1.52,-1.5,-1.49,-1.51,-1.5,-1.4,-1.29,-1.2,-1.08,-0.92,-0.77,-0.48,-0.06,0.37,0.53,0.4,0.18,0.17,0.33,0.53,0.75,0.91,1.04,1.13,1.16,1.11,1.02,0.79,0.72,0.81,1.05,1.34,1.54,1.81,2.2,2.67,3.05,3.21,3.09,2.86,2.64,2.56,2.52,2.44,2.27,2.15,2.14,2.25,2.24,2.1,2.05,2.04,1.99,1.78,1.54,1.34,1.17,0.89,0.66,0.46,0.24,0.02,-0.19,-0.32,-0.35,-0.27,-0.18,-0.15,-0.19,-0.21,-0.22,-0.27,-0.44,-0.67,-0.95,-1.19,-1.35,-1.41,-1.36,-1.22,-1.06,-0.96,-0.97,-1.1,-1.32,-1.61,-1.96,-2.3,-2.56,-2.75,-2.91,-3.02,-2.99,-2.76,-2.52,-2.57,-2.85,-2.9,-2.67,-2.49,-2.61,-2.77,-2.8,-2.78,-2.81,-2.92,-3.07,-3.21,-3.3,-3.36,-3.41,-3.46,-3.47,-3.43,-3.34,-3.09,-2.74,-2.46,-2.24,-1.97,-1.66,-1.36,-1.09,-0.89,-0.83,-0.83,-0.8,-0.75,-0.68,-0.58,-0.46,-0.38,-0.35,-0.32,-0.13,0.09,0.3,0.55,0.85,1.23,1.61,1.98,2.29,2.69,3.1,3.49,3.81,3.98,4.14,4.26,4.36,4.42,4.5,4.55,4.6,4.66,4.68,4.68,4.67,4.64,4.58,4.52,4.54,4.54,4.47,4.39,4.31,4.29,4.32,4.37,4.35,4.26,4.14,4.06,3.98,3.91,3.85,3.76,3.68,3.56,3.31,2.96,2.72,2.54,2.34,2.18,2.07,1.98,1.93,1.91,1.92,1.85,1.76,1.69,1.56,1.38,1.14,0.84,0.49,0.08,-0.31,-0.62,-0.91,-1.19,-1.42,-1.57,-1.69,-1.83,-2.03,-2.27,-2.59,-2.9,-3.07,-3.04,-2.97,-2.98,-3.01,-3.01,-3.11,-3.38,-3.65,-3.75,-3.72,-3.64,-3.53,-3.44,-3.39,-3.39,-3.45,-3.48,-3.51,-3.63,-3.76,-3.92,-4.12,-4.45,-4.7,-4.82,-4.92,-4.97,-4.95,-4.88,-4.8,-4.71,-4.65,-4.56,-4.43,-4.29,-4.14,-4.0,-3.87,-3.74,-3.62,-3.5,-3.39,-3.26,-3.12,-2.99,-2.85,-2.69,-2.47,-2.26,</t>
  </si>
  <si>
    <t>To_Avoid_Formula-2.05,-1.9,-1.77,-1.68,-1.63,-1.58,-1.32,-1.09,-0.89,-0.75,-0.56,-0.33,-0.16,-0.08,-0.03,0.05,0.13,0.2,0.24,0.29,0.32,0.35,0.37,0.41,0.47,0.6,0.82,1.07,1.27,1.43,1.57,1.66,1.71,1.71,1.71,1.72,1.75,1.83,1.95,2.08,2.24,2.38,2.5,2.55,2.57,2.54,2.56,2.62,2.7,2.81,2.92,3.0,3.01,2.94,2.84,2.77,2.73,2.72,2.74,2.8,2.85,2.88,2.91,2.96,2.93,2.84,2.74,2.63,2.54,2.42,2.31,2.19,2.09,2.03,2.01,2.01,2.01,1.99,1.95,1.87,1.72,1.52,1.36,1.23,1.16,1.13,1.15,1.18,1.21,1.3,1.45,1.53,1.55,1.57,1.59,1.6,1.57,1.53,1.55,1.5,1.4,1.28,1.11,0.93,0.73,0.55,0.36,0.15,-0.05,-0.2,-0.33,-0.45,-0.55,-0.66,-0.78,-0.88,-0.95,-1.0,-1.05,-1.07,-1.08,-1.06,-1.06,-1.04,-0.99,-0.93,-0.92,-0.92,-0.91,-0.9,-0.89,-0.88,-0.9,-0.95,-0.99,-0.99,-0.98,-1.02,-1.07,-1.1,-1.1,-1.08,-1.06,-1.08,-1.09,-1.07,-1.08,-1.11,-1.13,-1.15,-1.16,-1.16,-1.15,-1.13,-1.08,-1.05,-1.06,-1.09,-1.09,-1.07,-1.07,-1.08,-1.1,-1.15,-1.2,-1.2,-1.17,-1.14,-1.14,-1.09,-1.0,-0.95,-0.93,-0.91,-0.88,-0.85,-0.83,-0.83,-0.83,-0.86,-0.86,-0.83,-0.76,-0.7,-0.66,-0.6,-0.5,-0.42,-0.41,-0.43,-0.44,-0.46,-0.46,-0.4,-0.23,0.0,0.19,0.32,0.35,0.32,0.26,0.15,0.01,-0.1,-0.11,-0.03,0.12,0.34,0.58,0.82,1.02,1.21,1.25,1.23,1.17,1.04,0.91,0.79,0.77,0.81,0.89,0.97,1.03,1.08,1.08,1.01,0.92,0.84,0.75,0.71,0.69,0.66,0.65,0.67,0.76,0.84,0.91,0.93,0.9,0.85,0.81,0.77,0.73,0.71,0.72,0.75,0.74,0.72,0.67,0.54,0.36,0.15,-0.06,-0.32,-0.51,-0.62,-0.68,-0.67,-0.62,-0.53,-0.44,-0.39,-0.37,-0.31,-0.22,-0.14,-0.09,-0.08,-0.11,-0.15,-0.14,-0.13,-0.14,-0.15,-0.19,-0.23,-0.29,-0.38,-0.49,-0.59,-0.66,-0.7,-0.72,-0.73,-0.73,-0.72,-0.73,-0.72,-0.7,-0.63,-0.52,-0.39,-0.29,-0.23,-0.22,-0.24,-0.28,-0.3,-0.31,-0.31,-0.27,-0.17,-0.03,0.14,0.21,0.22,0.18,0.12,0.09,0.06,0.08,0.16,0.27,0.39,0.5,0.57,0.6,0.59,0.56,0.52,</t>
  </si>
  <si>
    <t>To_Avoid_Formula32.71,32.66,32.61,32.55,32.49,32.43,32.36,32.29,32.22,32.14,32.06,31.97,31.89,31.79,31.7,31.6,31.5,31.39,31.28,31.17,31.05,30.93,30.8,30.68,30.54,30.41,30.27,30.13,29.98,29.83,29.67,29.52,29.36,29.19,29.02,28.85,28.67,28.49,28.31,28.12,27.93,27.74,27.54,27.34,27.14,26.93,26.72,26.51,26.29,26.07,25.84,25.62,25.39,25.15,24.91,24.67,24.43,24.18,23.94,23.68,23.43,23.17,22.91,22.65,22.38,22.11,21.84,21.57,21.29,21.01,20.73,20.44,20.16,19.87,19.58,19.29,18.99,18.69,18.4,18.1,17.79,17.49,17.18,16.88,16.57,16.26,15.94,15.63,15.32,15.0,14.68,14.37,14.05,13.73,13.41,13.09,12.76,12.44,12.12,11.8,11.47,11.15,10.83,10.5,10.18,9.86,9.53,9.21,8.89,8.56,8.24,7.92,7.6,7.28,6.96,6.65,6.33,6.01,5.7,5.39,5.07,4.76,4.46,4.15,3.84,3.54,3.24,2.94,2.64,2.34,2.05,1.76,1.47,1.18,0.9,0.62,0.34,0.06,-0.22,-0.49,-0.76,-1.02,-1.28,-1.55,-1.8,-2.06,-2.31,-2.56,-2.8,-3.04,-3.28,-3.52,-3.75,-3.98,-4.21,-4.43,-4.65,-4.86,-5.08,-5.28,-5.49,-5.69,-5.89,-6.09,-6.28,-6.47,-6.65,-6.83,-7.01,-7.18,-7.36,-7.52,-7.69,-7.85,-8.01,-8.16,-8.31,-8.46,-8.6,-8.74,-8.88,-9.01,-9.14,-9.27,-9.39,-9.51,-9.62,-9.74,-9.85,-9.95,-10.05,-10.15,-10.25,-10.34,-10.43,-10.51,-10.59,-10.67,-10.74,-10.81,-10.88,-10.94,-11.0,-11.06,-11.11,-11.16,-11.21,-11.25,-11.29,-11.33,-11.36,-11.39,-11.41,-11.43,-11.45,-11.46,-11.48,-11.48,-11.49,-11.49,-11.49,-11.48,-11.48,-11.46,-11.45,-11.43,-11.41,-11.39,-11.36,-11.33,-11.29,-11.26,-11.22,-11.17,-11.13,-11.08,-11.03,-10.97,-10.91,-10.85,-10.79,-10.72,-10.65,-10.58,-10.5,-10.43,-10.35,-10.26,-10.18,-10.09,-10.0,-9.91,-9.81,-9.71,-9.61,-9.51,-9.4,-9.3,-9.19,-9.07,-8.96,-8.85,-8.73,-8.61,-8.49,-8.36,-8.24,-8.11,-7.98,-7.85,-7.72,-7.59,-7.45,-7.31,-7.18,-7.04,-6.89,-6.75,-6.61,-6.46,-6.32,-6.17,-6.02,-5.87,-5.72,-5.57,-5.42,-5.26,-5.11,-4.95,-4.8,-4.64,-4.48,-4.32,-4.17,-4.01,-3.85,-3.68,-3.52,-3.36,-3.2,-3.04,-2.88,-2.71,-2.55,-2.39,-2.22,-2.06,-1.9,-1.74,-1.57,-1.41,-1.25,-1.08,-0.92,-0.76,-0.6,-0.44,-0.28,-0.12,0.04,0.2,0.36,0.52,0.67,0.83,0.99,1.14,1.29,1.45,1.6,1.75,1.9,2.05,2.19,2.34,2.49,2.63,2.77,2.91,3.05,3.19,3.33,3.46,3.6,3.73,3.86,3.99,4.11,4.24,4.36,4.48,4.6,4.72,4.84,4.95,5.06,5.17,5.28,5.39,5.49,5.59,5.69,5.79,5.89,5.98,6.07,6.16,6.25,6.33,6.41,6.49,6.57,6.65,6.72,6.79,6.86,6.93,6.99,7.06,7.12,7.18,7.23,7.29,7.34,7.39,7.44,7.48,7.53,7.61,7.65,7.69,7.72,7.75,7.79,7.82,7.84,7.87,7.89,7.91,7.93,7.95,7.97,7.99,8.0,8.01,8.02,8.03,8.04,8.05,8.05,8.05,8.06,8.06,8.05,8.05,8.05,8.04,8.04,8.03,8.02,8.01,8.0,7.99,7.98,7.96,7.95,7.93,7.91,7.9,7.88,7.86,7.84,7.81,7.79,7.77,7.74,7.72,7.69,7.67,7.64,7.61,7.58,7.55,7.52,7.49,7.46,7.43,7.4,7.36,7.33,7.3,7.26,7.22,7.19,7.15,7.11,7.07,7.03,6.99,6.95,6.91,6.86,6.82,6.78,6.73,6.69,6.64,6.59,6.55,6.5,6.45,6.4,6.35,6.3,6.25,6.2,6.14,6.09,6.04,5.98,5.93,5.88,5.82,5.76,5.71,5.65,5.59,5.54,5.48,5.42,5.36,5.3,5.24,5.18,5.12,5.06,5.0,4.94,4.88,4.82,4.76,4.7,4.64,4.58,4.52,4.46,4.4,4.34,4.28,4.23,4.17,4.11,4.05,4.0,3.94,3.89,3.83,3.78,3.73,3.68,3.63,3.58,3.53,3.48,3.44,3.39,3.35,3.3,3.26,3.22,3.18,3.15,3.11,3.08,3.05,3.01,2.99,2.96,2.93,2.91,2.89,2.87,2.85,2.83,2.82,2.81,2.8,2.79,2.78,2.78,2.78,2.78,2.78,2.78,2.79,2.8,2.81,2.83,2.84,2.86,2.88,2.91,2.93,2.96,2.99,3.03,3.06,3.1,3.14,3.18,3.23,3.28,3.33,3.38,3.44,3.5,3.56,3.62,3.69,3.76,3.83,3.9,3.98,4.06,4.14,4.22,4.31,4.4,4.49,4.58,4.68,4.77,4.87,4.98,5.08,5.19,5.3,5.41,5.53,5.64,5.76,5.89,6.01,6.14,6.26,6.39,6.53,6.66,6.8,6.94,7.08,7.22,7.37,7.51,7.66,7.81,7.96,8.12,8.27,8.43,8.59,8.75,8.91,9.07,9.24,9.4,9.57,9.74,9.91,10.08,10.25,10.42,10.6,10.77,10.95,11.12,11.3,11.48,11.66,11.84,12.02,12.2,12.38,12.56,12.74,12.92,13.1,13.28,13.46,13.64,13.82,14.0,14.19,14.37,14.55,14.73,14.91,15.09,15.26,15.44,15.62,15.8,15.98,16.15,16.33,16.5,16.68,16.85,17.02,17.19,17.36,17.53,17.7,17.87,18.03,18.2,18.36,18.52,18.69,18.85,19.01,19.16,19.32,19.47,19.63,19.78,19.93,20.08,20.23,20.38,20.52,20.67,20.81,20.95,21.09,21.23,21.37,21.5,21.64,21.77,21.9,22.03,22.16,22.29,22.42,22.54,22.66,22.79,22.91,23.03,</t>
  </si>
  <si>
    <t>To_Avoid_Formula23.15,23.26,23.38,23.49,23.61,23.72,23.83,23.94,24.05,24.16,24.26,24.37,24.47,24.57,24.68,24.78,24.88,27.58,27.69,27.8,27.9,28.0,28.11,28.21,28.31,28.41,28.51,28.6,28.7,28.79,28.89,28.98,29.07,29.17,29.26,29.35,29.43,29.52,29.61,29.69,29.78,29.86,29.94,30.02,30.1,30.18,30.26,30.34,30.41,30.49,30.56,30.63,30.71,30.78,30.84,30.91,30.98,31.04,31.11,31.17,31.23,31.29,31.35,31.41,31.46,31.52,31.57,31.62,31.67,31.72,31.77,31.81,31.86,31.9,31.94,31.98,32.02,32.05,32.09,32.12,32.15,32.18,32.2,32.23,32.25,32.28,32.3,32.31,32.33,32.34,32.36,32.37,32.38,32.38,32.39,32.39,32.39,32.39,32.39,32.39,32.38,32.37,32.36,32.35,32.34,32.32,32.31,32.29,32.27,32.24,32.22,32.19,32.16,32.13,32.1,32.07,32.03,32.0,31.96,31.92,31.88,31.84,31.79,31.74,31.7,31.65,31.6,31.55,31.49,31.44,31.38,31.33,31.27,31.21,31.15,31.09,31.02,30.96,30.9,30.83,30.76,30.7,30.63,30.56,30.49,30.42,30.35,30.28,30.21,30.13,30.06,29.99,29.91,29.84,29.76,29.69,29.61,29.54,29.46,29.39,29.31,29.23,29.16,29.08,29.01,28.93,28.85,28.78,28.7,28.63,28.55,28.48,28.41,28.33,28.26,28.19,28.12,28.04,27.97,27.9,27.84,27.77,27.7,27.63,27.57,27.5,27.44,27.37,27.31,27.25,27.19,27.13,27.07,27.02,26.96,26.91,26.85,26.8,26.75,26.7,26.65,26.61,26.56,26.52,26.48,26.43,26.4,26.36,26.32,26.29,26.25,26.22,26.19,26.16,26.14,26.11,26.09,26.07,26.05,26.03,26.01,26.0,25.99,25.97,25.97,25.96,25.95,25.95,25.95,25.95,25.95,25.95,25.96,25.97,25.98,25.99,26.0,26.02,26.04,26.06,26.08,26.1,26.13,26.15,26.18,26.21,26.24,26.28,26.31,26.35,26.39,26.43,26.48,26.52,26.57,26.62,26.67,26.72,26.78,26.83,26.89,26.95,27.01,27.08,27.14,27.21,27.28,27.35,27.42,27.49,27.57,27.65,27.72,27.81,27.89,27.97,28.06,28.14,28.23,28.32,28.41,28.51,28.6,28.7,28.8,28.9,29.0,29.1,29.21,29.31,29.42,29.53,29.64,29.75,29.87,29.98,30.1,30.22,30.33,30.46,30.58,30.7,30.82,30.95,31.08,31.21,31.34,31.47,31.6,31.73,31.87,32.0,32.14,32.28,32.42,32.56,32.7,32.84,32.99,33.13,33.28,33.43,33.57,33.72,33.87,34.03,34.18,34.33,34.49,34.64,34.8,</t>
  </si>
  <si>
    <t>To_Avoid_Formula3.55,3.73,3.88,3.77,3.5,3.39,3.57,3.75,3.67,3.43,3.44,3.7,4.02,4.31,4.57,4.88,5.23,5.42,5.21,4.52,3.75,3.22,2.98,2.7,2.28,1.94,1.69,1.55,1.43,1.32,1.19,1.03,0.81,0.58,0.37,0.23,0.11,-0.04,-0.2,-0.44,-0.77,-1.18,-1.58,-1.99,-2.4,-2.8,-3.07,-3.22,-3.31,-3.36,-3.42,-3.38,-3.13,-2.76,-2.46,-2.24,-1.97,-1.62,-1.33,-1.16,-1.0,-0.8,-0.55,-0.35,-0.26,-0.2,0.03,0.29,0.38,0.2,0.01,-0.08,-0.11,-0.2,-0.41,-0.62,-0.71,-0.67,-0.7,-0.88,-1.13,-1.2,-1.09,-0.99,-0.96,-0.93,-0.85,-0.8,-0.71,-0.49,-0.15,0.04,-0.06,-0.44,-0.78,-1.02,-1.24,-1.45,-1.7,-1.88,-1.87,-1.65,-1.35,-1.08,-0.86,-0.62,-0.44,-0.36,-0.26,-0.09,0.08,0.14,0.13,0.08,0.03,0.04,0.19,0.43,0.61,0.76,1.03,1.41,1.75,1.94,1.96,1.88,1.73,1.59,1.43,1.22,0.95,0.73,0.62,0.59,0.59,0.66,0.82,0.97,1.06,1.2,1.42,1.56,1.5,1.31,1.22,1.31,1.41,1.41,1.4,1.56,1.87,2.18,2.39,2.64,2.98,3.29,3.39,3.29,3.24,3.44,3.66,3.59,3.32,3.28,3.46,3.71,3.99,4.2,4.33,4.43,4.59,4.74,4.84,4.85,4.84,4.87,4.89,4.79,4.61,4.42,4.27,4.15,4.01,3.8,3.54,3.36,3.31,3.28,3.21,3.16,3.07,2.9,2.71,2.6,2.6,2.65,2.69,2.67,2.65,2.67,2.7,2.67,2.62,2.62,2.7,2.81,2.91,2.99,3.02,2.99,2.92,2.86,2.71,2.35,1.87,1.55,1.52,1.56,1.46,1.29,1.32,1.54,1.77,1.86,1.87,1.97,2.17,2.29,2.22,2.14,2.23,2.44,2.58,2.67,2.81,2.93,3.01,2.98,2.81,2.5,2.1,1.54,0.93,0.68,0.91,1.18,1.24,1.27,1.53,1.95,2.3,2.46,2.47,2.41,2.31,2.17,1.89,1.4,0.82,0.39,0.12,-0.15,-0.56,-1.01,-1.35,-1.58,-1.84,-2.13,-2.34,-2.41,-2.32,-2.08,-1.79,-1.59,-1.49,-1.29,-0.99,-0.82,-0.91,-1.02,-0.9,-0.56,-0.14,0.27,0.78,1.37,2.18,3.04,3.83,4.4,4.64,4.5,4.11,3.62,3.08,2.37,1.49,0.48,-0.32,-0.87,-1.27,-1.52,-1.62,-1.52,-1.36,-1.21,-0.95,-0.51,-0.06,0.14,0.26,0.48,0.77,1.14,1.55,2.03,2.52,2.99,3.52,4.15,4.6,4.82,5.02,5.29,5.61,5.92,6.23,6.48,6.56,6.49,6.47,6.61,6.74,6.71,6.55,6.46,6.65,7.06,7.54,7.92,8.23,8.48,8.75,9.0,9.09,9.01,8.83,8.58,8.25,8.03,8.0,8.17,8.31,8.38,8.45,8.5,8.6,8.83,9.18,9.38,9.29,9.01,8.79,8.67,8.46,8.04,7.49,6.93,6.46,6.13,5.95,5.9,5.87,5.87,6.03,6.25,6.41,6.54,6.75,6.97,7.03,6.94,6.84,6.85,6.95,7.0,6.94,6.85,6.94,7.13,6.93,6.82,7.02,7.35,7.48,7.47,7.54,7.82,8.1,8.17,8.07,8.02,8.19,8.58,8.97,9.1,9.11,9.29,9.71,9.96,9.84,9.22,8.33,7.36,6.77,6.35,5.81,5.25,4.65,4.1,3.67,3.61,3.63,3.38,3.07,3.03,3.12,3.06,2.8,2.72,3.06,3.64,3.92,3.82,3.74,4.05,4.49,4.68,4.73,4.9,5.31,5.71,5.89,5.9,5.86,5.72,5.49,5.22,4.86,4.34,3.75,3.36,3.17,2.96,2.65,2.47,2.53,2.73,2.86,2.82,2.66,2.51,2.31,1.91,1.14,0.4,-0.11,-0.49,-0.99,-1.9,-2.76,-2.42,-0.6,1.65,3.01,2.98,2.78,3.14,3.77,4.03,3.59,2.68,1.87,1.44,1.17,0.74,0.28,0.29,0.83,1.4,1.73,1.87,2.07,2.42,3.08,3.64,3.83,3.69,3.53,3.58,3.57,3.28,2.76,2.32,2.13,2.18,2.22,2.12,1.98,1.98,2.12,2.41,2.72,2.94,2.97,2.98,3.2,3.62,4.02,4.2,4.2,4.18,4.33,4.63,5.0,5.36,5.89,6.55,6.97,7.16,7.38,7.78,8.11,7.98,7.51,7.25,7.39,7.59,7.22,6.37,5.61,5.64,6.12,6.4,6.01,5.39,5.09,5.13,5.3,5.33,5.35,5.34,5.25,5.07,4.95,4.91,4.98,5.15,5.37,5.47,5.37,5.21,5.1,5.04,4.88,4.64,4.49,4.57,4.78,4.89,5.06,5.5,6.02,6.17,5.95,5.7,5.64,5.6,5.18,4.41,3.58,2.94,2.47,2.03,1.49,0.91,0.46,0.36,0.58,0.8,0.88,0.86,0.95,1.13,1.23,1.22,1.18,1.35,1.68,1.89,1.76,1.52,1.45,1.55,1.77,2.03,2.31,2.54,2.68,2.71,2.74,2.79,2.86,2.87,2.78,2.65,2.51,2.33,2.1,1.89,1.78,1.68,1.48,1.25,1.15,1.25,1.4,1.51,1.76,2.29,2.82,3.15,3.37,3.67,3.97,4.0,3.8,3.61,3.57,3.52,3.28,2.91,2.48,2.07,1.76,1.54,1.32,1.16,1.11,1.19,1.21,1.05,0.73,0.41,0.14,-0.21,-0.81,-1.57,-2.33,-2.93,-3.19,-3.23,-3.2,-3.07,-2.74,-2.15,-1.42,-0.66,0.13,0.95,1.79,2.53,3.04,3.37,3.72,4.18,4.53,4.63,4.61,4.61,4.7,4.83,4.91,4.94,5.07,5.34,5.71,6.01,6.25,6.53,7.0,7.56,8.1,8.48,8.79,9.06,9.18,9.29,9.34,9.35,9.42,9.64,9.9,10.19,10.54,10.88,11.18,11.52,11.92,12.34,12.75,13.14,13.44,13.66,13.89,14.12,14.27,14.36,14.48,14.63,14.82,14.95,14.98,14.97,15.05,15.25,15.44,15.57,16.02,16.53,17.12,17.58,17.8,18.06,18.41,18.61,18.56,18.48,18.48,18.52,18.53,18.42,18.19,18.03,18.06,18.12,18.06,17.97,17.95,18.05,18.23,18.38,18.41,18.47,18.71,19.1,19.39,19.62,19.85,20.05,20.27,20.4,20.</t>
  </si>
  <si>
    <t>To_Avoid_Formula44,20.47,20.63,20.7,20.59,20.4,20.25,20.2,20.16,20.06,19.96,20.02,20.29,20.63,20.95,21.28,21.7,22.12,22.5,22.81,23.0,23.07,23.12,23.16,23.14,23.08,23.06,23.12,23.25,23.39,23.56,23.81,24.15,24.44,24.6,24.73,24.94,25.21,25.43,25.61,25.82,26.1,26.43,26.7,26.88,27.03,27.18,27.28,27.31,27.23,27.1,26.99,26.93,26.86,26.74,26.61,26.64,26.77,26.9,27.04,27.14,27.26,27.43,27.62,27.63,27.54,27.51,27.56,27.6,27.57,27.52,27.48,27.49,27.53,27.58,27.64,27.8,28.03,28.21,28.33,28.48,28.71,28.98,29.22,29.39,29.52,29.71,29.94,30.17,30.39,30.56,30.7,30.84,30.97,31.07,31.18,31.37,31.61,31.85,32.04,32.25,32.51,32.8,33.05,33.24,33.42,33.62,33.81,33.91,33.93,33.94,33.99,34.07,34.15,34.22,34.32,34.51,34.77,35.07,35.36,35.66,36.0,36.36,36.7,36.99,37.24,37.47,37.7,37.89,38.07,38.26,38.45,38.6,38.69,38.73,38.77,38.81,38.82,38.73,38.46,38.14,37.87,37.63,37.3,36.99,36.89,37.15,37.73,38.37,38.85,39.21,39.65,40.16,40.6,40.89,40.95,40.85,40.67,40.48,40.27,40.1,40.05,40.11,40.24,40.38,40.55,40.75,41.0,41.23,41.41,41.59,41.81,42.07,42.28,42.47,42.65,42.82,42.94,42.99,42.97,42.92,42.9,42.91,42.92,42.92,42.98,43.16,43.45,43.8,44.15,44.47,44.83,45.2,45.51,45.7,45.87,46.04,46.14,46.1,45.98,45.88,45.84,45.85,45.83,45.76,45.71,45.76,45.87,46.06,46.31,46.62,46.98,47.41,47.83,48.09,48.25,48.42,48.55,48.56,48.48,48.33,48.04,47.71,47.42,47.22,47.14,47.18,47.29,47.45,47.7,48.04,48.47,48.92,49.33,49.65,49.85,50.0,50.16,50.32,50.41,50.4,50.36,50.41,50.54,50.62,50.62,50.63,50.71,50.8,50.85,50.91,50.96,51.02,51.09,51.17,51.28,51.44,51.62,51.76,51.85,51.88,51.9,52.0,52.17,52.38,52.56,52.78,53.07,53.39,53.65,53.85,53.96,53.95,53.86,53.77,53.71,53.66,53.63,53.61,53.62,</t>
  </si>
  <si>
    <t>To_Avoid_Formula-2.19,-2.2,-2.21,-2.22,-2.24,-2.25,-2.26,-2.27,-2.28,-2.29,-2.31,-2.32,-2.33,-2.34,-2.35,-2.35,-2.36,-2.36,-2.36,-2.36,-2.36,-2.36,-2.36,-2.36,-2.35,-2.35,-2.34,-2.33,-2.31,-2.29,-2.27,-2.25,-2.23,-2.2,-2.18,-2.15,-2.11,-2.08,-2.04,-2.0,-1.96,-1.91,-1.87,-1.83,-1.78,-1.73,-1.69,-1.64,-1.59,-1.54,-1.49,-1.44,-1.39,-1.33,-1.28,-1.23,-1.17,-1.12,-1.07,-1.01,-0.96,-0.9,-0.85,-0.79,-0.74,-0.68,-0.63,-0.58,-0.53,-0.48,-0.43,-0.38,-0.34,-0.29,-0.25,-0.21,-0.17,-0.14,-0.1,-0.07,-0.05,-0.02,0.0,0.02,0.04,0.05,0.05,0.06,0.06,0.05,0.05,0.04,0.03,0.02,0.0,-0.01,-0.02,-0.04,-0.05,-0.07,-0.08,-0.1,-0.11,-0.12,-0.13,-0.14,-0.14,-0.15,-0.16,-0.17,-0.18,-0.19,-0.2,-0.21,-0.22,-0.23,-0.24,-0.25,-0.26,-0.27,-0.28,-0.28,-0.29,-0.29,-0.29,-0.29,-0.29,-0.29,-0.29,-0.28,-0.28,-0.27,-0.26,-0.25,-0.23,-0.21,-0.19,-0.16,-0.13,-0.09,-0.06,-0.02,0.02,0.06,0.1,0.14,0.19,0.23,0.27,0.31,0.35,0.39,0.42,0.45,0.47,0.5,0.52,0.54,0.56,0.58,0.61,0.63,0.66,0.69,0.71,0.74,0.77,0.8,0.83,0.86,0.88,0.91,0.94,0.97,0.99,1.02,1.05,1.07,1.1,1.12,1.15,1.17,1.19,1.21,1.23,1.25,1.26,1.27,1.28,1.29,1.3,1.31,1.32,1.32,1.33,1.33,1.33,1.34,1.35,1.35,1.36,1.37,1.39,1.41,1.43,1.45,1.48,1.51,1.53,1.55,1.57,1.59,1.61,1.62,1.63,1.64,1.65,1.65,1.65,1.64,1.64,1.63,1.62,1.62,1.61,1.61,1.6,1.6,1.59,1.59,1.59,1.58,1.58,1.57,1.56,1.56,1.55,1.55,1.54,1.53,1.52,1.52,1.51,1.49,1.48,1.47,1.46,1.45,1.43,1.41,1.39,1.37,1.35,1.32,1.3,1.27,1.24,1.2,1.17,1.14,1.11,1.08,1.06,1.03,1.0,0.98,0.96,0.94,0.92,0.91,0.89,0.88,0.86,0.85,0.84,0.82,0.81,0.8,0.78,0.77,0.76,0.74,0.73,0.72,0.71,0.7,0.69,0.68,0.67,0.66,0.66,0.65,0.65,0.65,0.64,0.64,0.63,0.63,0.62,0.62,0.62,0.62,0.62,0.62,0.61,0.61,0.61,0.61,0.6,0.59,0.59,0.58,0.58,0.57,0.57,0.57,0.57,0.56,0.56,0.55,0.55,0.54,0.53,0.53,0.52,0.51,0.51,0.5,0.49,0.48,0.47,0.46,0.45,0.45,0.44,0.43,0.42,0.41,0.4,0.38,0.36,0.35,0.33,0.32,0.31,0.3,0.29,0.29,0.29,0.28,0.28,0.28,0.28,0.29,0.29,0.3,0.31,0.33,0.35,0.37,0.39,0.41,0.43,0.45,0.46,0.48,0.5,0.52,0.54,0.56,0.57,0.59,0.61,0.63,0.64,0.66,0.67,0.7,0.72,0.74,0.77,0.79,0.81,0.84,0.86,0.88,0.91,0.93,0.96,1.02,1.05,1.08,1.11,1.14,1.16,1.18,1.2,1.21,1.22,1.22,1.23,1.23,1.23,1.22,1.22,1.21,1.2,1.18,1.16,1.15,1.13,1.12,1.1,1.09,1.08,1.07,1.06,1.05,1.04,1.03,1.03,1.02,1.01,1.01,1.0,0.99,0.97,0.95,0.93,0.91,0.88,0.86,0.83,0.8,0.78,0.75,0.72,0.69,0.65,0.62,0.58,0.54,0.51,0.47,0.44,0.4,0.38,0.35,0.33,0.31,0.29,0.28,0.27,0.26,0.25,0.24,0.24,0.24,0.23,0.23,0.23,0.23,0.23,0.23,0.22,0.22,0.22,0.22,0.21,0.21,0.21,0.22,0.22,0.23,0.24,0.25,0.27,0.28,0.3,0.33,0.35,0.37,0.4,0.43,0.46,0.5,0.54,0.58,0.62,0.66,0.71,0.76,0.81,0.86,0.92,0.98,1.03,1.09,1.15,1.21,1.27,1.33,1.39,1.45,1.51,1.58,1.64,1.7,1.76,1.83,1.9,1.96,2.03,2.09,2.16,2.23,2.3,2.36,2.43,2.5,2.57,2.63,2.69,2.75,2.81,2.88,2.94,3.0,3.07,3.13,3.19,3.25,3.31,3.36,3.42,3.47,3.52,3.57,3.63,3.68,3.73,3.78,3.82,3.87,3.91,3.94,3.97,4.0,4.02,4.04,4.06,4.07,4.08,4.09,4.1,4.11,4.11,4.11,4.1,4.1,4.09,4.08,4.07,4.06,4.04,4.02,4.01,3.98,3.96,3.94,3.92,3.89,3.87,3.85,3.83,3.8,3.78,3.74,3.71,3.68,3.64,3.61,3.57,3.54,3.5,3.47,3.43,3.39,3.35,3.31,3.26,3.22,3.17,3.13,3.09,3.05,3.02,2.99,2.97,2.95,2.93,2.92,2.9,2.89,2.88,2.87,2.86,2.85,2.85,2.84,2.84,2.84,2.84,2.85,2.85,2.86,2.87,2.89,2.9,2.91,2.93,2.95,2.96,2.98,3.0,3.02,3.05,3.07,3.1,3.14,3.17,3.2,3.23,3.27,3.3,3.34,3.38,3.42,3.46,3.5,3.55,3.6,3.65,3.71,3.76,3.81,3.86,3.91,3.96,4.01,4.05,4.09,4.14,4.18,4.22,4.26,4.3,4.33,4.37,4.41,4.44,4.48,4.51,4.55,4.58,4.61,4.64,4.66,4.69,4.71,4.73,4.75,4.77,4.79,4.8,4.81,4.82,4.83,4.83,4.84,4.84,4.84,4.84,4.84,4.84,4.83,4.82,4.81,4.8,4.78,4.76,4.74,4.72,4.69,4.66,4.63,4.6,4.57,4.53,4.5,4.46,4.43,4.39,4.36,4.32,4.29,4.25,4.22,4.19,4.15,4.12,4.09,4.05,4.02,3.99,3.95,3.92,3.88,3.85,3.82,3.78,3.75,3.72,3.69,3.66,3.63,3.6,3.58,3.52,3.5,3.48,3.46,3.44,3.42,3.4,3.39,3.37,3.36,3.35,3.34,3.34,3.33,3.33,3.33,3.32,3.32,3.33,3.33,3.34,3.35,3.36,3.37,3.38,3.4,3.41,3.43,3.45,3.47,3.48,3.5,3.52,3.54,3.56,3.58,3.61,3.63,3.65,3.68,3.71,3.74,3.77,3.</t>
  </si>
  <si>
    <t>To_Avoid_Formula8,3.83,3.86,3.89,3.92,3.96,3.99,4.03,4.06,4.1,4.13,4.17,4.21,4.25,4.29,4.33,4.37,4.42,4.46,4.5,4.55,4.59,4.64,4.69,4.73,4.78,4.82,4.87,4.91,4.95,4.99,5.04,5.08,5.12,5.16,5.2,5.24,5.28,5.33,5.37,5.41,5.46,5.5,5.55,5.59,5.64,5.68,5.73,5.77,5.81,5.86,5.9,5.95,5.99,6.03,6.08,6.12,6.16,6.2,6.24,6.28,6.31,6.35,6.38,6.42,6.45,6.48,6.52,6.55,6.58,6.61,6.64,6.67,6.7,6.73,6.76,6.78,6.81,6.84,6.87,6.89,6.92,6.95,6.97,7.0,7.02,7.05,7.07,7.09,7.11,7.13,7.15,7.17,7.18,7.2,7.22,7.23,7.25,7.26,7.28,7.29,7.3,7.31,7.33,7.34,7.36,7.38,7.39,7.41,7.43,7.44,7.46,7.48,7.5,7.52,7.54,7.56,7.58,7.6,7.62,7.64,7.66,7.68,7.7,7.72,7.74,7.76,7.78,7.8,7.82,7.84,7.86,7.89,7.91,7.93,7.95,7.97,7.99,8.01,8.04,8.06,8.09,8.12,8.14,8.17,8.2,8.23,8.26,8.29,8.32,8.35,8.38,8.41,8.44,8.47,8.5,8.53,8.56,8.59,8.62,8.65,8.68,8.71,8.73,8.76,8.78,8.81,8.84,8.86,8.88,8.91,8.93,8.96,8.99,9.01,9.04,9.07,9.1,9.12,9.15,9.18,9.21,9.24,9.27,9.31,9.34,9.37,9.41,9.44,9.47,9.51,9.54,9.57,9.61,9.64,9.67,9.71,9.74,9.78,9.82,9.85,9.89,9.92,9.96,9.99,10.03,10.07,10.1,10.14,10.18,10.21,10.25,10.28,10.32,10.35,10.39,10.43,10.46,10.5,10.54,10.57,10.61,10.65,10.69,10.73,10.77,10.8,10.84,10.87,10.91,10.95,10.98,11.02,11.05,11.08,11.11,11.15,11.18,11.21,11.24,11.27,11.3,11.32,11.35,11.37,11.4,11.42,11.45,11.47,11.49,11.52,11.54,11.57,11.59,11.61,11.63,11.66,11.68,11.7,11.73,11.76,11.79,11.82,11.85,11.88,11.91,11.95,11.98,12.01,12.04,12.07,</t>
  </si>
  <si>
    <t>To_Avoid_Formula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12.95,14.89,14.15,13.44,12.77,12.13,11.52,10.95,10.4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</t>
  </si>
  <si>
    <t>To_Avoid_Formula,0.0,0.0,0.0,0.0,0.0,0.0,0.0,0.0,0.0,0.0,0.0,0.0,0.0,0.0,0.0,0.0,0.0,0.0,0.0,0.0,0.0,0.0,0.0,0.0,0.0,0.0,0.0,0.0,0.0,0.0,0.0,0.0,0.0,0.0,0.0,0.0,0.0,0.0,0.0,0.0,0.0,0.0,0.0,0.0,0.0,0.0,0.0,0.0,0.0,0.0,0.0,0.0,0.0,0.0,0.0,0.0,0.0,0.0,0.0,0.0,0.0,0.0,0.0,0.0,0.0,0.0,</t>
  </si>
  <si>
    <t>To_Avoid_Formula0.0,0.0,0.0,0.0,0.0,0.0,0.0,0.0,0.0,0.0,0.0,0.0,0.0,0.0,0.0,0.0,0.0,0.0,0.0,0.0,0.0,0.0,0.0,0.0,0.0,0.0,0.0,0.0,0.0,0.0,0.0,0.0,0.0,0.0,0.0,0.0,0.0,0.0,0.0,0.0,0.0,0.0,0.0,0.0,0.0,0.0,0.0,0.0,0.0,0.0,0.0,0.0,0.0,0.0,0.0,0.0,0.0,0.0,0.0,0.0,0.0,0.0,</t>
  </si>
  <si>
    <t>To_Avoid_Formula-3.57,-3.21,-2.83,-2.45,-2.06,-1.7,-1.35,-1.04,-0.76,-0.52,-0.32,-0.17,-0.07,-0.02,0.0,-0.01,-0.04,-0.07,-0.08,-0.07,-0.06,-0.05,-0.04,-0.02,0.01,0.02,0.01,-0.02,-0.08,-0.15,-0.22,-0.28,-0.35,-0.44,-0.57,-0.72,-0.9,-1.08,-1.25,-1.37,-1.43,-1.44,-1.39,-1.32,-1.22,-1.11,-0.96,-0.79,-0.56,-0.23,0.2,0.72,1.27,1.77,2.2,2.54,2.8,2.99,3.12,3.2,3.23,3.21,3.16,3.07,2.95,2.83,2.7,2.58,2.47,2.35,2.22,2.08,1.93,1.78,1.64,1.51,1.4,1.32,1.24,1.17,1.11,1.06,1.01,0.95,0.9,0.85,0.82,0.8,0.81,0.83,0.88,0.94,1.0,1.07,1.14,1.2,1.27,1.34,1.41,1.46,1.48,1.49,1.49,1.5,1.52,1.55,1.57,1.59,1.59,1.58,1.57,1.55,1.53,1.52,1.54,1.58,1.63,1.7,1.8,1.92,2.05,2.2,2.37,2.53,2.67,2.79,2.91,3.03,3.13,3.24,3.35,3.45,3.55,3.62,3.66,3.67,3.63,3.54,3.41,3.25,3.05,2.83,2.62,2.43,2.26,2.12,2.03,1.96,1.91,1.87,1.84,1.82,1.79,1.72,1.63,1.57,1.56,1.59,1.67,1.78,1.91,2.07,2.22,2.37,2.49,2.57,2.6,2.59,2.53,2.44,2.32,2.17,1.99,1.79,1.58,1.37,1.18,1.02,0.89,0.79,0.69,0.6,0.51,0.4,0.29,0.17,0.05,-0.05,-0.14,-0.21,-0.27,-0.32,-0.36,-0.39,-0.43,-0.45,-0.45,-0.41,-0.34,-0.24,-0.13,-0.01,0.12,0.27,0.44,0.61,0.77,0.92,1.06,1.19,1.31,1.44,1.57,1.69,1.81,1.92,2.02,2.09,2.13,2.14,2.11,2.05,1.94,1.79,1.59,1.35,1.08,0.79,0.49,0.21,-0.05,-0.28,-0.48,-0.64,-0.78,-0.89,-0.98,-1.05,-1.1,-1.12,-1.1,-1.04,-0.92,-0.73,-0.5,-0.25,-0.03,0.14,0.26,0.33,0.36,0.37,0.35,0.33,0.32,0.32,0.33,0.35,0.39,0.44,0.51,0.58,0.66,0.74,0.81,0.87,0.9,0.9,0.85,0.76,0.65,0.51,0.38,0.25,0.13,0.03,-0.07,-0.15,-0.23,-0.3,-0.36,-0.4,-0.42,-0.41,-0.36,-0.27,-0.12,0.09,0.37,0.72,1.12,1.57,2.03,2.47,2.86,3.18,3.41,3.55,3.6,3.56,3.43,3.21,2.93,2.59,2.23,1.89,1.62,1.43,1.29,1.17,1.0,0.75,0.4,-0.06,-0.58,-1.13,-1.67,-2.17,-2.63,-3.05,-3.42,-3.74,-4.0,-4.19,-4.3,-4.33,-4.25,-4.08,-3.81,-3.47,-3.07,-2.66,-2.27,-1.92,-1.61,-1.34,-1.1,-0.89,-0.7,-0.55,-0.43,-0.36,-0.38,-0.51,-0.75,-1.06,-1.43,-1.82,-2.23,-2.64,-3.03,-3.41,-3.73,-4.0,-4.21,-4.35,-4.42,-4.46,-4.45,-4.42,-4.38,-4.34,-4.31,-4.3,-4.31,-4.33,-4.36,-4.39,-4.44,-4.48,-4.52,-4.55,-4.57,-4.58,-4.57,-4.53,-4.44,-4.29,-4.07,-3.77,-3.37,-2.87,-2.26,-1.55,-0.74,0.16,1.13,2.15,3.15,4.89,5.57,6.11,6.54,6.87,7.12,7.31,7.44,7.5,7.51,7.46,7.38,7.27,7.13,6.98,6.81,6.62,6.4,6.16,5.9,5.63,5.33,5.02,4.7,4.39,4.1,3.83,3.58,3.34,3.11,2.9,2.71,2.52,2.32,2.12,1.91,1.71,1.5,1.31,1.15,1.02,0.93,0.89,0.9,0.96,1.06,1.19,1.35,1.53,1.73,1.95,2.19,2.44,2.7,2.93,3.12,3.25,3.32,3.32,3.26,3.14,2.97,2.76,2.53,2.29,2.04,1.78,1.54,1.32,1.13,0.99,0.9,0.85,0.84,0.85,0.9,0.96,1.04,1.14,1.25,1.38,1.51,1.66,1.79,1.9,2.0,2.08,2.11,2.11,2.06,1.98,1.85,1.68,1.49,1.27,1.04,0.8,0.56,0.33,0.12,-0.05,-0.19,-0.28,-0.34,-0.38,-0.41,-0.44,-0.45,-0.42,-0.36,-0.24,-0.08,0.12,0.36,0.63,0.92,1.19,1.43,1.62,1.74,1.81,1.81,1.75,1.64,1.48,1.28,1.07,0.84,0.59,0.34,0.06,-0.23,-0.51,-0.79,-1.04,-1.27,-1.46,-1.65,-1.83,-2.03,-2.24,-2.47,-2.72,-2.97,-3.21,-3.44,-3.64,-3.81,-3.96,-4.08,-4.17,-4.23,-4.27,-4.29,-4.3,-4.29,-4.27,-4.23,-4.16,-4.07,-3.95,-3.81,-3.65,-3.48,-3.3,-3.1,-2.84,-2.5,-2.07,-1.61,-1.17,-0.76,-0.39,-0.03,0.31,0.65,0.96,1.24,1.49,1.72,1.94,2.14,2.32,2.48,2.62,2.74,2.85,2.94,3.0,3.04,3.05,3.03,3.01,2.98,2.96,2.96,2.99,3.02,3.07,3.12,3.16,3.2,3.22,3.24,3.26,3.29,3.35,3.43,3.52,3.64,3.78,3.93,4.09,4.23,4.34,4.42,4.46,4.45,4.41,4.32,4.2,4.06,3.91,3.75,3.59,3.45,3.33,3.24,3.17,3.11,3.06,3.02,2.98,2.94,2.92,2.9,2.9,2.92,2.98,3.08,3.2,3.35,3.5,3.66,3.83,3.98,4.13,4.24,4.33,4.39,4.42,4.43,4.4,4.33,4.23,4.1,3.96,3.83,3.71,3.63,3.58,3.58,3.59,3.63,3.68,3.72,3.75,3.75,3.72,3.67,3.58,3.48,3.35,3.21,3.07,2.92,2.77,2.63,2.51,2.42,2.35,2.31,2.29,2.28,2.27,2.24,2.19,2.11,2.01,1.9,1.78,1.66,1.52,1.36,1.21,1.05,0.92,0.82,0.74,0.69,0.65,0.63,0.62,0.64,0.68,0.73,0.8,0.88,0.98,1.09,1.19,1.29,1.36,1.41,1.43,1.43,1.4,1.35,1.27,1.18,1.06,0.92,0.75,0.57,0.37,0.16,-0.05,-0.25,-0.44,-0.62,-0.77,-0.89,-0.97,-1.02,-1.03,-0.99,-0.9,-0.76,-0.59,-0.15,0.12,0.41,0.71,1.02,1.31,1.56,1.77,1.94,2.06,2.13,2.18,2.19,2.19,2.17,2.16,2.14,2.13,2.1,2.08,2.04,2.01,1.99,1.9</t>
  </si>
  <si>
    <t>To_Avoid_Formula7,1.96,1.96,1.96,1.96,1.97,1.96,1.95,1.93,1.89,1.83,1.75,1.66,1.55,1.43,1.29,1.14,0.97,0.8,0.63,0.47,0.33,0.22,0.14,0.09,0.06,0.06,0.08,0.14,0.23,0.36,0.54,0.76,1.01,1.27,1.53,1.78,1.99,2.17,2.3,2.41,2.48,2.54,2.59,2.61,2.61,2.6,2.57,2.53,2.48,2.42,2.36,2.3,2.24,2.16,2.06,1.95,1.82,1.68,1.53,1.39,1.27,1.19,1.16,1.17,1.21,1.29,1.39,1.52,1.65,1.78,1.9,2.02,2.12,2.19,2.25,2.27,2.28,2.26,2.23,2.17,2.09,2.01,1.93,1.85,1.78,1.73,1.69,1.66,1.64,1.63,1.62,1.61,1.6,1.59,1.57,1.57,1.58,1.61,1.65,1.69,1.73,1.78,1.82,1.85,1.88,1.89,1.9,1.91,1.91,1.91,1.91,1.91,1.91,1.91,1.91,1.89,1.86,1.81,1.76,1.69,1.62,1.55,1.48,1.43,1.39,1.36,1.33,1.31,1.27,1.21,1.14,1.07,0.98,0.9,0.8,0.71,0.62,0.54,0.48,0.43,0.4,0.39,0.4,0.41,0.43,0.44,0.46,0.46,0.46,0.44,0.4,0.34,0.27,0.2,0.13,0.06,0.0,-0.05,-0.11,-0.17,-0.26,-0.37,-0.5,-0.64,-0.78,-0.92,-1.02,-1.07,-1.07,-1.01,-0.92,-0.81,-0.69,-0.58,-0.49,-0.41,-0.34,-0.27,-0.2,-0.11,-0.01,0.11,0.23,0.34,0.45,0.54,0.61,0.65,0.66,0.64,0.61,0.58,0.56,0.54,0.53,0.5,0.48,0.44,0.39,0.35,0.32,0.31,0.33,0.38,0.45,0.55,0.67,0.8,0.94,1.07,1.18,1.27,1.33,1.35,1.34,1.27,1.17,1.03,0.85,0.64,0.41,0.15,-0.11,-0.38,-0.64,-0.89,-1.12,-1.32,-1.48,-1.59,-1.65,-1.68,-1.66,-1.59,-1.49,-1.33,-1.12,-0.86,-0.56,-0.25,0.05,0.31,0.54,0.71,0.84,0.92,0.96,0.98,0.97,0.94,0.91,0.86,0.82,0.79,0.77,0.77,0.79,0.82,0.85,0.87,0.88,0.88,0.86,0.83,0.78,0.71,0.6,0.48,0.32,0.16,-0.02,-0.19,-0.35,-0.48,-0.58,-0.63,-0.64,-0.64,-0.62,-0.6,-0.59,-0.59,-0.59,-0.58,-0.56,-0.53,-0.5,-0.47,-0.46,-0.47,</t>
  </si>
  <si>
    <t>To_Avoid_Formula0.87,0.54,0.11,-0.29,-0.71,-1.16,-1.45,-1.59,-1.76,-2.05,-2.23,-2.29,-2.41,-2.62,-2.85,-2.99,-2.99,-2.87,-2.7,-2.64,-2.64,-2.55,-2.42,-2.37,-2.42,-2.49,-2.53,-2.55,-2.52,-2.41,-2.36,-2.42,-2.49,-2.49,-2.44,-2.39,-2.3,-2.21,-2.12,-2.02,-1.9,-1.88,-1.95,-2.02,-2.03,-2.06,-2.09,-2.03,-1.91,-1.85,-1.83,-1.66,-1.27,-0.66,0.0,0.62,1.14,1.63,2.06,2.32,2.5,2.7,2.96,3.14,3.18,3.22,3.34,3.4,3.33,3.24,3.17,3.01,2.8,2.73,2.75,2.7,2.62,2.68,2.82,2.83,2.7,2.68,2.79,2.84,2.75,2.64,2.6,2.5,2.37,2.39,2.61,2.68,2.44,2.06,1.88,1.78,1.53,1.2,0.83,0.52,0.29,0.17,0.09,-0.04,-0.26,-0.41,-0.4,-0.37,-0.46,-0.64,-0.76,-0.79,-0.85,-1.11,-1.45,-1.62,-1.58,-1.56,-1.64,-1.66,-1.5,-1.31,-1.22,-1.16,-1.15,-1.3,-1.56,-1.75,-1.91,-2.21,-2.58,-2.72,-2.64,-2.62,-2.71,-2.69,-2.49,-2.34,-2.34,-2.4,-2.33,-2.26,-2.28,-2.29,-2.19,-2.06,-2.01,-2.03,-1.94,-1.7,-1.49,-1.61,-1.89,-1.93,-1.69,-1.36,-1.11,-0.98,-0.86,-0.65,-0.41,-0.22,-0.1,0.06,0.31,0.7,1.17,1.62,1.87,1.95,1.99,2.12,2.18,2.03,1.73,1.61,1.61,1.46,1.15,0.83,0.63,0.51,0.45,0.36,0.12,-0.25,-0.47,-0.53,-0.59,-0.74,-0.99,-1.33,-1.58,-1.61,-1.51,-1.49,-1.55,-1.51,-1.36,-1.19,-1.1,-1.13,-1.16,-1.09,-0.97,-0.88,-0.78,-0.66,-0.57,-0.48,-0.36,-0.3,-0.36,-0.61,-0.93,-1.09,-1.03,-1.0,-1.16,-1.39,-1.43,-1.34,-1.21,-1.06,-1.03,-0.98,-0.79,-0.54,-0.5,-0.54,-0.46,-0.3,-0.25,-0.16,0.14,0.37,0.49,0.64,0.9,1.11,1.15,1.02,0.88,0.92,1.2,1.44,1.51,1.51,1.62,1.77,1.8,1.77,1.74,1.61,1.37,1.19,1.03,0.77,0.44,0.17,-0.04,-0.2,-0.35,-0.54,-0.76,-0.89,-0.92,-0.92,-0.87,-0.68,-0.34,0.06,0.42,0.66,0.79,0.93,1.13,1.18,1.01,0.85,0.88,0.99,1.06,1.17,1.4,1.57,1.67,1.86,2.1,2.16,1.96,1.54,1.04,0.57,0.15,-0.31,-0.77,-1.05,-1.16,-1.2,-1.16,-0.96,-0.67,-0.38,-0.12,0.17,0.65,1.31,1.93,2.3,2.6,2.94,3.28,3.57,3.79,4.03,4.26,4.39,4.41,4.39,4.26,3.97,3.67,3.47,3.33,3.19,3.09,2.98,2.73,2.35,1.99,1.72,1.47,1.15,0.75,0.36,0.12,0.09,0.13,0.1,0.07,0.11,0.19,0.15,-0.07,-0.37,-0.68,-1.06,-1.53,-1.9,-2.04,-2.0,-1.95,-2.0,-2.11,-2.2,-2.18,-2.07,-1.95,-1.96,-2.14,-2.43,-2.67,-2.79,-2.95,-3.33,-3.86,-4.33,-4.68,-4.97,-5.13,-5.03,-4.76,-4.5,-4.25,-4.01,-3.9,-3.8,-3.55,-3.24,-3.09,-3.03,-2.87,-2.56,-2.29,-2.07,-1.87,-1.7,-1.58,-1.39,-1.33,-1.21,-0.96,-0.72,-0.75,-0.94,-0.96,-0.74,-0.56,-0.64,-0.84,-0.89,-0.74,-0.51,-0.29,-0.29,-0.44,-0.46,-0.23,-0.02,0.03,-0.04,-0.16,-0.28,-0.29,-0.23,-0.17,-0.1,-0.05,-0.07,-0.01,0.38,0.83,0.93,0.89,1.08,1.36,1.44,1.37,1.49,1.92,2.46,2.79,2.87,2.95,3.23,3.58,3.74,3.72,3.74,3.85,3.94,3.88,3.71,3.37,2.97,2.64,2.44,2.19,1.83,1.49,1.27,1.08,0.91,0.68,0.42,0.21,0.13,0.06,-0.2,-0.53,-0.8,-1.11,-1.55,-2.2,-2.84,-3.37,-3.83,-4.43,-5.41,-6.27,-6.02,-4.47,-2.52,-0.93,-0.31,0.02,0.46,0.92,1.32,1.42,1.33,1.4,1.83,2.21,2.37,2.49,2.88,3.42,3.81,3.97,3.96,4.02,4.22,4.57,4.82,4.89,4.77,4.54,4.39,4.28,3.99,3.47,2.95,2.56,2.2,1.74,1.26,0.89,0.64,0.42,0.29,0.17,-0.08,-0.49,-0.76,-0.84,-0.84,-0.83,-0.92,-1.2,-1.62,-1.95,-2.17,-2.3,-2.24,-1.95,-1.71,-1.76,-1.86,-1.77,-1.6,-1.67,-2.08,-2.59,-2.84,-2.78,-2.63,-2.76,-3.07,-3.23,-2.83,-2.12,-1.49,-1.31,-1.32,-1.2,-0.99,-0.7,-0.47,-0.26,-0.2,-0.35,-0.57,-0.71,-0.85,-0.95,-0.92,-0.78,-0.77,-1.01,-1.26,-1.37,-1.47,-1.71,-1.88,-1.82,-1.62,-1.47,-1.43,-1.32,-0.93,-0.46,-0.33,-0.6,-0.9,-1.01,-1.13,-1.5,-1.98,-2.39,-2.67,-2.8,-2.72,-2.64,-2.78,-2.91,-2.61,-2.04,-1.59,-1.3,-1.0,-0.62,-0.23,0.07,0.26,0.46,0.84,1.31,1.6,1.55,1.43,1.44,1.46,1.47,1.48,1.59,1.75,1.88,1.91,1.84,1.74,1.73,1.75,1.67,1.52,1.41,1.31,1.21,1.18,1.18,1.1,1.03,1.04,1.15,1.3,1.45,1.6,1.84,2.21,2.47,2.47,2.38,2.38,2.39,2.25,2.1,2.13,2.12,1.87,1.4,0.93,0.56,0.28,0.03,-0.23,-0.44,-0.52,-0.56,-0.65,-0.81,-1.06,-1.28,-1.4,-1.48,-1.67,-1.94,-2.23,-2.55,-2.81,-2.87,-2.74,-2.52,-2.2,-1.8,-1.29,-0.76,-0.14,0.56,1.17,1.64,2.0,2.22,2.25,2.24,2.32,2.36,2.17,1.92,1.74,1.65,1.58,1.55,1.52,1.55,1.6,1.69,1.72,1.67,1.65,1.74,1.88,1.94,1.9,1.84,1.72,1.38,1.02,0.72,0.44,0.16,0.04,0.08,0.13,0.18,0.22,0.18,0.1,0.1,0.16,0.16,0.09,0.0,-0.08,-0.09,-0.08,-0.18,-0.35,-0.44,-0.44,-0.44,-0.52</t>
  </si>
  <si>
    <t>To_Avoid_Formula,-0.66,-0.88,-1.04,-1.02,-0.95,-0.93,-0.58,-0.26,0.02,0.17,0.08,-0.07,-0.16,-0.36,-0.75,-1.09,-1.2,-1.26,-1.38,-1.53,-1.72,-1.84,-1.78,-1.64,-1.6,-1.61,-1.48,-1.26,-1.02,-0.82,-0.76,-0.74,-0.6,-0.38,-0.26,-0.21,-0.1,0.02,0.14,0.21,0.22,0.22,0.29,0.32,0.22,0.04,-0.05,-0.09,-0.17,-0.29,-0.38,-0.41,-0.38,-0.29,-0.22,-0.15,-0.04,0.07,0.11,0.1,0.02,-0.13,-0.28,-0.42,-0.56,-0.69,-0.76,-0.76,-0.75,-0.77,-0.78,-0.74,-0.67,-0.62,-0.69,-0.81,-0.82,-0.78,-0.81,-0.88,-0.85,-0.79,-0.73,-0.68,-0.66,-0.68,-0.7,-0.7,-0.75,-0.89,-1.04,-1.15,-1.25,-1.31,-1.34,-1.38,-1.35,-1.26,-1.19,-1.13,-1.1,-1.04,-0.94,-0.82,-0.82,-0.92,-0.92,-0.83,-0.73,-0.69,-0.61,-0.51,-0.43,-0.38,-0.31,-0.2,-0.03,0.16,0.26,0.3,0.37,0.51,0.63,0.7,0.77,0.86,0.95,1.05,1.14,1.19,1.23,1.26,1.24,1.18,1.15,1.13,1.14,1.18,1.24,1.27,1.31,1.4,1.47,1.45,1.41,1.38,1.35,1.29,1.17,1.0,0.86,0.8,0.75,0.64,0.56,0.56,0.6,0.66,0.72,0.75,0.75,0.76,0.75,0.64,0.47,0.32,0.22,0.12,0.02,-0.05,-0.08,-0.09,-0.17,-0.3,-0.36,-0.37,-0.37,-0.37,-0.41,-0.56,-0.75,-0.87,-0.91,-1.01,-1.16,-1.18,-0.93,-0.48,-0.01,0.28,0.4,0.52,0.75,1.0,1.15,1.1,0.87,0.61,0.37,0.17,-0.03,-0.17,-0.23,-0.23,-0.24,-0.24,-0.23,-0.22,-0.23,-0.26,-0.32,-0.38,-0.4,-0.41,-0.41,-0.37,-0.26,-0.18,-0.14,-0.11,-0.13,-0.18,-0.21,-0.22,-0.23,-0.23,-0.13,0.02,0.16,0.3,0.42,0.55,0.67,0.75,0.7,0.62,0.56,0.48,0.37,0.26,0.17,0.09,0.12,0.19,0.2,0.19,0.28,0.42,0.54,0.67,0.84,0.94,0.97,0.98,0.96,0.9,0.81,0.71,0.55,0.39,0.26,0.09,-0.07,-0.16,-0.18,-0.18,-0.18,-0.18,-0.18,-0.15,-0.05,0.09,0.21,0.32,0.36,0.26,0.14,0.12,0.13,0.15,0.13,0.09,0.07,0.12,0.14,0.06,-0.04,-0.04,-0.02,-0.05,-0.07,-0.1,-0.15,-0.18,-0.18,-0.21,-0.28,-0.29,-0.25,-0.26,-0.35,-0.43,-0.44,-0.41,-0.37,-0.37,-0.38,-0.32,-0.21,-0.2,-0.26,-0.39,-0.58,-0.79,-0.96,-1.12,-1.31,-1.4,-1.41,-1.4,</t>
  </si>
  <si>
    <t>To_Avoid_Formula2.24,1.96,1.6,1.36,1.17,0.85,0.52,0.33,0.22,0.08,-0.12,-0.31,-0.6,-0.97,-1.35,-1.66,-1.87,-1.86,-1.61,-1.24,-0.9,-0.61,-0.43,-0.33,-0.26,-0.26,-0.29,-0.37,-0.4,-0.38,-0.4,-0.52,-0.63,-0.67,-0.68,-0.73,-0.75,-0.75,-0.76,-0.71,-0.61,-0.56,-0.63,-0.7,-0.73,-0.79,-0.92,-1.03,-1.1,-1.26,-1.44,-1.53,-1.48,-1.24,-0.87,-0.47,-0.16,0.12,0.39,0.59,0.72,0.87,1.08,1.25,1.35,1.47,1.61,1.67,1.71,1.86,2.03,2.05,1.98,2.09,2.33,2.52,2.6,2.77,3.05,3.29,3.42,3.56,3.76,3.91,3.96,3.98,4.06,4.09,4.07,4.14,4.37,4.53,4.53,4.51,4.66,4.83,4.82,4.71,4.56,4.42,4.25,4.08,3.92,3.72,3.45,3.24,3.22,3.27,3.2,3.0,2.84,2.84,2.84,2.64,2.35,2.18,2.15,2.07,1.9,1.82,1.85,1.88,1.83,1.85,1.89,1.82,1.65,1.54,1.44,1.22,0.93,0.82,0.87,0.81,0.63,0.5,0.52,0.52,0.37,0.16,0.02,-0.07,-0.14,-0.15,-0.12,-0.13,-0.23,-0.35,-0.36,-0.3,-0.34,-0.69,-1.16,-1.42,-1.43,-1.32,-1.18,-1.05,-0.95,-0.88,-0.77,-0.57,-0.34,-0.18,-0.02,0.25,0.61,1.02,1.29,1.4,1.47,1.62,1.75,1.71,1.52,1.47,1.55,1.53,1.38,1.2,1.12,1.08,1.11,1.13,1.0,0.7,0.46,0.36,0.27,0.08,-0.21,-0.56,-0.84,-0.94,-0.97,-1.1,-1.31,-1.4,-1.37,-1.34,-1.38,-1.52,-1.64,-1.7,-1.73,-1.81,-1.87,-1.9,-1.92,-1.9,-1.84,-1.83,-1.9,-2.07,-2.28,-2.43,-2.51,-2.65,-2.91,-3.22,-3.45,-3.64,-3.78,-3.84,-3.95,-4.1,-4.14,-4.07,-4.1,-4.21,-4.29,-4.34,-4.46,-4.49,-4.34,-4.22,-4.19,-4.06,-3.74,-3.39,-3.18,-3.05,-2.94,-2.83,-2.72,-2.63,-2.61,-2.63,-2.64,-2.69,-2.79,-2.85,-2.84,-2.89,-3.03,-3.11,-3.11,-3.12,-3.17,-3.27,-3.4,-3.49,-3.52,-3.59,-3.75,-3.9,-3.94,-3.93,-3.91,-3.82,-3.65,-3.47,-3.32,-3.23,-3.18,-3.15,-3.1,-3.12,-3.23,-3.32,-3.34,-3.37,-3.48,-3.52,-3.46,-3.49,-3.66,-3.73,-3.7,-3.72,-3.82,-3.95,-4.07,-4.14,-4.18,-4.2,-4.17,-3.94,-3.68,-3.5,-3.3,-3.04,-2.75,-2.54,-2.38,-2.16,-1.78,-1.28,-0.77,-0.36,0.04,0.47,0.88,1.23,1.51,1.79,2.09,2.33,2.44,2.49,2.53,2.53,2.51,2.56,2.64,2.74,2.86,3.02,3.11,3.14,3.14,3.15,3.16,3.16,3.14,3.07,2.99,3.0,3.07,3.11,3.2,3.39,3.6,3.72,3.73,3.73,3.75,3.7,3.57,3.46,3.45,3.53,3.63,3.65,3.62,3.6,3.65,3.73,3.77,3.76,3.71,3.63,3.54,3.5,3.45,3.25,2.93,2.63,2.37,2.06,1.78,1.69,1.77,1.81,1.77,1.7,1.54,1.38,1.34,1.36,1.31,1.24,1.29,1.42,1.49,1.52,1.61,1.68,1.61,1.44,1.46,1.5,1.51,1.47,1.26,0.96,0.77,0.74,0.67,0.45,0.19,0.04,-0.03,-0.09,-0.17,-0.32,-0.56,-0.76,-0.83,-0.82,-0.77,-0.61,-0.38,-0.15,-0.01,0.11,0.26,0.43,0.59,0.64,0.71,0.92,1.18,1.23,1.18,1.22,1.29,1.27,1.19,1.21,1.35,1.52,1.66,1.76,1.86,1.98,2.14,2.24,2.26,2.26,2.25,2.24,2.22,2.16,1.96,1.72,1.59,1.59,1.58,1.51,1.48,1.43,1.32,1.21,1.1,0.87,0.56,0.32,0.11,-0.19,-0.53,-0.82,-1.14,-1.52,-1.96,-2.46,-2.99,-3.56,-4.24,-5.15,-6.03,-6.42,-6.19,-5.65,-4.88,-4.34,-3.97,-3.75,-3.62,-3.32,-2.96,-2.57,-2.08,-1.44,-0.9,-0.49,-0.1,0.33,0.68,0.92,1.06,1.15,1.29,1.52,1.77,2.0,2.27,2.52,2.65,2.76,2.94,3.08,3.07,2.99,2.9,2.7,2.39,2.1,1.94,1.81,1.63,1.47,1.3,1.04,0.72,0.53,0.41,0.28,0.19,0.1,-0.1,-0.44,-0.8,-1.13,-1.41,-1.5,-1.42,-1.43,-1.61,-1.72,-1.64,-1.58,-1.71,-1.97,-2.19,-2.29,-2.29,-2.22,-2.16,-2.07,-1.9,-1.58,-1.16,-0.67,-0.28,0.02,0.28,0.46,0.67,0.89,1.12,1.22,1.13,1.01,0.93,0.8,0.64,0.56,0.58,0.52,0.31,0.1,0.0,-0.14,-0.37,-0.5,-0.47,-0.42,-0.46,-0.56,-0.61,-0.51,-0.33,-0.29,-0.47,-0.68,-0.83,-1.0,-1.24,-1.47,-1.62,-1.78,-1.9,-1.84,-1.75,-1.86,-2.05,-1.99,-1.8,-1.7,-1.67,-1.57,-1.42,-1.29,-1.18,-1.12,-1.02,-0.83,-0.6,-0.47,-0.5,-0.54,-0.55,-0.62,-0.76,-0.91,-0.95,-0.91,-0.83,-0.8,-0.86,-0.97,-0.98,-0.94,-0.94,-1.0,-1.03,-1.02,-1.01,-0.93,-0.88,-0.91,-0.9,-0.78,-0.63,-0.53,-0.45,-0.33,-0.17,0.01,0.09,0.05,-0.02,-0.04,-0.03,-0.05,0.05,0.31,0.47,0.37,0.14,-0.06,-0.16,-0.19,-0.28,-0.42,-0.53,-0.55,-0.61,-0.76,-0.97,-1.17,-1.3,-1.34,-1.37,-1.48,-1.57,-1.64,-1.76,-1.94,-2.09,-2.18,-2.19,-2.15,-2.1,-2.04,-1.99,-1.81,-1.53,-1.29,-1.16,-1.04,-0.93,-0.89,-0.9,-0.85,-0.78,-0.81,-0.85,-0.83,-0.79,-0.73,-0.62,-0.47,-0.32,-0.2,-0.09,0.01,0.07,0.12,0.22,0.33,0.4,0.45,0.52,0.55,0.43,0.28,0.21,0.15,0.05,0.03,0.15,0.27,0.36,0.46,0.49,0.47,0.5,0.59,0.63,0.6,0.61,0.66,0.78,0.92,0.98,0.99,1.06,1.2,1.31,1.37,1.41,1.37,1</t>
  </si>
  <si>
    <t>To_Avoid_Formula.34,1.43,1.56,1.67,2.12,2.37,2.55,2.7,2.71,2.65,2.6,2.5,2.31,2.18,2.21,2.25,2.24,2.24,2.25,2.27,2.37,2.53,2.64,2.72,2.89,3.1,3.29,3.46,3.55,3.59,3.67,3.76,3.79,3.81,3.88,3.98,4.08,4.18,4.27,4.33,4.4,4.49,4.52,4.51,4.53,4.56,4.54,4.48,4.45,4.39,4.29,4.21,4.14,4.06,3.99,3.93,3.83,3.71,3.58,3.45,3.3,3.17,3.05,2.94,2.87,2.83,2.75,2.64,2.53,2.41,2.3,2.19,2.02,1.82,1.68,1.57,1.41,1.23,1.12,1.02,0.9,0.8,0.72,0.61,0.51,0.44,0.36,0.22,0.1,-0.02,-0.16,-0.27,-0.33,-0.4,-0.49,-0.57,-0.66,-0.77,-0.89,-0.99,-1.07,-1.13,-1.23,-1.36,-1.46,-1.49,-1.52,-1.55,-1.55,-1.53,-1.55,-1.62,-1.67,-1.67,-1.67,-1.66,-1.71,-1.8,-1.85,-1.86,-1.91,-1.98,-2.0,-2.0,-2.0,-2.0,-2.01,-2.04,-2.06,-2.06,-2.11,-2.18,-2.23,-2.26,-2.3,-2.32,-2.32,-2.33,-2.32,-2.28,-2.26,-2.3,-2.34,-2.35,-2.38,-2.43,-2.49,-2.57,-2.62,-2.62,-2.63,-2.69,-2.72,-2.69,-2.66,-2.65,-2.64,-2.65,-2.69,-2.73,-2.8,-2.95,-3.14,-3.28,-3.39,-3.48,-3.56,-3.6,-3.61,-3.61,-3.65,-3.71,-3.7,-3.63,-3.55,-3.47,-3.38,-3.31,-3.28,-3.23,-3.12,-3.04,-3.04,-3.02,-2.91,-2.73,-2.53,-2.4,-2.37,-2.36,-2.26,-2.09,-1.92,-1.83,-1.84,-1.88,-1.9,-1.89,-1.91,-1.95,-1.96,-1.96,-1.96,-1.98,-2.0,-2.04,-2.08,-2.12,-2.18,-2.28,-2.35,-2.39,-2.4,-2.36,-2.25,-2.13,-2.02,-1.89,-1.79,-1.75,-1.71,-1.64,-1.58,-1.54,-1.45,-1.36,-1.31,-1.24,-1.15,-1.07,-1.0,-0.93,-0.91,-0.93,-0.92,-0.9,-0.85,-0.77,-0.69,-0.63,-0.5,-0.31,-0.16,-0.04,0.12,0.31,0.45,0.58,0.73,0.79,0.76,0.72,0.74,0.77,0.77,0.77,0.76,0.78,0.86,0.95,1.05,1.2,1.35,1.45,1.5,1.5,1.48,1.46,1.46,1.46,1.46,1.47,1.47,1.4,1.32,1.32,1.37,1.46,1.56,1.64,1.7,1.78,1.87,1.88,1.87,1.92,1.98,2.01,2.04,2.06,2.06,2.07,2.09,2.07,1.99,1.95,1.99,2.0,1.95,1.91,1.89,1.89,1.88,1.83,1.77,1.74,1.76,1.71,1.61,1.5,1.36,1.24,1.15,1.03,0.86,0.77,0.75,0.72,</t>
  </si>
  <si>
    <t>To_Avoid_Formula0.24,-0.15,-0.59,-0.75,-0.79,-1.03,-1.43,-1.65,-1.66,-1.62,-1.76,-2.01,-2.36,-2.76,-3.12,-3.42,-3.6,-3.49,-2.94,-2.07,-1.26,-0.65,-0.34,-0.1,0.16,0.3,0.34,0.28,0.25,0.27,0.26,0.16,0.1,0.11,0.13,0.09,0.06,0.07,0.07,0.16,0.34,0.49,0.51,0.51,0.56,0.56,0.42,0.25,0.09,-0.16,-0.42,-0.63,-0.77,-0.78,-0.61,-0.38,-0.26,-0.21,-0.12,-0.04,-0.03,0.0,0.05,0.1,0.14,0.21,0.21,0.14,0.12,0.35,0.59,0.62,0.55,0.66,0.96,1.18,1.24,1.3,1.51,1.74,1.88,1.93,1.95,1.92,1.84,1.73,1.66,1.55,1.39,1.26,1.23,1.22,1.2,1.29,1.51,1.69,1.66,1.52,1.38,1.2,0.91,0.53,0.15,-0.23,-0.63,-0.96,-1.04,-1.01,-1.1,-1.35,-1.53,-1.49,-1.42,-1.52,-1.71,-1.8,-1.82,-1.91,-2.06,-2.09,-2.06,-2.08,-2.14,-2.06,-1.87,-1.75,-1.69,-1.6,-1.47,-1.46,-1.49,-1.37,-1.16,-1.1,-1.18,-1.23,-1.18,-1.14,-1.21,-1.36,-1.48,-1.48,-1.37,-1.15,-0.95,-0.88,-0.9,-0.89,-0.78,-0.67,-0.74,-1.11,-1.51,-1.71,-1.69,-1.53,-1.25,-0.88,-0.59,-0.47,-0.32,0.06,0.54,0.82,0.97,1.18,1.47,1.84,2.08,2.17,2.18,2.28,2.37,2.34,2.16,2.11,2.19,2.21,2.14,2.05,2.02,2.02,2.07,2.15,2.1,1.83,1.56,1.43,1.33,1.13,0.84,0.55,0.35,0.28,0.23,0.06,-0.18,-0.25,-0.21,-0.19,-0.25,-0.37,-0.46,-0.51,-0.57,-0.68,-0.77,-0.8,-0.8,-0.74,-0.62,-0.55,-0.54,-0.52,-0.49,-0.49,-0.57,-0.74,-0.94,-1.15,-1.38,-1.65,-1.84,-1.88,-1.93,-2.05,-2.1,-2.0,-1.9,-1.89,-1.92,-1.98,-2.06,-2.02,-1.82,-1.66,-1.56,-1.32,-0.83,-0.28,0.15,0.55,0.92,1.09,1.01,0.91,0.85,0.76,0.58,0.3,0.02,-0.1,-0.08,-0.08,-0.15,-0.15,0.0,0.23,0.43,0.49,0.43,0.41,0.52,0.58,0.5,0.37,0.36,0.42,0.43,0.43,0.46,0.41,0.31,0.23,0.15,0.01,-0.15,-0.28,-0.38,-0.45,-0.55,-0.75,-1.05,-1.27,-1.4,-1.65,-2.1,-2.45,-2.63,-2.72,-2.72,-2.55,-2.28,-1.92,-1.53,-1.09,-0.54,0.23,0.86,1.24,1.54,1.81,2.01,2.03,1.98,1.98,2.1,2.24,2.4,2.58,2.78,2.94,3.05,3.06,2.99,2.89,2.82,2.71,2.46,2.12,1.89,1.73,1.58,1.46,1.37,1.3,1.26,1.29,1.34,1.39,1.38,1.29,1.22,1.22,1.26,1.19,1.0,0.79,0.61,0.48,0.43,0.52,0.62,0.64,0.62,0.68,0.79,0.87,0.88,0.85,0.82,0.78,0.77,0.73,0.63,0.55,0.53,0.47,0.32,0.2,0.2,0.25,0.25,0.24,0.26,0.23,0.13,0.05,-0.05,-0.26,-0.52,-0.64,-0.61,-0.63,-0.79,-1.01,-1.27,-1.5,-1.63,-1.69,-1.74,-1.73,-1.6,-1.45,-1.41,-1.37,-1.23,-1.11,-1.2,-1.39,-1.24,-1.12,-1.19,-1.36,-1.57,-1.79,-1.94,-2.01,-2.11,-2.25,-2.34,-2.33,-2.35,-2.47,-2.57,-2.62,-2.68,-2.78,-2.86,-2.76,-2.44,-1.79,-0.98,-0.2,0.26,0.58,0.96,1.35,1.72,1.93,2.06,2.16,2.25,2.26,2.2,2.09,1.96,1.81,1.71,1.62,1.45,1.21,1.11,1.16,1.2,1.08,0.93,0.88,0.81,0.67,0.42,0.19,0.08,0.02,-0.15,-0.29,-0.29,-0.15,0.01,0.18,0.4,0.49,0.41,0.34,0.31,0.1,-0.28,-0.65,-0.94,-1.21,-1.44,-1.63,-1.8,-1.94,-1.96,-2.06,-2.31,-2.65,-3.03,-3.43,-3.81,-4.3,-4.83,-5.19,-4.83,-4.02,-3.31,-3.05,-3.01,-2.61,-1.84,-0.84,0.14,1.02,1.67,2.25,2.77,3.08,3.04,2.89,2.77,2.71,2.67,2.66,2.52,2.42,2.55,2.82,2.97,2.98,3.08,3.26,3.4,3.4,3.26,2.9,2.45,2.1,1.91,1.69,1.36,1.0,0.64,0.25,-0.07,-0.25,-0.45,-0.75,-0.97,-1.07,-1.18,-1.41,-1.74,-2.08,-2.39,-2.48,-2.47,-2.6,-2.76,-2.73,-2.52,-2.43,-2.47,-2.42,-2.17,-1.92,-1.79,-1.63,-1.2,-0.54,0.11,0.47,0.7,1.09,1.68,2.26,2.6,2.68,2.71,2.83,2.94,2.94,2.79,2.64,2.51,2.29,1.99,1.74,1.57,1.4,1.17,0.98,0.88,0.72,0.52,0.45,0.51,0.46,0.27,0.07,-0.09,-0.22,-0.3,-0.33,-0.38,-0.46,-0.56,-0.7,-0.73,-0.57,-0.34,-0.24,-0.19,0.0,0.25,0.3,0.2,0.17,0.12,-0.01,-0.14,-0.13,-0.13,-0.18,-0.22,-0.23,-0.2,-0.18,-0.19,-0.23,-0.25,-0.24,-0.28,-0.45,-0.75,-1.05,-1.24,-1.29,-1.27,-1.23,-1.28,-1.38,-1.39,-1.31,-1.24,-1.19,-1.12,-1.0,-0.86,-0.67,-0.58,-0.56,-0.46,-0.24,-0.08,-0.07,-0.09,-0.06,-0.05,-0.14,-0.32,-0.49,-0.63,-0.75,-0.82,-0.78,-0.52,-0.12,0.08,0.04,-0.06,-0.05,0.08,0.23,0.28,0.22,0.19,0.21,0.15,-0.07,-0.3,-0.44,-0.4,-0.3,-0.23,-0.2,-0.03,0.21,0.38,0.38,0.24,0.07,-0.07,-0.18,-0.36,-0.66,-0.98,-1.17,-1.24,-1.34,-1.53,-1.66,-1.66,-1.63,-1.65,-1.66,-1.59,-1.48,-1.33,-1.15,-0.98,-0.83,-0.61,-0.34,-0.13,-0.02,0.03,0.1,0.18,0.22,0.21,0.19,0.15,0.17,0.25,0.31,0.29,0.25,0.32,0.41,0.42,0.44,0.57,0.68,0.75,0.81,0.83,0.78,0.76,0.79,0.78,0.72,0.74,0.84,0.99,1.16,1.27,1.36,1.49,1.66,1.77,1.86,1.95,1.98,1.9</t>
  </si>
  <si>
    <t>To_Avoid_Formula7,2.01,2.1,2.18,2.46,2.47,2.38,2.33,2.26,2.11,1.92,1.78,1.65,1.6,1.67,1.71,1.71,1.78,1.9,1.96,2.01,2.1,2.18,2.23,2.33,2.4,2.4,2.39,2.37,2.27,2.12,1.92,1.73,1.55,1.44,1.38,1.29,1.27,1.27,1.25,1.17,1.16,1.16,1.16,1.17,1.12,1.01,0.9,0.82,0.62,0.31,-0.01,-0.29,-0.57,-0.86,-1.12,-1.38,-1.61,-1.77,-1.87,-1.97,-2.04,-2.06,-2.06,-2.04,-2.04,-2.1,-2.19,-2.29,-2.42,-2.58,-2.7,-2.8,-2.91,-2.99,-3.06,-3.14,-3.21,-3.23,-3.25,-3.31,-3.31,-3.25,-3.19,-3.13,-3.01,-2.87,-2.73,-2.58,-2.43,-2.33,-2.2,-2.02,-1.84,-1.77,-1.75,-1.73,-1.73,-1.71,-1.69,-1.68,-1.64,-1.56,-1.46,-1.37,-1.26,-1.13,-0.99,-0.82,-0.63,-0.53,-0.49,-0.43,-0.34,-0.29,-0.28,-0.29,-0.3,-0.3,-0.29,-0.34,-0.38,-0.34,-0.25,-0.2,-0.17,-0.14,-0.13,-0.09,-0.01,0.03,0.03,0.07,0.13,0.15,0.14,0.16,0.21,0.26,0.31,0.33,0.3,0.31,0.36,0.38,0.38,0.42,0.46,0.53,0.63,0.7,0.71,0.75,0.83,0.86,0.84,0.8,0.75,0.67,0.58,0.45,0.26,0.07,-0.04,-0.1,-0.14,-0.16,-0.13,-0.07,-0.02,0.03,0.07,0.2,0.37,0.55,0.73,0.95,1.22,1.45,1.65,1.87,2.09,2.2,2.2,2.12,1.96,1.8,1.66,1.49,1.29,1.15,1.11,1.16,1.24,1.29,1.33,1.4,1.48,1.5,1.44,1.34,1.23,1.11,0.97,0.81,0.62,0.45,0.31,0.16,-0.04,-0.22,-0.34,-0.41,-0.43,-0.37,-0.27,-0.16,-0.01,0.12,0.17,0.2,0.25,0.28,0.27,0.24,0.17,0.04,-0.06,-0.12,-0.21,-0.3,-0.34,-0.38,-0.44,-0.48,-0.45,-0.34,-0.17,-0.03,0.06,0.18,0.36,0.53,0.63,0.72,0.81,0.8,0.76,0.71,0.56,0.29,0.04,-0.06,-0.09,-0.15,-0.2,-0.19,-0.1,0.06,0.28,0.52,0.76,0.94,0.99,0.94,0.81,0.63,0.42,0.21,-0.03,-0.27,-0.45,-0.59,-0.73,-0.84,-0.87,-0.85,-0.76,-0.6,-0.47,-0.41,-0.36,-0.29,-0.25,-0.25,-0.23,-0.19,-0.17,-0.15,-0.14,-0.16,-0.17,-0.17,-0.23,-0.37,-0.46,-0.46,-0.45,-0.48,-0.49,-0.51,-0.56,-0.62,-0.69,-0.8,-0.89,-0.95,-1.04,-1.13,-1.18,-1.2,-1.17,-1.11,-1.1,-1.14,-1.11,-1.03,-0.97,</t>
  </si>
  <si>
    <t>To_Avoid_Formula0.64,0.55,0.65,0.61,0.21,-0.13,-0.01,0.27,0.23,-0.11,-0.21,0.06,0.46,0.81,1.09,1.33,1.49,1.54,1.44,1.02,0.37,-0.35,-0.76,-0.97,-1.15,-1.5,-2.01,-2.47,-2.89,-3.24,-3.69,-4.2,-4.61,-4.63,-4.15,-3.52,-3.11,-3.02,-2.91,-2.72,-2.71,-2.87,-3.14,-3.42,-3.72,-3.99,-4.1,-4.04,-3.9,-3.74,-3.66,-3.49,-3.09,-2.55,-2.02,-1.47,-0.79,-0.04,0.66,1.24,1.8,2.27,2.68,2.96,3.1,3.23,3.4,3.42,3.14,2.67,2.25,1.9,1.51,1.13,0.75,0.38,0.09,-0.13,-0.35,-0.62,-0.93,-1.22,-1.38,-1.37,-1.17,-0.94,-0.78,-0.68,-0.51,-0.08,0.48,0.75,0.62,0.26,0.1,0.11,-0.04,-0.36,-0.71,-0.92,-0.93,-0.79,-0.56,-0.37,-0.37,-0.47,-0.49,-0.3,0.18,0.69,1.1,1.38,1.57,1.78,1.91,1.91,1.84,1.78,1.69,1.62,1.65,1.85,2.11,2.2,2.05,1.8,1.59,1.47,1.35,1.18,0.91,0.54,0.2,-0.02,-0.17,-0.37,-0.59,-0.79,-0.88,-0.76,-0.45,-0.17,-0.09,-0.13,0.01,0.36,0.68,0.79,0.81,0.97,1.21,1.36,1.42,1.58,1.78,1.87,1.83,1.79,1.93,2.21,2.35,2.18,1.92,1.88,1.9,1.84,1.81,1.81,1.69,1.45,1.3,1.35,1.55,1.61,1.4,1.21,1.3,1.47,1.33,0.96,0.55,0.15,-0.19,-0.53,-0.89,-1.23,-1.44,-1.56,-1.63,-1.69,-1.8,-1.98,-2.08,-2.01,-1.82,-1.62,-1.46,-1.34,-1.15,-0.87,-0.65,-0.63,-0.66,-0.59,-0.46,-0.27,0.01,0.28,0.42,0.39,0.27,0.17,0.03,-0.3,-0.8,-1.15,-1.15,-1.05,-1.16,-1.41,-1.49,-1.37,-1.22,-1.16,-1.12,-0.95,-0.68,-0.42,-0.13,0.28,0.68,0.92,1.02,1.21,1.52,1.61,1.47,1.22,0.94,0.63,0.14,-0.64,-1.36,-1.54,-1.23,-1.05,-1.21,-1.32,-1.14,-0.86,-0.63,-0.55,-0.51,-0.39,-0.19,0.06,0.35,0.47,0.14,-0.52,-1.05,-1.39,-1.83,-2.54,-3.3,-3.88,-4.3,-4.6,-4.75,-4.71,-4.49,-3.97,-3.2,-2.41,-1.88,-1.41,-0.83,-0.26,0.1,0.33,0.68,1.27,1.99,2.61,3.18,3.7,4.26,4.83,5.42,5.89,5.93,5.49,4.93,4.53,4.1,3.27,2.05,0.62,-0.59,-1.64,-2.65,-3.7,-4.65,-5.34,-5.76,-5.85,-5.45,-4.62,-3.68,-2.93,-2.12,-1.01,0.3,1.46,2.41,3.31,4.04,4.61,5.04,5.51,5.8,5.77,5.52,5.36,5.46,5.66,5.75,5.71,5.42,4.94,4.44,4.09,3.75,3.19,2.4,1.87,1.83,2.04,2.25,2.31,2.31,2.26,2.27,2.44,2.6,2.54,2.21,1.83,1.54,1.48,1.54,1.52,1.25,0.84,0.53,0.27,0.12,0.08,0.18,0.29,0.28,0.18,0.21,0.42,0.43,0.03,-0.68,-1.38,-1.92,-2.32,-2.55,-2.7,-2.97,-3.31,-3.35,-3.03,-2.6,-2.25,-1.91,-1.49,-1.0,-0.54,-0.09,0.39,0.82,1.05,1.03,0.99,1.07,0.87,0.52,0.28,0.27,0.38,0.45,0.52,0.71,0.97,1.15,1.17,1.13,1.16,1.25,1.46,1.84,2.18,2.29,2.27,2.36,2.48,2.38,1.68,0.51,-0.74,-1.4,-1.72,-2.2,-2.94,-3.93,-4.87,-5.43,-5.5,-5.66,-6.33,-6.9,-6.82,-6.1,-5.26,-4.56,-4.05,-3.29,-2.18,-1.33,-0.83,-0.36,0.38,0.88,1.04,1.34,1.83,2.29,2.59,2.82,3.1,3.14,2.66,1.85,1.3,1.03,0.6,-0.3,-1.13,-1.51,-1.76,-2.25,-2.84,-3.18,-3.16,-3.04,-3.04,-3.05,-2.97,-2.91,-2.95,-3.2,-3.35,-3.48,-3.65,-3.95,-4.55,-5.24,-4.95,-3.32,-1.21,0.18,0.32,0.27,0.83,1.87,2.89,3.19,2.79,2.35,2.43,3.07,3.5,2.7,0.89,-0.82,-1.61,-1.25,-0.91,-1.06,-1.36,-0.95,0.06,1.16,1.83,2.09,2.41,2.83,3.0,2.47,1.49,0.73,0.45,0.34,0.05,-0.44,-1.1,-1.52,-1.43,-0.98,-0.59,-0.61,-0.59,-0.09,0.86,1.7,2.07,2.02,1.97,2.21,2.65,3.02,3.24,3.49,3.83,4.03,4.19,4.41,4.59,4.49,3.96,3.31,3.05,3.21,3.26,2.6,1.37,0.24,-0.25,-0.42,-0.58,-1.15,-1.99,-2.69,-2.98,-2.67,-2.17,-1.9,-2.05,-2.34,-2.15,-1.42,-0.7,-0.66,-0.97,-1.03,-0.54,-0.02,0.12,-0.03,-0.27,-0.45,-0.71,-0.85,-0.68,-0.29,-0.05,0.15,0.52,0.86,0.8,0.49,0.32,0.43,0.49,0.15,-0.47,-1.06,-1.55,-2.1,-2.75,-3.4,-4.15,-5.03,-5.65,-5.59,-5.15,-4.81,-4.77,-4.65,-4.05,-3.18,-2.37,-1.76,-1.12,-0.35,0.4,0.85,1.06,1.09,0.97,0.98,1.14,1.44,1.59,1.55,1.48,1.52,1.61,1.51,1.19,0.89,0.89,0.99,0.88,0.55,0.12,-0.24,-0.62,-1.06,-1.43,-1.57,-1.48,-1.39,-1.35,-1.11,-0.5,0.17,0.64,1.04,1.57,2.08,2.22,2.12,2.13,2.32,2.37,2.03,1.51,0.97,0.31,-0.52,-1.29,-1.83,-2.21,-2.56,-2.78,-2.79,-2.76,-2.88,-3.16,-3.38,-3.49,-3.72,-4.05,-4.4,-4.69,-4.72,-4.55,-4.36,-4.19,-3.93,-3.36,-2.47,-1.39,-0.28,0.81,2.0,3.34,4.62,5.7,6.64,7.36,7.76,7.83,7.68,7.35,6.85,6.25,5.57,4.81,4.12,3.55,3.18,2.97,2.88,2.81,2.83,3.03,3.47,3.87,4.18,4.36,4.36,4.38,4.4,4.28,4.08,3.93,3.88,3.95,4.01,3.87,3.62,3.42,3.45,3.55,3.69,3.96,4.15,4.32,4.54,4.7,4.64,4.47,4.29,4.09,3.94,3.77,3.46,3.05,2.71,2.51,2.3,2.13,2.13,2.41,2.85,3.22</t>
  </si>
  <si>
    <t>To_Avoid_Formula,3.32,3.43,3.59,3.66,3.58,3.51,3.43,3.27,3.09,2.85,2.47,2.01,1.53,0.99,0.48,0.17,-0.11,-0.36,-0.38,-0.18,-0.07,-0.01,0.19,0.56,0.97,1.43,1.82,1.99,2.16,2.34,2.46,2.52,2.59,2.47,2.21,1.99,1.78,1.49,1.06,0.67,0.35,0.17,0.24,0.36,0.54,0.85,1.23,1.49,1.8,2.22,2.6,2.82,2.92,3.01,3.07,3.11,3.03,2.83,2.62,2.45,2.27,2.11,2.03,1.94,1.79,1.73,1.87,2.09,2.27,2.47,2.74,3.05,3.31,3.45,3.49,3.47,3.37,3.14,2.87,2.63,2.37,2.05,1.72,1.43,1.14,0.79,0.53,0.34,0.2,0.15,0.11,0.08,0.15,0.31,0.4,0.43,0.52,0.63,0.73,0.83,0.91,0.84,0.72,0.63,0.54,0.51,0.54,0.6,0.59,0.7,0.95,1.2,1.42,1.63,1.82,2.0,2.23,2.44,2.64,2.81,2.92,2.9,2.81,2.76,2.74,2.7,2.65,2.62,2.63,2.65,2.72,2.81,2.86,2.88,2.85,2.86,2.92,2.97,2.94,2.85,2.75,2.62,2.47,2.3,2.18,2.08,1.99,1.98,2.02,2.12,2.23,2.38,2.55,2.8,3.07,3.3,3.48,3.62,3.74,3.85,3.94,3.95,3.82,3.61,3.37,3.12,2.82,2.46,2.03,1.47,0.9,0.4,-0.06,-0.58,-1.08,-1.36,-1.3,-0.87,-0.32,0.12,0.44,0.83,1.34,1.87,2.43,2.81,2.98,3.04,3.18,3.29,3.21,2.9,2.39,1.87,1.53,1.33,1.11,0.84,0.62,0.52,0.63,0.96,1.39,1.8,2.19,2.55,2.77,2.83,2.75,2.59,2.37,2.14,1.91,1.69,1.51,1.4,1.35,1.38,1.52,1.68,1.82,2.0,2.26,2.53,2.73,2.95,3.15,3.23,3.18,3.06,2.9,2.68,2.4,2.03,1.61,1.24,0.93,0.67,0.55,0.61,0.74,0.93,1.27,1.74,2.11,2.38,2.58,2.7,2.73,2.73,2.62,2.29,1.84,1.35,0.91,0.53,0.2,-0.12,-0.38,-0.4,-0.22,0.05,0.37,0.77,1.16,1.52,1.95,2.45,2.91,3.2,3.25,3.18,3.12,3.09,2.93,2.58,2.16,1.79,1.47,1.21,1.06,0.97,0.86,0.77,0.76,0.88,1.08,1.21,1.22,1.22,1.26,1.27,1.29,1.37,1.52,1.66,1.82,2.05,2.3,2.48,2.58,2.52,2.33,2.11,1.93,1.84,1.76,1.63,1.44,1.25,</t>
  </si>
  <si>
    <t>To_Avoid_Formula49.37,49.37,49.37,49.37,49.37,49.37,49.37,49.37,49.37,49.37,49.37,49.37,49.37,49.37,49.37,49.37,49.37,49.37,49.37,49.37,49.37,49.37,49.37,49.37,49.37,49.36,49.36,49.36,49.36,49.36,49.36,49.36,49.36,49.36,49.36,49.36,49.36,49.36,49.36,49.36,49.36,49.36,49.36,49.36,49.36,49.36,49.36,49.36,49.36,49.36,49.36,49.36,49.36,49.36,49.36,49.36,49.36,49.36,49.36,49.36,49.36,49.36,49.36,49.36,49.36,49.36,49.36,49.35,49.35,49.35,49.35,49.35,49.35,49.35,49.35,49.35,49.35,49.35,49.35,49.35,49.35,49.35,49.35,49.35,49.35,49.35,49.35,49.35,49.35,49.35,49.35,49.35,49.35,49.35,49.35,49.35,49.35,49.35,49.35,49.35,49.35,49.35,49.35,49.35,49.35,49.35,49.35,49.35,49.34,49.34,49.34,49.34,49.34,49.34,49.34,49.34,49.34,49.34,49.34,49.34,49.34,49.34,49.34,49.34,49.34,49.34,49.34,49.34,49.34,49.34,49.34,49.34,49.34,49.34,49.34,49.34,49.34,49.34,49.34,49.34,49.34,49.34,49.34,49.34,49.34,49.34,49.34,49.33,49.33,49.33,49.33,49.33,49.33,49.33,49.33,49.33,49.33,49.33,49.33,49.33,49.33,49.33,49.33,49.33,49.33,49.33,49.33,49.33,49.33,49.33,49.33,49.33,49.33,49.33,49.33,49.33,49.33,49.33,49.33,49.33,49.33,49.33,49.33,49.33,49.33,49.33,49.32,49.32,49.32,49.32,49.32,49.32,49.32,49.32,49.32,49.32,49.32,49.32,49.32,49.32,49.32,49.32,49.32,49.32,49.32,49.32,49.32,49.32,49.32,49.32,49.32,49.32,49.32,49.32,49.32,49.32,49.32,49.32,49.32,49.32,49.32,49.32,49.32,49.32,49.32,49.31,49.31,49.31,49.31,49.31,49.31,49.31,49.31,49.31,49.31,49.31,49.31,49.31,49.31,49.31,49.31,49.31,49.31,49.31,49.31,49.31,49.31,49.31,49.31,49.31,49.31,49.31,49.31,49.31,49.31,49.31,49.31,49.31,49.31,49.31,49.31,49.31,49.31,49.3,49.3,49.3,49.3,49.3,49.3,49.3,49.3,49.3,49.3,49.3,49.3,49.3,49.3,49.3,49.3,49.3,49.3,49.3,49.3,49.3,49.3,49.3,49.3,49.3,49.3,49.3,49.3,49.3,49.3,49.3,49.3,49.3,49.3,49.3,49.3,49.3,49.29,49.29,49.29,49.29,49.29,49.29,49.29,49.29,49.29,49.29,49.29,49.29,49.29,49.29,49.29,49.29,49.29,49.29,49.29,49.29,49.29,49.29,49.29,49.29,49.29,49.29,49.29,49.29,49.29,49.29,49.29,49.29,49.29,49.29,49.29,49.28,49.28,49.28,49.28,49.28,49.28,49.28,49.28,49.28,49.28,49.28,49.28,49.28,49.28,49.28,49.28,49.28,49.28,49.28,49.28,49.28,49.28,49.28,49.28,49.28,49.28,49.28,49.28,49.28,49.28,49.28,49.28,49.27,49.27,49.27,49.27,49.27,49.27,49.27,49.27,49.27,49.27,49.27,49.27,49.27,49.27,49.27,49.27,49.27,49.27,49.27,49.27,49.27,49.27,49.27,49.27,49.27,49.27,49.27,49.27,49.26,49.26,49.26,49.26,49.26,49.26,49.26,49.26,49.26,49.26,49.26,49.26,49.26,49.26,49.26,49.26,49.26,49.26,49.26,49.26,49.26,49.26,49.26,49.26,49.26,49.26,49.26,49.26,49.25,49.25,49.25,49.25,49.25,49.25,49.25,49.25,49.25,49.25,49.25,49.25,49.25,49.25,49.25,49.25,49.25,49.25,49.25,49.25,49.25,49.25,49.25,49.25,49.25,49.25,49.24,49.24,49.24,49.24,49.24,49.24,49.24,49.24,49.24,49.24,49.24,49.24,49.24,49.24,49.24,49.24,49.24,49.24,49.24,49.24,49.24,49.24,49.24,49.24,49.23,49.23,49.23,49.23,49.23,49.23,49.23,49.23,49.23,49.23,49.23,49.23,49.23,49.23,49.23,49.23,49.23,49.23,49.23,49.23,49.23,49.23,49.23,49.23,49.22,49.22,49.22,49.22,49.22,49.22,49.22,49.22,49.22,49.22,49.22,49.22,49.22,49.22,49.22,49.22,49.22,49.22,49.22,49.22,49.22,49.22,49.22,49.22,49.21,49.21,49.21,49.21,49.21,49.21,49.21,49.21,49.21,49.21,49.21,49.21,49.21,49.21,49.21,49.21,49.21,49.21,49.21,49.21,49.21,49.21,49.21,49.21,49.2,49.2,49.2,49.2,49.2,49.2,49.2,49.2,49.2,49.2,49.2,49.2,49.2,49.2,49.2,49.2,49.2,49.2,49.2,49.2,49.2,49.2,49.2,49.2,49.2,49.19,49.19,49.19,49.19,49.19,49.19,49.19,49.19,49.19,49.19,49.19,49.19,49.19,49.19,49.19,49.19,49.19,49.19,49.19,49.19,49.19,49.19,49.19,49.19,49.19,49.19,49.18,49.18,49.18,49.18,49.18,49.18,49.18,49.18,49.18,49.18,49.18,49.18,49.18,49.18,49.18,49.18,49.18,49.18,49.18,49.18,49.18,49.18,49.18,49.18,49.18,49.18,49.18,49.18,49.18,49.18,49.17,49.17,49.17,49.17,49.17,49.17,49.17,49.17,49.17,49.17,49.17,49.17,49.17,49.17,49.17,49.17,49.17,49.17,49.17,49.17,49.17,49.17,49.17,49.17,49.17,49.17,49.17,49.17,49.17,49.17,49.17,49.17,49.17,49.17,49.17,49.16,49.16,49.1</t>
  </si>
  <si>
    <t>To_Avoid_Formula6,49.16,49.16,49.16,49.16,49.16,49.16,49.16,49.16,49.16,49.16,49.16,49.16,49.16,49.16,49.16,49.16,49.16,49.16,49.16,49.16,49.16,49.16,49.16,49.16,49.16,49.16,49.16,49.16,49.16,49.16,49.16,49.16,49.16,49.16,49.16,49.16,49.16,49.16,49.16,49.16,49.15,49.15,49.15,49.15,49.15,49.15,49.15,49.15,49.15,49.15,49.15,49.15,49.15,49.15,49.15,49.15,49.15,49.15,49.15,49.15,49.15,49.15,49.15,49.15,49.15,49.15,49.15,49.15,49.15,49.15,49.15,49.15,49.15,49.15,49.15,49.15,49.15,49.15,49.15,49.15,49.15,49.15,49.15,49.15,49.15,49.15,49.15,49.15,49.15,49.15,49.15,49.15,49.15,49.14,49.14,49.14,49.14,49.14,49.14,49.14,49.14,49.14,49.14,49.14,49.14,49.14,49.14,49.14,49.14,49.14,49.14,49.14,49.14,49.14,49.14,49.14,49.14,49.14,49.14,49.14,49.14,49.14,49.14,49.14,49.14,49.14,49.14,49.14,49.14,49.14,49.14,49.14,49.14,49.14,49.14,49.14,49.14,49.14,49.14,49.14,49.14,49.14,49.14,49.14,49.14,49.14,49.14,49.13,49.13,49.13,49.13,49.13,49.13,49.13,49.13,49.13,49.13,49.13,49.13,49.13,49.13,49.13,49.13,49.13,49.13,49.13,49.13,49.13,49.13,49.13,49.13,49.13,49.13,49.13,49.13,49.13,49.13,49.13,49.13,49.13,49.13,49.13,49.13,49.13,49.13,49.13,49.13,49.13,49.13,49.13,49.13,49.12,49.12,49.12,49.12,49.12,49.12,49.12,49.12,49.12,49.12,49.12,49.12,49.12,49.12,49.12,49.12,49.12,49.12,49.12,49.12,49.12,49.12,49.12,49.12,49.12,49.12,49.12,49.12,49.12,49.12,49.12,49.12,49.12,49.12,49.11,49.11,49.11,49.11,49.11,49.11,49.11,49.11,49.11,49.11,49.11,49.11,49.11,49.11,49.11,49.11,49.11,49.11,49.11,49.11,49.11,49.11,49.11,49.11,49.11,49.11,49.11,49.11,49.11,49.1,49.1,49.1,49.1,49.1,49.1,49.1,49.1,49.1,49.1,49.1,49.1,49.1,49.1,49.1,49.1,49.1,49.1,49.1,49.1,49.1,49.1,49.1,49.1,49.09,49.09,49.09,49.09,49.09,49.09,49.09,49.09,49.09,49.09,49.09,49.09,49.09,49.09,49.09,49.09,49.09,49.09,49.09,49.09,49.09,49.09,49.08,49.08,49.08,49.08,49.08,49.08,49.08,49.08,49.08,49.08,49.08,49.08,49.08,49.08,49.08,49.08,49.08,49.08,49.08,49.08,49.08,49.07,49.07,49.07,49.07,49.07,49.07,49.07,49.07,49.07,49.07,49.07,49.07,49.07,49.07,49.07,49.07,49.07,49.07,49.07,49.06,49.06,49.06,49.06,49.06,49.06,49.06,49.06,49.06,49.06,49.06,49.06,49.06,49.06,49.06,49.06,49.06,49.06,49.05,49.05,49.05,49.05,49.05,49.05,49.05,49.05,49.05,49.05,49.05,49.05,49.05,49.05,49.05,49.05,49.05,49.04,49.04,49.04,</t>
  </si>
  <si>
    <t>To_Avoid_Formula0.05,-0.04,-0.1,-0.13,-0.14,-0.15,-0.15,-0.12,-0.1,-0.1,-0.15,-0.26,-0.38,-0.49,-0.55,-0.54,-0.5,-0.47,-0.41,-0.34,-0.28,-0.29,-0.32,-0.38,-0.44,-0.57,-0.78,-1.03,-1.2,-1.22,-1.15,-1.11,-1.1,-1.02,-0.9,-0.78,-0.67,-0.59,-0.59,-0.64,-0.71,-0.8,-0.89,-0.94,-0.94,-0.9,-0.84,-0.84,-0.9,-0.98,-1.06,-1.09,-1.05,-0.92,-0.75,-0.6,-0.48,-0.38,-0.3,-0.24,-0.19,-0.17,-0.12,-0.03,0.04,0.1,0.12,0.15,0.24,0.4,0.56,0.65,0.67,0.69,0.71,0.67,0.57,0.47,0.4,0.35,0.33,0.35,0.36,0.34,0.29,0.23,0.15,0.1,0.07,0.05,0.02,-0.04,-0.14,-0.21,-0.26,-0.3,-0.31,-0.29,-0.23,-0.18,-0.12,-0.04,0.04,0.13,0.21,0.32,0.44,0.55,0.62,0.68,0.74,0.76,0.75,0.71,0.71,0.73,0.74,0.7,0.63,0.56,0.48,0.41,0.36,0.31,0.28,0.25,0.2,0.14,0.07,-0.01,-0.08,-0.12,-0.14,-0.12,-0.09,-0.05,-0.01,0.1,0.2,0.28,0.33,0.34,0.33,0.32,0.32,0.32,0.3,0.28,0.26,0.23,0.15,0.05,-0.05,-0.14,-0.2,-0.25,-0.29,-0.34,-0.39,-0.37,-0.31,-0.27,-0.21,-0.14,-0.08,-0.02,0.02,0.05,0.09,0.15,0.27,0.4,0.49,0.55,0.56,0.5,0.38,0.23,0.09,-0.03,-0.15,-0.29,-0.41,-0.53,-0.61,-0.68,-0.75,-0.82,-0.88,-0.96,-1.05,-1.13,-1.2,-1.28,-1.37,-1.37,-1.29,-1.18,-1.02,-0.86,-0.74,-0.65,-0.53,-0.41,-0.29,-0.16,-0.02,0.13,0.25,0.3,0.27,0.22,0.17,0.05,-0.17,-0.46,-0.77,-1.03,-1.22,-1.32,-1.33,-1.32,-1.31,-1.31,-1.28,-1.24,-1.14,-0.99,-0.79,-0.64,-0.5,-0.35,-0.18,0.01,0.16,0.28,0.37,0.47,0.54,0.6,0.63,0.61,0.61,0.61,0.58,0.56,0.57,0.58,0.6,0.56,0.5,0.38,0.29,0.21,0.14,0.1,0.08,0.1,0.14,0.18,0.17,0.1,0.01,-0.08,-0.16,-0.25,-0.32,-0.37,-0.42,-0.48,-0.57,-0.63,-0.68,-0.72,-0.77,-0.78,-0.74,-0.68,-0.69,-0.76,-0.82,-0.84,-0.82,-0.81,-0.8,-0.81,-0.77,-0.71,-0.63,-0.55,-0.46,-0.37,-0.29,-0.24,-0.23,-0.26,-0.28,-0.23,-0.16,-0.05,0.04,0.16,0.35,0.53,0.66,0.73,0.74,0.68,0.52,0.2,-0.16,-0.46,-0.69,-0.86,-0.94,-0.89,-0.8,-0.66,-0.51,-0.44,-0.47,-0.5,-0.47,-0.43,-0.37,-0.29,-0.16,-0.04,0.02,0.08,0.15,0.2,0.24,0.27,0.26,0.2,0.11,0.01,-0.12,-0.29,-0.4,-0.42,-0.42,-0.43,-0.44,-0.46,-0.5,-0.54,-0.56,-0.57,-0.58,-0.57,-0.54,-0.54,-0.6,-0.67,-0.71,-0.71,-0.71,-0.72,-0.74,-0.72,-0.68,-0.63,-0.57,-0.51,-0.44,-0.34,-0.24,-0.19,-0.15,-0.08,0.0,0.05,0.15,0.27,0.42,0.56,0.71,0.87,1.06,1.24,1.37,1.45,1.43,1.34,1.19,1.04,0.92,0.81,0.68,0.58,0.49,0.41,0.35,0.35,0.4,0.47,0.53,0.56,0.57,0.53,0.45,0.32,0.18,0.04,-0.07,-0.15,-0.21,-0.23,-0.23,-0.22,-0.2,-0.17,-0.13,-0.13,-0.15,-0.18,-0.23,-0.3,-0.35,-0.37,-0.37,-0.38,-0.39,-0.41,-0.46,-0.52,-0.58,-0.62,-0.64,-0.63,-0.58,-0.49,-0.36,-0.19,-0.01,0.16,0.27,0.29,0.25,0.21,0.2,0.21,0.25,0.29,0.34,0.38,0.38,0.32,0.25,0.2,0.16,0.09,0.04,0.02,0.04,0.09,0.15,0.24,0.28,0.25,0.21,0.19,0.18,0.16,0.12,0.08,0.0,-0.12,-0.24,-0.37,-0.53,-0.64,-0.69,-0.7,-0.66,-0.57,-0.39,-0.23,-0.15,-0.15,-0.22,-0.33,-0.46,-0.57,-0.62,-0.62,-0.61,-0.58,-0.53,-0.47,-0.44,-0.42,-0.4,-0.39,-0.4,-0.41,-0.44,-0.48,-0.53,-0.58,-0.59,-0.59,-0.58,-0.54,-0.48,-0.41,-0.37,-0.31,-0.21,-0.11,-0.03,0.02,0.08,0.11,0.12,0.1,0.08,0.05,0.01,-0.01,-0.02,-0.02,-0.01,0.0,0.0,-0.01,-0.07,-0.11,-0.14,-0.07,0.03,0.1,0.19,0.28,0.39,0.48,0.52,0.54,0.6,0.66,0.72,0.8,0.9,0.99,1.09,1.15,1.2,1.22,1.21,1.17,1.09,0.98,0.88,0.81,0.8,0.8,0.8,0.83,0.87,0.86,0.79,0.67,0.51,0.36,0.22,0.11,0.03,0.05,0.11,0.16,0.2,0.26,0.33,0.44,0.48,0.45,0.41,0.33,0.24,0.13,0.05,-0.01,-0.06,-0.06,0.0,0.09,0.19,0.28,0.35,0.42,0.47,0.49,0.45,0.38,0.32,0.25,0.17,0.09,-0.01,-0.1,-0.17,-0.24,-0.32,-0.42,-0.5,-0.57,-0.63,-0.69,-0.75,-0.79,-0.8,-0.81,-0.87,-0.97,-1.05,-1.1,-1.12,-1.12,-1.08,-1.02,-0.97,-0.93,-0.9,-0.87,-0.85,-0.82,-0.78,-0.77,-0.79,-0.85,-0.93,-1.02,-1.1,-1.18,-1.25,-1.33,-1.4,-1.44,-1.47,-1.51,-1.56,-1.61,-1.67,-1.75,-1.85,-1.98,-2.11,-2.23,-2.33,-2.39,-2.41,-2.43,-2.44,-2.43,-2.42,-2.41,-2.39,-2.37,-2.36,-2.39,-2.44,-2.4,-2.28,-2.13,-1.99,-1.87,-1.74,-1.6,-1.47,-1.37,-1.33,-1.31,-1.27,-1.21,-1.13,-1.01,-0.83,-0.59,-0.37,-0.16,-0.01,0.13,0.27,0.35,0.37,0.35,0.38,0.29,-0.07,-0.44,-0.56,-0.45,-0.33,-0.28,-0.26,-0.24,-0.22,-0.2,-0.14,-0.11,-0.08,0.03,0.18,0.29,0.35,0.41,0.46,0.47,0.38,0.27,0.16,0.1,0.09,0.09,0.</t>
  </si>
  <si>
    <t>To_Avoid_Formula1,0.09,0.1,0.12,0.12,0.08,0.0,-0.08,-0.17,-0.24,-0.31,-0.38,-0.46,-0.49,-0.45,-0.39,-0.31,-0.23,-0.15,-0.1,-0.08,-0.07,-0.06,-0.04,-0.04,-0.03,-0.01,0.04,0.09,0.09,0.08,0.09,0.14,0.21,0.24,0.21,0.18,0.17,0.18,0.2,0.19,0.13,0.05,-0.04,-0.1,-0.16,-0.19,-0.21,-0.2,-0.18,-0.17,-0.12,-0.02,0.06,0.14,0.23,0.32,0.39,0.43,0.42,0.37,0.29,0.18,0.05,-0.17,-0.43,-0.73,-0.99,-1.16,-1.32,-1.53,-1.68,-1.69,-1.56,-1.34,-1.15,-1.0,-0.9,-0.8,-0.7,-0.64,-0.62,-0.59,-0.57,-0.57,-0.6,-0.63,-0.66,-0.68,-0.67,-0.65,-0.63,-0.6,-0.55,-0.49,-0.43,-0.35,-0.26,-0.18,-0.11,-0.04,0.01,-0.03,-0.15,-0.28,-0.4,-0.52,-0.63,-0.67,-0.69,-0.7,-0.7,-0.69,-0.68,-0.66,-0.6,-0.53,-0.47,-0.4,-0.34,-0.27,-0.19,-0.14,-0.13,-0.18,-0.23,-0.21,-0.19,-0.22,-0.31,-0.44,-0.61,-0.8,-0.95,-1.07,-1.2,-1.32,-1.44,-1.52,-1.58,-1.6,-1.6,-1.63,-1.67,-1.73,-1.83,-1.95,-2.11,-2.26,-2.4,-2.45,-2.44,-2.43,-2.43,-2.49,-2.58,-2.66,-2.69,-2.67,-2.64,-2.68,-2.93,-3.36,-3.79,-4.03,-4.03,-3.78,-3.36,-2.84,-2.36,-1.91,-1.48,-1.08,-0.76,-0.53,-0.43,-0.44,-0.49,-0.56,-0.58,-0.46,-0.29,-0.15,-0.02,0.07,0.16,0.15,0.06,-0.1,-0.34,-0.61,-0.82,-1.01,-1.07,-1.09,-1.14,-1.17,-1.22,-1.25,-1.31,-1.38,-1.43,-1.47,-1.5,-1.48,-1.4,-1.28,-1.12,-1.01,-0.95,-0.94,-0.94,-0.96,-0.99,-1.03,-1.05,-1.08,-1.06,-0.97,-0.81,-0.57,-0.32,-0.11,-0.01,0.05,0.11,0.18,0.25,0.32,0.4,0.55,0.76,0.97,1.13,1.25,1.32,1.33,1.31,1.28,1.24,1.18,1.14,1.13,1.14,1.2,1.28,1.38,1.41,1.36,1.29,1.21,1.15,1.1,1.0,0.79,0.52,0.27,0.07,-0.19,-0.37,-0.4,-0.3,0.0,0.35,0.75,1.12,1.46,1.76,1.98,2.1,2.14,2.17,2.19,2.21,2.18,2.12,2.08,2.08,2.06,2.03,1.99,1.92,1.8,1.63,1.45,1.26,1.06,0.85,0.63,0.44,0.33,0.29,0.29,0.32,0.39,0.57,0.76,0.89,0.96,0.95,0.9,0.79,0.7,0.61,0.51,0.43,0.36,0.3,0.24,0.19,0.16,0.12,0.06,0.02,0.03,0.05,0.08,0.16,0.24,0.27,0.27,0.28,0.3,0.31,0.31,0.32,0.35,0.39,0.44,0.45,0.42,0.36,0.3,0.23,0.16,0.1,0.08,0.11,0.12,</t>
  </si>
  <si>
    <t>To_Avoid_Formula0.44,0.36,0.3,0.27,0.26,0.26,0.26,0.3,0.32,0.31,0.26,0.15,0.04,-0.06,-0.1,-0.08,-0.02,0.01,0.07,0.16,0.21,0.2,0.17,0.11,0.05,-0.07,-0.27,-0.49,-0.64,-0.62,-0.51,-0.45,-0.41,-0.31,-0.17,-0.03,0.08,0.15,0.16,0.11,0.04,-0.05,-0.13,-0.17,-0.16,-0.11,-0.04,-0.04,-0.09,-0.17,-0.23,-0.25,-0.2,-0.05,0.12,0.26,0.36,0.44,0.5,0.54,0.56,0.56,0.58,0.63,0.67,0.69,0.67,0.66,0.71,0.83,0.94,0.96,0.93,0.9,0.85,0.76,0.61,0.46,0.35,0.27,0.22,0.21,0.19,0.14,0.06,-0.02,-0.11,-0.19,-0.23,-0.25,-0.3,-0.36,-0.46,-0.53,-0.57,-0.6,-0.6,-0.57,-0.51,-0.44,-0.38,-0.3,-0.22,-0.14,-0.07,0.02,0.13,0.22,0.26,0.3,0.32,0.32,0.28,0.22,0.19,0.19,0.17,0.11,0.02,-0.07,-0.15,-0.23,-0.28,-0.32,-0.35,-0.38,-0.42,-0.48,-0.53,-0.6,-0.64,-0.66,-0.66,-0.61,-0.56,-0.5,-0.44,-0.32,-0.21,-0.12,-0.06,-0.05,-0.06,-0.07,-0.06,-0.06,-0.08,-0.1,-0.11,-0.13,-0.2,-0.29,-0.37,-0.43,-0.48,-0.49,-0.5,-0.52,-0.54,-0.49,-0.41,-0.33,-0.25,-0.17,-0.08,-0.01,0.04,0.08,0.12,0.19,0.3,0.42,0.51,0.55,0.54,0.47,0.34,0.18,0.05,-0.06,-0.17,-0.29,-0.39,-0.48,-0.53,-0.56,-0.59,-0.62,-0.64,-0.67,-0.72,-0.75,-0.77,-0.8,-0.83,-0.77,-0.64,-0.49,-0.29,-0.1,0.04,0.14,0.28,0.4,0.52,0.64,0.76,0.89,0.98,1.01,0.94,0.86,0.78,0.64,0.41,0.11,-0.19,-0.43,-0.59,-0.65,-0.62,-0.57,-0.53,-0.49,-0.43,-0.36,-0.24,-0.06,0.14,0.3,0.43,0.56,0.71,0.88,0.99,1.07,1.11,1.16,1.17,1.18,1.15,1.08,1.02,0.97,0.9,0.82,0.78,0.75,0.72,0.64,0.53,0.38,0.26,0.16,0.07,0.01,-0.02,-0.02,0.0,0.02,-0.01,-0.09,-0.19,-0.28,-0.37,-0.45,-0.52,-0.55,-0.59,-0.64,-0.71,-0.75,-0.78,-0.79,-0.81,-0.8,-0.73,-0.64,-0.63,-0.68,-0.71,-0.7,-0.66,-0.61,-0.58,-0.56,-0.5,-0.42,-0.33,-0.23,-0.14,-0.04,0.04,0.1,0.1,0.06,0.05,0.09,0.16,0.26,0.34,0.44,0.6,0.75,0.84,0.87,0.84,0.74,0.54,0.2,-0.17,-0.47,-0.67,-0.82,-0.86,-0.77,-0.65,-0.49,-0.32,-0.24,-0.25,-0.26,-0.23,-0.17,-0.11,-0.02,0.11,0.22,0.27,0.32,0.37,0.41,0.43,0.44,0.41,0.33,0.23,0.11,-0.03,-0.19,-0.29,-0.3,-0.29,-0.28,-0.28,-0.29,-0.31,-0.34,-0.34,-0.33,-0.33,-0.29,-0.25,-0.24,-0.28,-0.33,-0.35,-0.33,-0.31,-0.31,-0.3,-0.26,-0.21,-0.15,-0.08,-0.01,0.07,0.17,0.26,0.31,0.34,0.39,0.46,0.5,0.57,0.67,0.78,0.89,0.99,1.1,1.23,1.34,1.41,1.41,1.32,1.16,0.95,0.75,0.59,0.43,0.27,0.15,0.04,-0.05,-0.13,-0.14,-0.09,-0.04,0.0,0.03,0.02,-0.03,-0.13,-0.26,-0.41,-0.53,-0.63,-0.69,-0.73,-0.73,-0.7,-0.67,-0.63,-0.57,-0.52,-0.5,-0.5,-0.51,-0.55,-0.59,-0.61,-0.6,-0.58,-0.57,-0.55,-0.54,-0.56,-0.59,-0.62,-0.63,-0.61,-0.57,-0.49,-0.37,-0.22,-0.04,0.15,0.32,0.42,0.42,0.38,0.33,0.3,0.31,0.34,0.37,0.41,0.43,0.41,0.34,0.26,0.2,0.15,0.09,0.03,0.02,0.04,0.09,0.15,0.23,0.26,0.22,0.18,0.15,0.14,0.11,0.07,0.03,-0.05,-0.16,-0.28,-0.39,-0.52,-0.61,-0.62,-0.6,-0.52,-0.41,-0.21,-0.04,0.05,0.05,-0.01,-0.11,-0.22,-0.32,-0.35,-0.32,-0.29,-0.24,-0.18,-0.1,-0.06,-0.03,0.0,0.02,0.01,0.01,-0.01,-0.04,-0.08,-0.12,-0.11,-0.1,-0.08,-0.03,0.04,0.11,0.16,0.22,0.31,0.4,0.46,0.5,0.54,0.55,0.54,0.49,0.45,0.4,0.35,0.31,0.29,0.27,0.27,0.26,0.25,0.23,0.16,0.11,0.07,0.13,0.22,0.28,0.34,0.42,0.5,0.56,0.56,0.55,0.57,0.6,0.62,0.67,0.72,0.77,0.81,0.83,0.82,0.78,0.72,0.63,0.51,0.36,0.22,0.13,0.09,0.07,0.05,0.06,0.07,0.04,-0.05,-0.19,-0.35,-0.5,-0.63,-0.73,-0.79,-0.75,-0.67,-0.6,-0.55,-0.48,-0.4,-0.29,-0.25,-0.27,-0.31,-0.38,-0.46,-0.56,-0.61,-0.65,-0.67,-0.65,-0.56,-0.45,-0.33,-0.23,-0.16,-0.08,-0.03,-0.01,-0.05,-0.11,-0.17,-0.23,-0.29,-0.36,-0.44,-0.5,-0.54,-0.58,-0.63,-0.69,-0.73,-0.76,-0.77,-0.78,-0.8,-0.78,-0.75,-0.71,-0.72,-0.77,-0.8,-0.79,-0.75,-0.7,-0.61,-0.5,-0.41,-0.33,-0.27,-0.2,-0.14,-0.09,0.01,0.04,0.04,0.0,-0.05,-0.11,-0.16,-0.21,-0.25,-0.29,-0.32,-0.32,-0.31,-0.31,-0.32,-0.33,-0.35,-0.38,-0.44,-0.51,-0.6,-0.66,-0.69,-0.69,-0.66,-0.62,-0.56,-0.5,-0.44,-0.38,-0.32,-0.25,-0.2,-0.19,-0.19,-0.12,0.04,0.21,0.36,0.49,0.62,0.76,0.88,0.96,0.98,0.97,0.98,1.02,1.06,1.14,1.29,1.47,1.63,1.76,1.83,1.88,1.93,1.92,1.84,1.74,1.68,1.49,1.06,0.63,0.46,0.53,0.61,0.6,0.58,0.55,0.51,0.48,0.5,0.47,0.46,0.52,0.61,0.66,0.66,0.65,0.63,0.58,0.43,0.27,0.11,0.01,-0.04,-0.07,-0.1,-0.14,-0.16,-0.17,-0.21</t>
  </si>
  <si>
    <t>To_Avoid_Formula,-0.27,-0.37,-0.47,-0.57,-0.65,-0.73,-0.8,-0.86,-0.89,-0.85,-0.77,-0.69,-0.61,-0.53,-0.48,-0.47,-0.46,-0.45,-0.44,-0.44,-0.44,-0.41,-0.37,-0.33,-0.33,-0.34,-0.33,-0.29,-0.23,-0.21,-0.24,-0.28,-0.29,-0.28,-0.26,-0.28,-0.33,-0.41,-0.48,-0.54,-0.58,-0.59,-0.59,-0.56,-0.53,-0.49,-0.43,-0.31,-0.22,-0.14,-0.04,0.04,0.1,0.14,0.13,0.06,-0.01,-0.12,-0.24,-0.44,-0.68,-0.94,-1.15,-1.26,-1.35,-1.48,-1.55,-1.48,-1.27,-0.98,-0.74,-0.54,-0.4,-0.26,-0.13,-0.05,0.0,0.04,0.09,0.1,0.09,0.07,0.06,0.06,0.09,0.12,0.16,0.2,0.27,0.33,0.4,0.47,0.56,0.63,0.68,0.74,0.76,0.7,0.57,0.43,0.3,0.19,0.09,0.05,0.05,0.04,0.05,0.07,0.09,0.11,0.18,0.25,0.31,0.36,0.41,0.48,0.53,0.57,0.56,0.49,0.42,0.42,0.43,0.38,0.28,0.14,-0.03,-0.21,-0.35,-0.46,-0.56,-0.65,-0.73,-0.78,-0.8,-0.77,-0.74,-0.72,-0.72,-0.74,-0.8,-0.88,-0.98,-1.07,-1.15,-1.14,-1.07,-0.99,-0.93,-0.93,-0.96,-0.98,-0.94,-0.86,-0.77,-0.76,-0.95,-1.31,-1.64,-1.78,-1.67,-1.33,-0.82,-0.25,0.26,0.71,1.13,1.49,1.77,1.93,1.95,1.88,1.75,1.62,1.53,1.59,1.68,1.75,1.8,1.8,1.8,1.7,1.53,1.29,0.99,0.67,0.41,0.19,0.11,0.07,0.01,-0.04,-0.11,-0.15,-0.22,-0.29,-0.35,-0.4,-0.42,-0.4,-0.32,-0.2,-0.06,0.03,0.07,0.06,0.04,0.0,-0.05,-0.1,-0.14,-0.18,-0.17,-0.09,0.04,0.26,0.47,0.63,0.69,0.69,0.69,0.7,0.72,0.73,0.74,0.83,0.97,1.09,1.17,1.21,1.19,1.11,1.0,0.89,0.77,0.64,0.53,0.46,0.41,0.41,0.43,0.47,0.42,0.32,0.19,0.06,-0.03,-0.12,-0.26,-0.49,-0.77,-1.02,-1.21,-1.44,-1.58,-1.58,-1.43,-1.1,-0.73,-0.33,0.01,0.32,0.57,0.74,0.79,0.78,0.74,0.71,0.66,0.57,0.46,0.38,0.33,0.27,0.2,0.13,0.03,-0.11,-0.3,-0.49,-0.67,-0.85,-1.05,-1.23,-1.38,-1.44,-1.42,-1.37,-1.29,-1.16,-0.94,-0.72,-0.56,-0.46,-0.46,-0.48,-0.57,-0.62,-0.68,-0.74,-0.78,-0.8,-0.81,-0.82,-0.82,-0.8,-0.79,-0.79,-0.78,-0.71,-0.64,-0.57,-0.44,-0.32,-0.25,-0.21,-0.16,-0.11,-0.08,-0.04,-0.01,0.05,0.12,0.18,0.21,0.2,0.16,0.12,0.08,0.03,-0.01,0.01,0.06,0.1,</t>
  </si>
  <si>
    <t>To_Avoid_Formula34.96,35.12,35.28,35.44,35.6,35.76,35.92,36.09,36.25,36.42,36.59,36.75,36.92,37.09,37.26,37.43,37.6,37.78,37.95,38.12,38.3,38.47,38.65,38.83,39.0,39.18,39.36,39.54,39.72,39.9,40.08,40.26,40.44,40.62,40.81,40.99,41.17,41.36,41.54,41.73,41.91,42.1,42.28,42.47,42.66,42.84,43.03,43.22,43.41,43.59,43.78,43.97,44.16,44.35,44.53,44.72,44.91,45.1,45.29,45.48,45.67,45.86,46.05,46.24,46.43,46.62,46.8,46.99,47.18,47.37,47.56,47.75,47.94,48.13,48.32,48.5,48.69,48.88,49.07,49.26,49.44,49.63,49.82,50.0,50.19,50.38,50.56,50.75,50.93,51.12,51.3,51.49,51.67,51.86,52.04,52.22,52.41,52.59,52.77,52.95,53.13,53.32,53.5,53.68,53.86,54.04,54.22,54.4,54.58,54.75,54.93,55.11,55.29,55.47,55.64,55.82,55.99,56.17,56.34,56.52,56.69,56.87,57.04,57.22,57.39,57.56,57.73,57.91,58.08,58.25,58.42,58.59,58.76,58.93,59.1,59.27,59.44,59.61,59.77,59.94,60.11,60.28,60.44,60.61,60.77,60.94,61.11,61.27,61.44,61.6,61.76,61.93,62.09,62.25,62.41,62.58,62.74,62.9,63.06,63.22,63.38,63.54,63.7,63.86,64.02,64.18,64.33,64.49,64.65,64.8,64.96,65.12,65.27,65.43,65.58,65.74,65.89,66.05,66.2,66.35,66.51,66.66,66.81,66.96,67.12,67.27,67.42,67.57,67.72,67.87,68.02,68.17,68.32,68.47,68.62,68.77,68.92,69.07,69.21,69.36,69.51,69.66,69.8,69.95,70.09,70.24,70.38,70.53,70.67,70.82,70.96,71.11,71.25,71.39,71.53,71.68,71.82,71.96,72.1,72.24,72.38,72.52,72.66,72.8,72.94,73.08,73.22,73.36,73.5,73.63,73.77,73.91,74.04,74.18,74.31,74.45,74.59,74.72,74.85,74.99,75.12,75.25,75.39,75.52,75.65,75.78,75.91,76.04,76.17,76.3,76.43,76.56,76.69,76.82,76.95,77.07,77.2,77.33,77.45,77.58,77.7,77.83,77.95,78.08,78.2,78.33,78.45,78.57,78.7,78.82,78.94,79.06,79.18,79.31,79.43,79.55,79.67,79.79,79.91,80.03,80.15,80.26,80.38,80.5,80.62,80.74,80.86,80.97,81.09,81.21,81.32,81.44,81.56,81.67,81.79,81.9,82.02,82.13,82.25,82.36,82.48,82.59,82.71,82.82,82.93,83.05,83.16,83.27,83.38,83.49,83.61,83.72,83.83,83.94,84.05,84.16,84.27,84.38,84.49,84.6,84.71,84.82,84.93,85.04,85.15,85.26,85.37,85.47,85.58,85.69,85.8,85.91,86.02,86.13,86.23,86.34,86.45,86.56,86.67,86.77,86.88,86.99,87.1,87.2,87.31,87.42,87.53,87.63,87.74,87.85,87.95,88.06,88.17,88.28,88.38,88.49,88.6,88.71,88.81,88.92,89.03,89.14,89.24,89.35,89.46,89.57,89.67,89.78,89.89,90.0,90.1,90.21,90.32,90.43,90.53,90.64,90.75,90.86,90.96,91.07,91.18,91.28,91.39,91.5,91.6,91.71,91.82,91.92,92.03,92.14,92.24,92.35,92.46,92.56,92.67,92.77,92.88,92.99,93.09,93.2,93.3,93.41,93.52,93.62,93.73,93.83,93.94,94.04,94.15,94.26,94.36,94.47,94.57,94.68,94.78,94.89,95.0,95.1,95.21,95.31,95.42,95.53,95.63,95.74,95.84,95.95,96.06,96.16,96.27,96.38,96.48,96.59,96.7,96.8,96.91,97.02,97.13,97.23,97.34,97.45,97.56,97.66,97.77,97.88,97.99,98.1,98.21,98.31,98.42,98.53,98.64,98.75,98.86,98.97,99.08,99.19,99.3,99.41,99.52,99.63,99.74,99.85,99.97,100.08,100.19,100.3,100.41,100.52,100.64,100.75,100.86,100.97,101.09,101.2,101.31,101.43,101.54,101.65,101.77,101.88,101.99,102.11,102.22,102.34,102.45,102.57,102.68,102.8,102.91,103.03,103.15,103.26,103.38,103.5,103.61,103.73,103.85,103.96,104.08,104.2,104.31,104.43,104.55,104.67,104.79,104.9,105.02,105.14,105.26,105.38,105.5,105.61,105.73,105.85,105.97,106.09,106.21,106.32,106.44,106.56,106.68,106.8,106.91,107.03,107.15,107.27,107.38,107.5,107.62,107.73,107.85,107.97,108.08,108.2,108.31,108.43,108.54,108.66,108.77,108.89,109.0,109.11,109.23,109.34,109.45,109.56,109.67,109.78,109.9,110.01,110.11,110.22,110.33,110.44,110.55,110.66,110.76,110.87,110.98,111.08,111.19,111.29,111.4,111.5,111.6,111.71,111.81,111.91,112.01,112.11,112.21,112.31,112.41,112.51,112.61,112.71,112.81,112.91,113.0,113.1,113.2,113.29,113.39,113.48,113.57,113.67,113.76,113.85,113.95,114.04,114.13,114.22,114.31,114.4,114.49,114.58,114.66,114.75,114.84,114.93,115.01,115.1,115.18,115.27,115.35,115.43,115.52,115.6,115.68,115.76,115.84,115.92,116.01,116.08,116.16,116.24,116.32,116.4,116.48,116.55,116.63,116.7,116.78,116.85,116.93,117.0,117.08,117.15,117.29,117.36,117.44,117.51,117.58,117.65,117.72,117.79,11</t>
  </si>
  <si>
    <t>To_Avoid_Formula7.85,117.92,117.99,118.06,118.12,118.19,118.26,118.32,118.39,118.45,118.52,118.58,118.65,118.71,118.77,118.83,118.9,118.96,119.02,119.08,119.14,119.2,119.26,119.32,119.38,119.44,119.5,119.55,119.61,119.67,119.72,119.78,119.84,119.89,119.95,120.0,120.05,120.11,120.16,120.21,120.26,120.32,120.37,120.42,120.47,120.52,120.57,120.61,120.66,120.71,120.76,120.8,120.85,120.89,120.94,120.98,121.03,121.07,121.11,121.15,121.2,121.24,121.28,121.32,121.36,121.4,121.43,121.47,121.51,121.55,121.58,121.62,121.65,121.69,121.72,121.76,121.79,121.82,121.86,121.89,121.92,121.95,121.98,122.01,122.04,122.07,122.1,122.13,122.16,122.18,122.21,122.24,122.26,122.29,122.31,122.34,122.36,122.38,122.41,122.43,122.45,122.47,122.5,122.52,122.54,122.56,122.57,122.59,122.61,122.63,122.65,122.66,122.68,122.7,122.71,122.73,122.74,122.75,122.77,122.78,122.79,122.8,122.81,122.82,122.83,122.84,122.85,122.86,122.87,122.87,122.88,122.89,122.89,122.89,122.9,122.9,122.91,122.91,122.91,122.91,122.91,122.91,122.91,122.91,122.91,122.91,122.91,122.91,122.91,122.91,122.9,122.9,122.9,122.89,122.89,122.89,122.88,122.88,122.87,122.87,122.86,122.85,122.85,122.84,122.84,122.83,122.82,122.81,122.81,122.8,122.79,122.78,122.77,122.77,122.76,122.75,122.74,122.73,122.72,122.71,122.7,122.69,122.68,122.66,122.65,122.64,122.63,122.62,122.61,122.59,122.58,122.57,122.55,122.54,122.53,122.51,122.5,122.49,122.47,122.46,122.44,122.43,122.41,122.4,122.39,122.37,122.36,122.34,122.33,122.31,122.3,122.28,122.27,122.25,122.23,122.22,122.2,122.19,122.17,122.16,122.14,122.13,122.11,122.09,122.08,122.06,122.05,122.03,122.02,122.0,121.99,121.97,121.96,121.94,121.93,121.91,121.9,121.88,121.87,121.85,121.84,121.82,121.81,121.8,121.78,121.77,121.76,121.74,121.73,121.72,121.71,121.7,121.68,121.67,121.66,121.65,121.64,121.63,121.62,121.6,121.59,121.58,121.57,121.56,121.56,121.55,121.54,121.53,121.52,121.51,121.5,121.49,121.49,121.48,121.47,121.46,121.46,121.45,121.44,121.43,121.43,121.42,121.42,121.41,121.4,121.4,121.39,121.39,121.38,121.38,121.38,121.37,121.37,121.37,121.36,121.36,121.36,121.36,121.35,121.35,121.35,121.35,121.35,121.35,121.35,121.35,121.35,121.35,121.35,121.35,121.35,121.35,121.35,121.35,121.35,121.35,121.36,121.36,121.36,121.36,121.36,121.37,121.37,121.37,121.38,121.38,121.38,121.39,121.39,121.39,121.4,121.4,121.4,121.41,121.41,121.41,121.42,121.42,121.42,121.43,121.43,121.43,121.44,121.44,121.45,121.45,121.45,121.46,121.46,121.46,121.47,121.47,121.47,121.48,121.48,121.48,121.49,121.49,121.49,121.49,121.5,121.5,121.5,121.51,121.51,121.51,121.51,121.52,121.52,121.52,121.52,121.53,121.53,121.53,121.53,121.54,121.54,121.54,121.54,121.55,121.55,121.55,121.55,121.56,121.56,121.56,121.56,121.57,121.57,121.57,121.57,121.57,121.58,121.58,121.58,121.58,121.58,121.58,121.58,121.58,121.58,121.59,121.59,121.59,121.59,121.59,121.59,121.59,121.59,121.59,121.59,121.58,121.58,121.58,121.58,121.58,121.58,121.58,121.58,</t>
  </si>
  <si>
    <t>To_Avoid_Formula53.74,53.92,54.16,54.48,54.88,55.27,55.61,55.9,56.15,56.43,56.75,57.01,57.15,57.23,57.32,57.43,57.51,57.56,57.58,57.6,57.63,57.73,57.84,58.01,58.28,58.66,59.11,59.62,60.11,60.45,60.69,60.86,60.99,61.03,60.96,60.83,60.7,60.61,60.55,60.47,60.35,60.25,60.25,60.35,60.48,60.64,60.84,61.08,61.33,61.52,61.74,62.01,62.21,62.31,62.39,62.5,62.6,62.7,62.82,62.98,63.16,63.36,63.52,63.64,63.77,63.98,64.23,64.41,64.52,64.61,64.71,64.8,64.87,64.93,65.03,65.2,65.37,65.5,65.64,65.81,66.05,66.39,66.78,67.15,67.5,67.85,68.2,68.5,68.72,68.9,69.05,69.25,69.47,69.63,69.7,69.74,69.8,69.84,69.89,69.96,70.04,70.09,70.14,70.25,70.46,70.73,71.01,71.26,71.51,71.8,72.08,72.3,72.49,72.67,72.81,72.93,73.08,73.25,73.44,73.66,73.93,74.2,74.44,74.68,74.95,75.25,75.54,75.65,75.67,75.74,75.83,75.9,75.91,75.9,75.87,75.87,75.93,76.03,76.12,76.24,76.43,76.68,76.9,77.07,77.17,77.17,77.18,77.27,77.47,77.76,78.02,78.23,78.45,78.79,79.23,79.7,80.13,80.5,80.81,81.03,81.21,81.37,81.55,81.76,81.96,82.09,82.24,82.42,82.67,82.92,83.17,83.29,83.29,83.28,83.22,83.06,82.81,82.57,82.45,82.46,82.56,82.7,82.85,83.1,83.49,83.88,84.18,84.39,84.53,84.65,84.76,84.81,84.84,84.92,85.07,85.25,85.41,85.55,85.68,85.91,86.13,86.28,86.22,86.01,85.74,85.33,84.69,84.11,83.64,83.36,83.46,83.9,84.68,85.6,86.47,87.31,88.25,89.22,90.1,90.73,91.13,91.34,91.44,91.41,91.34,91.13,90.82,90.49,90.37,90.36,90.31,90.3,90.36,90.56,90.81,91.01,91.15,91.39,91.75,92.12,92.4,92.68,92.93,93.14,93.31,93.47,93.66,93.86,94.05,94.2,94.32,94.42,94.55,94.72,94.91,95.06,95.18,95.26,95.34,95.41,95.45,95.46,95.49,95.49,95.43,95.37,95.33,95.31,95.32,95.39,95.49,95.55,95.59,95.67,95.84,96.04,96.15,96.18,96.25,96.38,96.49,96.55,96.62,96.78,97.05,97.41,97.76,98.04,98.32,98.64,98.96,99.25,99.53,99.72,99.85,99.95,100.1,100.26,100.4,100.51,100.57,100.62,100.71,100.86,101.05,101.26,101.49,101.74,102.05,102.45,102.82,103.11,103.39,103.68,103.93,104.15,104.33,104.45,104.54,104.64,104.71,104.75,104.85,105.0,105.12,105.18,105.22,105.29,105.42,105.62,105.87,106.07,106.24,106.47,106.71,106.91,107.02,107.08,107.1,107.12,107.16,107.23,107.38,107.58,107.7,107.78,107.89,108.01,108.1,108.17,108.22,108.14,107.96,107.75,107.61,107.54,107.53,107.54,107.61,107.76,108.0,108.32,108.68,109.07,109.52,109.94,110.29,110.56,110.72,110.83,110.88,110.92,110.94,110.91,110.84,110.76,110.71,110.73,110.78,110.83,110.86,110.89,110.93,110.95,110.91,110.82,110.72,110.64,110.56,110.44,110.32,110.19,110.11,110.06,110.07,110.15,110.27,110.45,110.71,111.04,111.43,111.87,112.32,112.81,113.36,113.92,114.43,114.87,115.22,115.46,115.61,115.75,115.87,115.96,116.04,116.11,116.13,116.18,116.27,116.37,116.48,116.62,116.78,116.96,117.24,117.61,117.94,118.2,118.49,118.81,119.07,119.26,119.45,119.64,119.75,119.78,119.79,119.86,120.0,120.17,120.32,120.47,120.63,120.79,120.95,121.11,121.25,121.35,121.46,121.61,121.74,121.83,121.91,121.99,122.06,122.05,121.95,121.88,121.88,121.89,121.89,121.88,121.93,122.01,122.07,122.1,122.13,122.17,122.28,122.41,122.46,122.47,122.52,122.6,122.68,122.75,122.88,123.09,123.4,123.77,124.14,124.52,124.94,125.35,125.71,126.06,126.34,126.52,126.56,126.58,126.59,126.57,126.57,126.6,126.69,126.84,127.04,127.3,127.64,128.07,128.54,128.98,129.26,129.44,129.63,129.79,129.87,129.82,129.6,129.29,128.98,128.74,128.66,128.68,128.76,128.89,129.1,129.35,129.66,130.0,130.35,130.71,131.08,131.52,131.99,132.54,133.09,133.59,133.89,134.15,134.41,134.51,134.47,134.38,134.37,134.37,134.37,134.35,134.4,134.51,134.69,134.87,135.05,135.19,135.24,135.18,135.15,135.13,135.06,134.94,134.85,134.82,134.83,134.86,134.9,134.92,134.94,135.03,135.17,135.33,135.52,135.71,135.82,135.9,136.04,136.2,136.29,136.36,136.46,136.61,136.82,137.04,137.22,137.35,137.5,137.62,137.73,137.87,138.04,138.18,138.33,138.58,138.93,139.29,139.55,139.76,140.0,140.3,140.59,140.9,141.2,141.5,141.73,141.95,142.22,142.46,142.59,142.63,142.71,142.85,142.94,142.96,142.9,142.8,142.66,142.62,142.65,142.65,142.6,142.53,142.52,</t>
  </si>
  <si>
    <t>To_Avoid_Formula142.6,142.67,142.67,142.74,143.01,143.33,143.48,143.5,143.54,143.67,143.92,144.26,144.6,144.91,145.2,145.5,145.77,146.17,146.29,146.39,146.49,146.53,146.52,146.54,146.66,146.73,146.71,146.65,146.59,146.55,146.53,146.53,146.51,146.52,146.55,146.6,146.7,146.89,147.18,147.6,148.16,148.74,149.26,149.81,150.5,151.3,152.07,152.73,153.39,154.17,154.92,155.47,155.78,155.91,156.06,156.19,156.13,155.87,155.54,155.24,155.08,155.02,154.93,154.85,154.96,155.17,155.27,155.14,155.03,155.09,155.24,155.32,155.22,155.09,155.15,155.36,155.59,155.81,155.97,156.15,156.33,156.43,156.4,156.34,156.26,156.13,155.87,155.63,155.43,155.3,155.34,155.45,155.57,155.61,155.65,155.77,155.96,156.06,155.91,155.62,155.46,155.46,155.45,155.35,155.22,155.18,155.19,155.21,155.28,155.29,155.22,155.2,155.29,155.37,155.43,155.44,155.46,155.53,155.63,155.69,155.7,155.75,155.85,155.9,155.87,155.82,155.76,155.66,155.55,155.43,155.29,155.19,155.13,155.12,155.15,155.25,155.4,155.56,155.78,155.98,156.09,156.19,156.38,156.53,156.6,156.65,156.71,156.75,156.72,156.68,156.64,156.6,156.58,156.59,156.62,156.67,156.77,156.88,156.98,157.03,156.97,156.86,156.71,156.46,156.05,155.61,155.2,154.89,154.6,154.31,154.1,153.97,153.9,153.88,153.94,154.04,154.11,154.09,153.98,153.85,153.74,153.65,153.58,153.45,153.25,153.13,153.13,153.15,153.17,153.19,153.26,153.38,153.52,153.63,153.68,153.73,153.85,153.98,153.94,153.74,153.47,153.24,153.04,152.78,152.49,152.24,152.13,152.14,152.26,152.48,152.82,153.35,154.03,154.78,155.59,156.42,157.11,157.68,158.2,158.61,158.87,158.89,158.82,158.7,158.54,158.28,157.94,157.35,156.68,156.0,155.28,154.5,153.7,152.92,152.27,151.78,151.51,151.49,151.53,151.74,152.1,152.54,152.97,153.41,153.81,154.17,154.44,154.61,154.72,154.76,154.84,154.92,154.88,154.75,154.65,154.59,154.53,154.36,154.12,153.9,153.83,154.06,154.57,155.23,155.95,156.77,157.71,158.72,159.78,160.8,161.65,162.24,162.67,162.88,162.71,161.98,160.88,159.96,159.35,158.84,158.27,157.66,157.14,156.82,156.57,156.42,156.42,156.46,156.27,155.93,155.7,155.62,155.44,155.08,154.66,154.32,154.0,153.6,153.26,152.99,152.73,152.51,152.35,152.24,152.28,152.36,152.47,152.6,152.79,152.99,153.14,153.27,153.49,153.68,153.76,153.77,153.86,154.05,154.2,154.26,154.33,154.43,154.42,154.33,154.29,154.35,154.39,154.38,154.36,154.38,154.47,154.62,154.75,154.76,154.64,154.49,154.38,154.29,154.07,153.74,153.4,153.16,152.94,152.76,152.67,152.72,152.81,152.83,152.71,152.61,152.61,152.72,152.81,152.75,152.64,152.68,152.89,153.13,153.45,153.85,154.5,155.29,156.15,156.95,157.65,158.28,158.85,159.07,158.92,158.6,158.1,157.52,156.78,155.97,155.17,154.49,154.0,153.59,153.11,152.66,152.48,152.57,152.78,152.91,152.88,152.84,152.95,153.15,153.3,153.34,153.34,153.38,153.47,153.53,153.56,153.65,153.83,153.98,153.99,153.91,153.86,153.84,153.86,153.9,153.89,153.84,153.84,153.87,153.89,153.91,153.98,154.07,154.13,154.13,154.16,154.32,154.53,154.69,154.73,154.74,154.84,155.02,155.09,155.04,154.95,154.9,154.94,154.95,154.84,154.7,154.65,154.67,154.75,154.85,154.96,155.1,155.33,155.59,155.79,155.89,155.98,156.1,156.16,156.08,</t>
  </si>
  <si>
    <t>To_Avoid_Formula12.1,12.13,12.16,12.19,12.21,12.24,12.27,12.3,12.33,12.36,12.39,12.42,12.44,12.47,12.51,12.54,12.57,12.6,12.64,12.67,12.71,12.75,12.79,12.83,12.87,12.91,12.95,12.99,13.03,13.07,13.11,13.16,13.2,13.24,13.27,13.31,13.35,13.38,13.41,13.44,13.48,13.51,13.54,13.56,13.59,13.62,13.65,13.68,13.71,13.74,13.77,13.8,13.83,13.86,13.89,13.93,13.96,14.0,14.03,14.07,14.1,14.14,14.17,14.2,14.24,14.27,14.29,14.32,14.35,14.37,14.39,14.42,14.44,14.46,14.48,14.5,14.52,14.54,14.56,14.58,14.61,14.63,14.66,14.68,14.71,14.75,14.78,14.81,14.84,14.88,14.91,14.95,14.98,15.02,15.06,15.1,15.14,15.18,15.21,15.25,15.29,15.33,15.36,15.4,15.43,15.47,15.5,15.53,15.56,15.59,15.62,15.65,15.68,15.72,15.75,15.78,15.81,15.85,15.89,15.92,15.96,16.0,16.04,16.08,16.11,16.15,16.19,16.22,16.26,16.29,16.32,16.35,16.37,16.4,16.42,16.45,16.47,16.5,16.52,16.54,16.57,16.59,16.61,16.63,16.65,16.67,16.69,16.71,16.73,16.75,16.77,16.78,16.8,16.82,16.85,16.87,16.89,16.91,16.94,16.96,16.98,17.0,17.02,17.04,17.06,17.08,17.1,17.12,17.14,17.16,17.19,17.21,17.23,17.25,17.28,17.3,17.33,17.36,17.38,17.41,17.44,17.47,17.5,17.53,17.57,17.6,17.63,17.66,17.69,17.72,17.75,17.77,17.8,17.83,17.85,17.88,17.9,17.93,17.95,17.98,18.0,18.03,18.05,18.07,18.1,18.12,18.14,18.16,18.19,18.21,18.24,18.27,18.3,18.33,18.36,18.39,18.42,18.45,18.48,18.5,18.53,18.56,18.58,18.61,18.63,18.65,18.68,18.7,18.72,18.75,18.77,18.79,18.82,18.84,18.86,18.89,18.91,18.94,18.97,19.0,19.03,19.06,19.09,19.12,19.16,19.19,19.23,19.26,19.3,19.34,19.37,19.41,19.44,19.48,19.51,19.55,19.58,19.62,19.65,19.68,19.71,19.74,19.77,19.8,19.83,19.86,19.89,19.92,19.95,19.98,20.02,20.05,20.09,20.12,20.16,20.19,20.23,20.26,20.3,20.33,20.36,20.38,20.41,20.43,20.46,20.48,20.5,20.53,20.55,20.57,20.59,20.61,20.63,20.65,20.67,20.69,20.71,20.72,20.74,20.76,20.77,20.79,20.81,20.83,20.85,20.87,20.9,20.92,20.95,20.97,21.0,21.03,21.05,21.08,21.1,21.13,21.15,21.17,21.19,21.21,21.23,21.25,21.27,21.28,21.3,21.32,21.34,21.36,21.38,21.4,21.43,21.45,21.48,21.51,21.54,21.57,21.6,21.63,21.65,21.68,21.71,21.74,21.77,21.8,21.83,21.86,21.89,21.92,21.95,21.98,22.01,22.04,22.06,22.09,22.12,22.14,22.16,22.19,22.21,22.23,22.25,22.27,22.3,22.32,22.35,22.37,22.4,22.43,22.45,22.48,22.51,22.53,22.56,22.59,22.62,22.65,22.68,22.7,22.73,22.75,22.77,22.79,22.82,22.84,22.86,22.88,22.9,22.93,22.95,22.98,23.0,23.03,23.06,23.09,23.11,23.14,23.17,23.2,23.23,23.26,23.3,23.33,23.36,23.4,23.43,23.47,23.51,23.55,23.59,23.63,23.66,23.7,23.73,23.76,23.79,23.82,23.85,23.88,23.91,23.94,23.97,24.0,24.03,24.07,24.1,24.13,24.16,24.19,24.23,24.26,24.29,24.33,24.36,24.39,24.42,24.45,24.48,24.51,24.54,24.57,24.6,24.62,24.65,24.68,24.7,24.73,24.75,24.78,24.8,24.82,24.84,24.85,24.87,24.89,24.91,24.92,24.94,24.95,24.97,24.98,25.0,25.01,25.03,25.05,25.07,25.09,25.1,25.12,25.14,25.16,25.18,25.2,25.22,25.24,25.26,25.28,25.3,25.32,25.34,25.36,25.38,25.4,25.43,25.45,25.48,25.5,25.53,25.55,25.57,25.59,25.61,25.63,25.65,25.67,25.69,25.7,25.72,25.74,25.76,25.77,25.79,25.81,25.83,25.85,25.86,25.88,25.9,25.91,25.93,25.95,25.96,25.98,25.99,26.01,26.02,26.04,26.05,26.07,26.08,26.1,26.11,26.12,26.14,26.15,26.17,26.18,26.19,26.21,26.22,26.23,26.24,26.25,26.26,26.27,26.28,26.29,26.3,26.32,26.33,26.35,26.37,26.39,26.41,26.43,26.45,26.47,26.49,26.51,26.54,26.56,26.59,26.61,26.64,26.66,26.69,26.72,26.74,26.77,26.8,26.83,26.87,26.9,26.93,26.96,26.99,27.02,27.05,27.08,27.11,27.14,27.17,27.19,27.22,27.25,27.27,27.3,27.32,27.35,27.37,27.4,27.43,27.45,27.47,27.5,27.52,27.54,27.55,27.57,27.58,27.6,27.61,27.63,27.64,27.66,27.68,27.69,27.71,27.72,27.74,27.75,27.76,27.77,27.78,27.79,27.79,27.8,27.81,27.81,27.82,27.82,27.82,27.83,27.83,27.84,27.84,27.84,27.85,27.86,27.86,27.87,27.88,27.88,27.89,27.9,27.91,27.91,27.92,27.93,27.95,27.96,27.97,27.98,27.98,27.99,28.0,28.01,28.02,28.03,28.03,28.04,28.05,28.05,28.06,28.07,28.07,28.08,28.09,28.1,28.11,28.12,28.13,28.14,28.15,28.16,28.17,28.18,28.19,28.2,28.21,28.23,28.24,28.25,28.26,28.28,28.29,28.3,</t>
  </si>
  <si>
    <t>To_Avoid_Formula28.31,28.32,28.33,28.34,28.35,28.36,28.37,28.38,28.38,28.39,28.4,28.4,28.41,28.42,28.43,28.44,28.45,28.46,28.47,28.49,28.5,28.52,28.54,28.56,28.58,28.6,28.62,28.63,28.65,28.67,28.69,28.71,28.72,28.74,28.75,28.77,28.79,28.8,28.82,28.83,28.85,28.86,28.88,28.89,28.9,28.91,28.93,28.94,28.94,28.95,28.96,28.97,28.97,28.98,28.99,28.99,29.0,29.01,29.02,29.03,29.03,29.04,29.04,29.05,29.05,29.05,29.04,29.04,29.04,29.03,29.02,29.02,29.01,29.0,28.99,28.98,28.98,28.97,28.96,28.95,28.94,28.94,28.93,28.92,28.91,28.9,28.9,28.89,28.88,28.87,28.86,28.84,28.83,28.82,28.8,28.79,28.78,28.76,28.75,28.74,28.73,28.72,28.71,28.71,28.7,28.69,28.68,28.67,28.67,28.66,28.65,28.65,28.65,28.65,28.65,28.66,28.66,28.67,28.68,28.68,28.68,28.68,28.69,28.69,28.69,28.68,28.68,28.68,28.67,28.67,28.67,28.66,28.66,28.66,28.65,28.65,28.65,28.64,28.64,28.64,28.65,28.65,28.65,28.66,28.67,28.67,28.68,28.69,28.7,28.71,28.71,28.72,28.73,28.74,28.74,28.75,28.75,28.76,28.76,28.76,28.75,28.75,28.75,28.75,28.74,28.74,28.74,28.74,28.74,28.75,28.76,28.76,28.77,28.78,28.79,28.8,28.81,28.82,28.83,28.84,28.85,28.86,28.87,28.88,28.89,28.89,28.9,28.91,28.91,28.92,28.92,28.92,28.92,28.92,28.92,28.92,28.92,28.92,28.92,28.92,28.92,28.92,28.92,28.91,28.92,28.92,28.92,28.93,28.94,28.95,28.96,28.97,28.98,28.99,29.0,29.0,29.0,28.99,28.99,28.98,28.97,28.96,28.94,28.93,28.92,28.9,28.89,28.88,28.87,28.86,28.85,28.84,28.83,28.83,28.82,28.82,28.81,28.81,28.81,28.81,28.81,28.81,28.81,28.81,28.82,28.82,28.82,28.82,28.83,28.83,28.83,28.83,28.84,28.84,28.84,28.84,28.84,28.85,28.85,28.85,28.85,28.85,28.85,28.85,28.86,28.87,28.88,28.89,28.9,28.92,28.93,28.94,28.96,28.97,28.98,28.99,29.0,29.02,29.03,29.04,29.05,29.06,29.07,29.07,29.08,29.09,29.09,29.09,29.1,29.1,29.1,29.1,29.1,29.09,29.09,29.09,29.09,29.09,29.09,29.08,29.08,29.08,29.08,29.09,29.09,29.09,29.08,29.08,29.08,29.07,29.06,29.06,29.05,29.04,29.03,29.01,29.0,28.98,28.97,28.96,28.95,28.95,28.94,28.93,28.92,28.92,28.91,28.91,28.9,28.9,28.89,28.88,28.88,28.87,28.86,28.86,28.85,28.85,28.85,28.85,28.84,28.84,28.84,28.83,28.83,28.82,28.82,28.81,28.81,28.8,28.79,28.79,28.78,28.77,28.76,28.75,28.74,28.74,28.73,28.73,28.73,28.73,28.73,28.73,28.73,28.72,28.72,28.72,28.71,28.71,28.7,28.69,28.69,28.68,28.68,28.68,28.67,28.67,28.66,28.66,28.66,28.65,28.65,28.65,28.64,28.64,28.64,28.63,28.63,</t>
  </si>
  <si>
    <t>To_Avoid_Formula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</t>
  </si>
  <si>
    <t>To_Avoid_Formula-0.5,-0.56,-0.64,-0.74,-0.85,-0.96,-1.07,-1.17,-1.26,-1.34,-1.41,-1.48,-1.55,-1.63,-1.7,-1.76,-1.81,-1.81,-1.78,-1.71,-1.59,-1.43,-1.22,-0.97,-0.68,-0.37,-0.04,0.27,0.55,0.78,0.96,1.09,1.18,1.22,1.22,1.19,1.14,1.08,1.02,0.96,0.9,0.84,0.79,0.74,0.7,0.66,0.62,0.59,0.56,0.52,0.48,0.43,0.37,0.3,0.25,0.23,0.23,0.25,0.28,0.31,0.34,0.34,0.32,0.26,0.17,0.04,-0.11,-0.28,-0.47,-0.65,-0.8,-0.93,-1.01,-1.06,-1.08,-1.07,-1.04,-0.99,-0.94,-0.9,-0.89,-0.89,-0.91,-0.94,-0.98,-1.03,-1.1,-1.18,-1.27,-1.37,-1.49,-1.61,-1.73,-1.86,-1.99,-2.13,-2.28,-2.44,-2.61,-2.78,-2.94,-3.11,-3.28,-3.44,-3.6,-3.73,-3.84,-3.92,-3.96,-3.96,-3.93,-3.88,-3.8,-3.72,-3.63,-3.54,-3.45,-3.38,-3.31,-3.26,-3.22,-3.2,-3.18,-3.19,-3.2,-3.21,-3.23,-3.24,-3.24,-3.22,-3.17,-3.1,-3.02,-2.93,-2.84,-2.73,-2.62,-2.52,-2.42,-2.33,-2.26,-2.2,-2.16,-2.14,-2.14,-2.16,-2.19,-2.22,-2.26,-2.29,-2.33,-2.36,-2.37,-2.38,-2.37,-2.34,-2.3,-2.23,-2.16,-2.08,-2.0,-1.93,-1.88,-1.83,-1.8,-1.77,-1.76,-1.77,-1.79,-1.83,-1.88,-1.92,-1.96,-1.98,-1.97,-1.94,-1.88,-1.8,-1.71,-1.62,-1.51,-1.4,-1.28,-1.16,-1.04,-0.93,-0.84,-0.75,-0.68,-0.62,-0.57,-0.53,-0.5,-0.47,-0.44,-0.42,-0.41,-0.39,-0.36,-0.32,-0.26,-0.2,-0.12,-0.05,0.03,0.13,0.23,0.36,0.51,0.69,0.89,1.11,1.33,1.54,1.74,1.92,2.05,2.11,2.1,2.02,1.88,1.69,1.47,1.25,1.03,0.84,0.68,0.56,0.51,0.51,0.55,0.62,0.68,0.72,0.75,0.75,0.72,0.69,0.64,0.59,0.56,0.52,0.49,0.47,0.44,0.41,0.39,0.37,0.36,0.37,0.39,0.42,0.46,0.49,0.53,0.56,0.59,0.63,0.68,0.74,0.82,0.91,0.98,1.04,1.06,1.04,0.98,0.88,0.74,0.56,0.35,0.09,-0.19,-0.5,-0.83,-1.16,-1.49,-1.8,-2.08,-2.34,-2.58,-2.81,-3.03,-3.24,-3.43,-3.61,-3.77,-3.91,-4.02,-4.11,-4.19,-4.23,-4.24,-4.22,-4.15,-4.05,-3.91,-3.75,-3.56,-3.34,-3.11,-2.86,-2.58,-2.29,-1.98,-1.64,-1.29,-0.93,-0.57,-0.25,0.02,0.21,0.31,0.31,0.24,0.11,-0.07,-0.26,-0.45,-0.62,-0.75,-0.86,-0.93,-0.96,-0.97,-0.94,-0.89,-0.81,-0.7,-0.59,-0.47,-0.37,-0.27,-0.19,-0.12,-0.06,-0.01,0.01,0.01,-0.02,-0.07,-0.15,-0.25,-0.34,-0.43,-0.49,-0.53,-0.55,-0.56,-0.55,-0.53,-0.51,-0.49,-0.48,-0.48,-0.51,-0.57,-0.66,-0.78,-0.93,-1.11,-1.3,-1.52,-1.75,-1.99,-2.22,-2.45,-2.66,-2.84,-3.01,-3.15,-3.27,-3.38,-3.47,-3.55,-3.62,-3.68,-3.73,-3.75,-3.74,-3.69,-3.61,-3.5,-3.34,-3.17,-2.99,-2.83,-2.7,-2.62,-2.59,-2.6,-2.65,-2.72,-2.8,-2.89,-2.96,-3.02,-3.04,-3.03,-2.98,-2.89,-2.76,-2.6,-2.42,-2.24,-2.06,-1.9,-1.75,-1.63,-1.52,-1.45,-1.39,-1.35,-1.32,-1.29,-1.26,-1.23,-1.2,-1.17,-1.15,-1.15,-1.15,-1.16,-1.18,-1.2,-1.24,-1.28,-1.34,-1.42,-1.53,-1.65,-1.8,-1.96,-2.13,-2.31,-2.49,-2.66,-2.8,-2.93,-3.02,-3.1,-3.15,-3.19,-3.21,-3.2,-3.18,-3.13,-3.05,-2.95,-2.84,-2.71,-2.58,-2.45,-2.33,-2.22,-2.12,-2.04,-1.96,-1.89,-1.83,-1.76,-1.7,-1.66,-1.64,-1.64,-1.67,-1.73,-1.8,-1.89,-1.98,-2.08,-2.19,-2.29,-2.39,-2.49,-2.56,-2.61,-2.63,-2.61,-2.54,-2.42,-2.25,-2.05,-1.84,-1.64,-1.45,-1.3,-1.18,-1.1,-1.05,-1.04,-1.05,-1.09,-1.14,-1.22,-1.31,-1.42,-1.54,-1.67,-1.82,-1.98,-2.16,-2.34,-2.53,-2.73,-2.92,-3.12,-3.31,-3.49,-3.66,-3.81,-3.93,-4.04,-4.12,-4.17,-4.19,-4.2,-4.18,-4.15,-4.1,-4.04,-3.99,-3.93,-3.88,-3.84,-3.81,-3.78,-3.76,-3.74,-3.73,-3.72,-3.72,-3.72,-3.72,-3.73,-3.75,-3.77,-3.8,-3.83,-3.87,-3.91,-3.94,-3.96,-3.97,-3.97,-3.96,-3.94,-3.92,-3.9,-3.87,-3.84,-3.81,-3.76,-3.71,-3.65,-3.59,-3.52,-3.45,-3.37,-3.27,-3.14,-2.98,-2.79,-2.56,-2.32,-2.06,-1.8,-1.55,-1.32,-1.1,-0.88,-0.66,-0.43,-0.2,0.04,0.29,0.55,0.81,1.05,1.27,1.45,1.59,1.69,1.75,1.76,1.75,1.71,1.66,1.6,1.54,1.49,1.45,1.41,1.39,1.38,1.37,1.36,1.34,1.32,1.3,1.28,1.24,1.2,1.15,1.11,1.07,1.03,1.01,0.99,0.98,0.98,0.99,1.0,1.02,1.04,1.07,1.09,1.1,1.11,1.1,1.08,1.06,1.05,1.04,1.04,1.06,1.1,1.17,1.36,1.48,1.61,1.73,1.85,1.96,2.04,2.11,2.16,2.19,2.21,2.23,2.24,2.25,2.26,2.26,2.27,2.28,2.3,2.33,2.38,2.43,2.5,2.59,2.69,2.81,2.95,3.09,3.24,3.38,3.52,3.66,3.78,3.89,3.97,4.03,4.07,4.08,4.08,4.06,4.02,3.96,3.88,3.78,3.68,3.56,3.43,3.3,3.17,3.03,2.9,2.76,2.64,2.54,2.46,2.4,2.36,2.34,2.35,2.37,2.39,2.4,2.39,2.32,2.16,1.93,1.65,1.38,1.11,0.88,0.68,0.51,0.39,0.3,0.25,0.24,0.29</t>
  </si>
  <si>
    <t>To_Avoid_Formula,0.4,0.57,0.8,1.07,1.38,1.69,1.99,2.25,2.47,2.64,2.77,2.88,2.97,3.05,3.14,3.23,3.32,3.4,3.46,3.5,3.51,3.49,3.45,3.4,3.33,3.25,3.16,3.08,3.0,2.92,2.86,2.8,2.75,2.7,2.65,2.6,2.55,2.49,2.44,2.39,2.34,2.28,2.23,2.19,2.16,2.15,2.17,2.21,2.28,2.35,2.43,2.51,2.61,2.7,2.79,2.88,2.96,3.03,3.1,3.18,3.26,3.34,3.44,3.55,3.68,3.83,4.01,4.21,4.43,4.65,4.87,5.09,5.28,5.45,5.58,5.66,5.68,5.62,5.5,5.3,5.05,4.73,4.37,3.98,3.57,3.18,2.83,2.54,2.31,2.15,2.06,2.01,2.01,2.04,2.08,2.14,2.2,2.26,2.32,2.37,2.4,2.43,2.45,2.46,2.46,2.47,2.48,2.5,2.53,2.57,2.62,2.67,2.73,2.79,2.84,2.86,2.85,2.8,2.7,2.57,2.4,2.22,2.03,1.82,1.61,1.39,1.17,0.95,0.73,0.53,0.35,0.18,0.04,-0.06,-0.11,-0.13,-0.09,-0.01,0.11,0.27,0.46,0.65,0.82,0.96,1.06,1.11,1.12,1.11,1.08,1.04,1.0,0.96,0.92,0.9,0.89,0.88,0.87,0.85,0.84,0.83,0.82,0.82,0.83,0.85,0.88,0.92,0.97,1.02,1.07,1.12,1.19,1.29,1.42,1.56,1.67,1.73,1.72,1.66,1.58,1.5,1.48,1.5,1.59,1.73,1.9,2.1,2.31,2.51,2.68,2.82,2.91,2.94,2.93,2.89,2.83,2.78,2.74,2.72,2.73,2.77,2.85,2.96,3.09,3.25,3.45,3.68,3.93,4.19,4.43,4.62,4.75,4.8,4.78,4.7,4.56,4.38,4.18,3.97,3.76,3.55,3.35,3.16,2.95,2.75,2.53,2.29,2.04,1.78,1.52,1.26,1.01,0.77,0.56,0.38,0.23,0.1,-0.02,-0.11,-0.19,-0.25,-0.29,-0.3,-0.29,-0.25,-0.17,-0.07,0.04,0.17,0.3,0.43,0.55,0.67,0.78,0.88,0.97,1.06,1.15,1.25,1.34,1.44,1.54,1.64,1.72,1.79,1.85,1.87,1.86,1.79,1.65,1.43,1.14,0.78,0.39,-0.01,-0.38,-0.68,-0.91,-1.04,-1.07,-1.02,-0.89,-0.69,-0.43,-0.13,0.21,0.58,0.95,1.33,1.7,2.07,2.43,2.79,3.13,3.46,3.76,4.03,4.26,4.45,4.59,4.68,4.71,4.68,4.61,4.49,4.35,4.2,4.04,3.89,3.75,3.62,3.51,3.41,3.31,3.21,3.11,2.99,2.87,2.74,2.6,2.45,2.29,2.13,1.96,1.79,1.62,1.45,1.29,1.14,1.02,0.91,0.83,0.78,0.75,0.73,0.73,0.74,0.75,0.75,0.76,0.77,0.77,0.76,0.75,0.73,0.68,0.62,0.54,0.44,0.33,0.2,</t>
  </si>
  <si>
    <t>To_Avoid_Formula-1.36,-1.27,-1.16,-1.0,-0.75,-0.52,-0.34,-0.17,0.0,0.18,0.34,0.46,0.45,0.34,0.26,0.24,0.21,0.15,0.1,0.05,-0.06,-0.1,-0.09,-0.12,-0.15,-0.13,-0.08,-0.05,-0.01,0.01,-0.03,-0.08,-0.14,-0.26,-0.41,-0.52,-0.65,-0.74,-0.73,-0.72,-0.77,-0.79,-0.7,-0.64,-0.63,-0.59,-0.55,-0.48,-0.39,-0.36,-0.4,-0.4,-0.33,-0.3,-0.29,-0.24,-0.21,-0.23,-0.24,-0.19,-0.14,-0.1,-0.03,-0.01,-0.03,0.0,0.12,0.2,0.18,0.15,0.09,0.02,-0.04,-0.06,-0.07,-0.07,-0.1,-0.15,-0.16,-0.12,-0.07,0.01,0.1,0.16,0.17,0.18,0.22,0.22,0.2,0.19,0.15,0.09,0.08,0.07,-0.01,-0.11,-0.14,-0.13,-0.15,-0.15,-0.14,-0.14,-0.13,-0.06,0.07,0.2,0.29,0.37,0.44,0.54,0.63,0.66,0.69,0.79,0.83,0.77,0.7,0.69,0.7,0.72,0.78,0.82,0.83,0.85,0.93,1.02,1.05,0.91,0.72,0.6,0.53,0.44,0.29,0.16,0.0,-0.15,-0.25,-0.32,-0.44,-0.55,-0.55,-0.5,-0.47,-0.44,-0.43,-0.53,-0.59,-0.51,-0.31,-0.13,-0.02,0.08,0.18,0.35,0.55,0.71,0.8,0.87,0.93,0.91,0.86,0.8,0.72,0.64,0.61,0.56,0.49,0.5,0.58,0.61,0.57,0.5,0.4,0.28,0.14,-0.09,-0.39,-0.62,-0.71,-0.74,-0.76,-0.75,-0.73,-0.65,-0.47,-0.32,-0.26,-0.24,-0.22,-0.24,-0.29,-0.39,-0.49,-0.54,-0.52,-0.46,-0.45,-0.45,-0.42,-0.38,-0.38,-0.4,-0.52,-0.72,-0.94,-1.19,-1.55,-1.84,-2.01,-2.09,-1.93,-1.47,-0.73,-0.01,0.45,0.73,1.03,1.39,1.69,1.78,1.78,1.81,1.84,1.78,1.69,1.56,1.39,1.18,1.09,1.03,0.88,0.7,0.56,0.51,0.47,0.41,0.32,0.32,0.42,0.47,0.36,0.26,0.2,0.13,0.02,-0.09,-0.13,-0.13,-0.09,-0.07,-0.09,-0.1,-0.03,0.06,0.1,0.13,0.16,0.16,0.12,0.07,-0.03,-0.17,-0.27,-0.36,-0.49,-0.6,-0.64,-0.68,-0.74,-0.72,-0.68,-0.68,-0.68,-0.63,-0.53,-0.42,-0.36,-0.38,-0.41,-0.41,-0.39,-0.36,-0.32,-0.25,-0.16,-0.05,0.03,0.04,0.04,0.09,0.15,0.18,0.22,0.2,0.1,-0.03,-0.08,-0.13,-0.24,-0.36,-0.44,-0.5,-0.51,-0.46,-0.43,-0.41,-0.34,-0.25,-0.15,-0.06,0.0,-0.01,0.02,0.09,0.13,0.16,0.16,0.11,0.01,-0.1,-0.2,-0.3,-0.35,-0.35,-0.38,-0.46,-0.51,-0.53,-0.55,-0.52,-0.45,-0.43,-0.44,-0.38,-0.25,-0.17,-0.17,-0.22,-0.32,-0.42,-0.46,-0.41,-0.35,-0.3,-0.33,-0.4,-0.39,-0.34,-0.35,-0.41,-0.46,-0.55,-0.7,-0.89,-1.0,-1.04,-1.03,-1.02,-1.01,-0.98,-0.88,-0.73,-0.6,-0.48,-0.32,-0.17,-0.03,0.07,0.08,0.06,0.1,0.15,0.15,0.12,0.09,0.04,-0.02,-0.07,-0.09,-0.11,-0.13,-0.11,-0.09,-0.08,-0.09,-0.11,-0.1,-0.03,0.05,0.09,0.12,0.21,0.31,0.36,0.43,0.59,0.77,0.92,1.09,1.29,1.5,1.72,1.88,1.96,2.02,2.14,2.26,2.35,2.35,2.25,2.16,2.13,2.06,1.93,1.82,1.72,1.62,1.55,1.56,1.59,1.62,1.7,1.79,1.77,1.7,1.73,1.77,1.73,1.66,1.62,1.53,1.38,1.26,1.15,1.0,0.8,0.6,0.42,0.23,0.05,-0.11,-0.29,-0.45,-0.58,-0.68,-0.75,-0.78,-0.79,-0.78,-0.76,-0.79,-0.87,-0.92,-0.97,-1.02,-1.11,-1.24,-1.34,-1.37,-1.37,-1.4,-1.43,-1.4,-1.35,-1.39,-1.45,-1.45,-1.42,-1.39,-1.35,-1.34,-1.38,-1.38,-1.3,-1.23,-1.19,-1.14,-1.04,-0.9,-0.77,-0.67,-0.55,-0.39,-0.27,-0.21,-0.14,-0.08,-0.08,-0.15,-0.18,-0.2,-0.28,-0.4,-0.48,-0.53,-0.56,-0.54,-0.51,-0.48,-0.38,-0.23,-0.11,-0.16,-0.21,-0.17,-0.08,-0.01,-0.01,-0.11,-0.28,-0.37,-0.42,-0.46,-0.48,-0.42,-0.27,-0.13,-0.03,0.03,0.08,0.13,0.14,0.1,0.08,0.09,0.17,0.28,0.34,0.26,0.21,0.29,0.32,0.25,0.18,0.2,0.17,0.09,0.0,-0.04,-0.03,0.05,0.16,0.23,0.3,0.29,0.21,0.11,0.09,0.06,-0.04,-0.11,-0.14,-0.15,-0.14,-0.08,-0.04,-0.05,-0.03,0.01,0.06,0.13,0.17,0.13,0.05,0.06,0.12,0.1,0.04,0.04,0.08,0.14,0.2,0.2,0.15,0.14,0.13,0.06,-0.02,-0.05,-0.09,-0.09,0.01,0.18,0.3,0.32,0.36,0.42,0.46,0.5,0.6,0.73,0.79,0.71,0.59,0.55,0.6,0.64,0.62,0.59,0.55,0.46,0.33,0.15,-0.02,-0.17,-0.22,-0.26,-0.33,-0.37,-0.43,-0.51,-0.52,-0.52,-0.63,-0.72,-0.59,-0.36,-0.34,-0.43,-0.42,-0.32,-0.23,-0.13,-0.01,0.08,0.16,0.27,0.33,0.29,0.28,0.25,0.19,0.11,0.04,0.01,0.02,0.0,-0.08,-0.15,-0.19,-0.25,-0.33,-0.38,-0.4,-0.4,-0.41,-0.47,-0.53,-0.51,-0.44,-0.37,-0.31,-0.27,-0.29,-0.35,-0.31,-0.2,-0.12,-0.09,-0.08,-0.01,0.06,0.01,-0.24,-0.57,-0.72,-0.72,-0.83,-0.99,-1.09,-1.13,-1.06,-0.86,-0.68,-0.54,-0.25,0.12,0.38,0.37,0.4,0.55,0.71,0.77,0.63,0.37,0.27,0.29,0.26,0.21,0.1,-0.02,-0.13,-0.24,-0.39,-0.54,-0.64,-0.72,-0.87,-1.02,-1.05,-0.99,-0.88,-0.69,-0.42,-0.28,-0.23,-0.1,0.12,0.27,0.17,-0.02,-0.1,-0.06,0.02,0.07,0.11,0.19,0.27</t>
  </si>
  <si>
    <t>To_Avoid_Formula,0.36,0.5,0.55,0.45,0.4,0.52,0.65,0.72,0.73,0.78,0.88,0.97,1.0,0.96,0.96,1.04,1.11,1.07,1.03,1.0,0.93,0.85,0.79,0.75,0.72,0.74,0.8,0.84,0.9,1.02,1.18,1.35,1.45,1.42,1.34,1.36,1.4,1.36,1.3,1.3,1.31,1.27,1.2,1.11,1.0,0.92,0.82,0.63,0.47,0.42,0.4,0.37,0.35,0.35,0.3,0.25,0.17,-0.04,-0.31,-0.51,-0.58,-0.63,-0.7,-0.73,-0.72,-0.62,-0.5,-0.38,-0.26,-0.11,0.03,0.08,0.12,0.15,0.17,0.17,0.19,0.16,0.13,0.2,0.3,0.32,0.25,0.19,0.18,0.21,0.22,0.16,0.06,0.06,0.11,-0.01,-0.3,-0.59,-0.8,-0.95,-1.14,-1.37,-1.59,-1.69,-1.67,-1.58,-1.48,-1.37,-1.18,-0.92,-0.63,-0.39,-0.23,-0.17,-0.14,-0.15,-0.24,-0.4,-0.55,-0.64,-0.66,-0.69,-0.75,-0.71,-0.63,-0.65,-0.72,-0.72,-0.77,-0.85,-0.95,-0.94,-0.93,-0.85,-0.63,-0.41,-0.22,0.05,0.32,0.5,0.65,0.73,0.72,0.64,0.56,0.45,0.23,-0.02,-0.22,-0.42,-0.65,-0.85,-0.97,-1.03,-1.12,-1.3,-1.47,-1.5,-1.39,-1.27,-1.21,-1.22,-1.22,-1.18,-1.02,-0.71,-0.31,0.05,0.32,0.6,0.85,0.94,0.76,0.45,0.28,0.25,0.17,0.03,0.0,0.16,0.4,0.59,0.84,1.19,1.52,1.53,1.38,1.32,1.4,1.48,1.42,1.33,1.29,1.26,1.14,1.03,0.95,0.86,0.8,0.78,0.73,0.71,0.72,0.73,0.71,0.72,0.68,0.55,0.47,0.54,0.53,0.35,0.16,0.12,0.17,0.18,0.14,0.14,0.18,0.14,0.0,-0.13,-0.11,-0.03,0.03,0.07,0.12,0.16,0.19,0.2,0.12,-0.03,-0.19,-0.3,-0.37,-0.48,-0.65,-0.84,-0.97,-1.07,-1.15,-1.22,-1.19,-1.11,-1.08,-1.13,-1.14,-1.08,-1.0,-0.97,-1.04,-1.14,-1.09,-0.95,-0.88,-0.82,-0.7,-0.41,-0.05,0.28,0.45,0.41,0.28,0.25,0.19,0.01,-0.18,-0.34,-0.49,-0.7,-0.92,-1.13,-1.3,-1.35,-1.3,-1.33,-1.4,-1.31,-1.1,-0.87,-0.73,-0.7,-0.65,-0.48,-0.25,-0.1,-0.07,-0.1,-0.13,-0.13,-0.13,-0.17,-0.24,-0.27,-0.27,-0.32,-0.37,-0.36,-0.33,-0.33,-0.31,-0.29,-0.32,-0.35,-0.35,-0.37,-0.38,-0.29,-0.15,-0.09,-0.09,-0.03,0.15,0.34,0.45,0.47,0.48,0.57,0.69,0.69,0.63,0.61,0.63,0.72,0.79,0.76,0.72,0.81,0.96,1.03,1.03,1.04,1.09,1.17,1.24,1.23,1.15,1.12,1.14,1.08,0.91,</t>
  </si>
  <si>
    <t>To_Avoid_Formula0.68,0.65,0.62,0.61,0.66,0.72,0.75,0.82,0.92,1.02,1.1,1.17,1.19,1.13,1.08,1.09,1.09,1.08,1.08,1.08,1.01,0.97,0.97,0.9,0.78,0.66,0.54,0.38,0.26,0.18,0.11,0.06,0.02,-0.05,-0.1,-0.1,-0.13,-0.15,-0.1,-0.04,-0.03,0.0,0.08,0.09,0.02,-0.03,-0.09,-0.14,-0.17,-0.22,-0.36,-0.48,-0.5,-0.5,-0.51,-0.5,-0.5,-0.55,-0.6,-0.61,-0.63,-0.66,-0.66,-0.66,-0.72,-0.76,-0.72,-0.7,-0.72,-0.76,-0.82,-0.9,-0.96,-0.98,-1.01,-1.07,-1.15,-1.24,-1.3,-1.32,-1.35,-1.4,-1.46,-1.53,-1.63,-1.73,-1.79,-1.85,-1.9,-1.92,-1.95,-2.02,-2.06,-2.08,-2.11,-2.16,-2.15,-2.1,-2.08,-2.07,-2.03,-2.0,-1.97,-1.9,-1.81,-1.75,-1.72,-1.68,-1.65,-1.59,-1.54,-1.51,-1.46,-1.33,-1.23,-1.23,-1.26,-1.23,-1.19,-1.16,-1.1,-1.06,-1.03,-0.98,-0.89,-0.8,-0.75,-0.78,-0.83,-0.84,-0.82,-0.81,-0.83,-0.84,-0.88,-0.94,-0.99,-1.03,-1.12,-1.22,-1.25,-1.25,-1.27,-1.24,-1.21,-1.24,-1.25,-1.16,-1.0,-0.89,-0.81,-0.73,-0.64,-0.54,-0.43,-0.37,-0.35,-0.3,-0.23,-0.18,-0.15,-0.12,-0.12,-0.14,-0.1,-0.06,-0.04,0.03,0.15,0.21,0.22,0.26,0.32,0.36,0.38,0.35,0.28,0.25,0.28,0.3,0.29,0.27,0.26,0.27,0.31,0.34,0.34,0.34,0.38,0.39,0.36,0.31,0.27,0.24,0.25,0.28,0.27,0.26,0.29,0.28,0.23,0.21,0.18,0.12,0.07,0.02,-0.04,-0.11,-0.14,-0.18,-0.19,-0.05,0.24,0.5,0.56,0.49,0.44,0.46,0.49,0.46,0.47,0.61,0.81,0.98,1.14,1.31,1.47,1.59,1.7,1.78,1.79,1.74,1.68,1.63,1.57,1.51,1.46,1.44,1.47,1.45,1.32,1.2,1.13,1.07,0.98,0.9,0.87,0.87,0.92,0.97,0.99,1.03,1.13,1.24,1.3,1.36,1.44,1.5,1.52,1.54,1.52,1.46,1.42,1.4,1.35,1.32,1.34,1.34,1.3,1.3,1.31,1.3,1.3,1.33,1.35,1.39,1.42,1.41,1.37,1.32,1.31,1.32,1.35,1.37,1.35,1.31,1.26,1.19,1.11,1.06,1.02,0.98,0.95,0.92,0.84,0.73,0.67,0.6,0.48,0.37,0.3,0.25,0.23,0.24,0.22,0.17,0.17,0.19,0.18,0.14,0.08,0.02,-0.02,-0.01,0.0,0.01,0.02,0.01,-0.06,-0.13,-0.19,-0.25,-0.29,-0.31,-0.35,-0.4,-0.42,-0.44,-0.48,-0.52,-0.53,-0.57,-0.63,-0.63,-0.57,-0.53,-0.53,-0.55,-0.62,-0.69,-0.7,-0.67,-0.65,-0.66,-0.72,-0.79,-0.82,-0.79,-0.82,-0.89,-0.95,-0.98,-1.04,-1.13,-1.2,-1.26,-1.29,-1.33,-1.41,-1.5,-1.57,-1.62,-1.69,-1.77,-1.84,-1.88,-1.9,-1.9,-1.93,-1.95,-1.9,-1.84,-1.81,-1.78,-1.75,-1.73,-1.75,-1.79,-1.83,-1.87,-1.9,-1.89,-1.88,-1.88,-1.87,-1.85,-1.8,-1.7,-1.59,-1.5,-1.42,-1.29,-1.15,-1.09,-1.03,-0.92,-0.79,-0.71,-0.65,-0.57,-0.48,-0.39,-0.35,-0.4,-0.47,-0.48,-0.43,-0.38,-0.36,-0.36,-0.32,-0.21,-0.14,-0.11,-0.07,0.0,0.07,0.17,0.32,0.49,0.66,0.86,1.07,1.17,1.18,1.24,1.33,1.39,1.41,1.45,1.47,1.46,1.47,1.5,1.52,1.51,1.51,1.49,1.41,1.32,1.25,1.16,1.07,1.0,0.95,0.94,0.96,1.02,1.1,1.17,1.19,1.19,1.2,1.22,1.23,1.23,1.23,1.24,1.26,1.3,1.32,1.33,1.38,1.42,1.38,1.32,1.33,1.35,1.34,1.32,1.31,1.28,1.26,1.29,1.32,1.32,1.31,1.31,1.3,1.26,1.21,1.18,1.18,1.16,1.11,1.08,1.09,1.08,1.07,1.11,1.16,1.15,1.09,1.04,0.98,0.91,0.87,0.81,0.71,0.64,0.62,0.59,0.49,0.42,0.44,0.53,0.64,0.75,0.82,0.86,0.95,1.05,1.06,1.04,1.06,1.14,1.2,1.19,1.13,1.04,0.96,0.84,0.67,0.48,0.32,0.21,0.12,0.04,-0.09,-0.16,-0.11,-0.03,0.03,0.09,0.21,0.26,0.26,0.25,0.24,0.26,0.3,0.39,0.45,0.51,0.56,0.57,0.54,0.59,0.64,0.64,0.63,0.64,0.65,0.66,0.71,0.76,0.75,0.73,0.72,0.71,0.7,0.68,0.61,0.51,0.47,0.47,0.43,0.37,0.34,0.32,0.31,0.29,0.23,0.15,0.11,0.07,-0.02,-0.14,-0.23,-0.3,-0.35,-0.34,-0.3,-0.31,-0.35,-0.34,-0.33,-0.36,-0.39,-0.34,-0.26,-0.23,-0.31,-0.43,-0.49,-0.44,-0.35,-0.27,-0.23,-0.22,-0.24,-0.28,-0.33,-0.38,-0.39,-0.36,-0.36,-0.39,-0.36,-0.35,-0.4,-0.43,-0.44,-0.54,-0.66,-0.64,-0.56,-0.58,-0.65,-0.63,-0.57,-0.58,-0.61,-0.61,-0.61,-0.61,-0.57,-0.55,-0.62,-0.6,-0.58,-0.61,-0.63,-0.62,-0.59,-0.57,-0.56,-0.56,-0.55,-0.51,-0.5,-0.54,-0.56,-0.55,-0.53,-0.54,-0.6,-0.7,-0.77,-0.82,-0.94,-1.12,-1.32,-1.55,-1.81,-2.04,-2.24,-2.42,-2.6,-2.78,-2.95,-3.09,-3.23,-3.46,-3.69,-3.77,-3.7,-3.65,-3.56,-3.39,-3.21,-2.99,-2.69,-2.4,-2.16,-1.85,-1.49,-1.18,-1.02,-0.83,-0.62,-0.42,-0.29,-0.27,-0.37,-0.42,-0.43,-0.5,-0.58,-0.7,-0.83,-0.97,-1.06,-1.14,-1.22,-1.25,-1.24,-1.26,-1.3,-1.25,-1.16,-1.1,-0.99,-0.79,-0.68,-0.65,-0.58,-0.45,-0.33,-0.33,-0.37,-0.38,-0.34,-0.26,-0.18,-0.09,0.0,0.07,0.14,0.25,0.3,0.24,0.19,0.2</t>
  </si>
  <si>
    <t>To_Avoid_Formula7,0.37,0.42,0.44,0.5,0.59,0.66,0.69,0.69,0.69,0.77,0.85,0.88,0.91,0.95,0.97,0.98,1.01,1.06,1.1,1.17,1.26,1.3,1.34,1.43,1.56,1.68,1.75,1.75,1.7,1.71,1.76,1.78,1.8,1.86,1.95,2.02,2.07,2.09,2.09,2.11,2.07,1.95,1.83,1.79,1.77,1.76,1.78,1.88,1.95,2.02,2.12,2.14,2.11,2.11,2.17,2.23,2.26,2.27,2.3,2.37,2.46,2.5,2.53,2.63,2.75,2.84,2.92,3.0,3.04,3.06,3.13,3.17,3.18,3.23,3.3,3.29,3.21,3.1,3.02,2.96,2.92,2.83,2.71,2.65,2.63,2.53,2.33,2.15,2.01,1.9,1.76,1.59,1.38,1.22,1.11,1.03,0.9,0.74,0.58,0.44,0.32,0.15,-0.08,-0.32,-0.51,-0.72,-0.94,-1.15,-1.23,-1.23,-1.14,-1.04,-0.94,-0.7,-0.31,0.0,0.25,0.57,0.84,1.09,1.27,1.47,1.59,1.66,1.75,1.83,1.8,1.79,1.77,1.68,1.58,1.45,1.26,1.04,0.88,0.72,0.48,0.18,-0.08,-0.29,-0.49,-0.69,-0.86,-0.95,-1.04,-1.19,-1.35,-1.47,-1.59,-1.81,-2.17,-2.6,-3.07,-3.53,-3.89,-4.08,-4.13,-4.09,-3.99,-3.78,-3.47,-3.13,-2.79,-2.44,-2.06,-1.72,-1.51,-1.35,-1.07,-0.66,-0.27,0.03,0.36,0.73,1.07,1.21,1.26,1.34,1.48,1.67,1.81,1.94,2.07,2.19,2.25,2.29,2.31,2.31,2.31,2.32,2.27,2.17,2.1,2.01,1.89,1.77,1.61,1.38,1.21,1.15,1.04,0.81,0.61,0.5,0.46,0.39,0.31,0.27,0.26,0.24,0.15,0.03,0.01,0.07,0.14,0.19,0.23,0.24,0.21,0.17,0.12,0.04,-0.04,-0.1,-0.14,-0.15,-0.18,-0.25,-0.33,-0.39,-0.46,-0.57,-0.65,-0.71,-0.77,-0.85,-0.89,-0.92,-0.97,-1.06,-1.19,-1.31,-1.37,-1.42,-1.54,-1.69,-1.83,-1.88,-1.92,-1.98,-2.13,-2.44,-2.77,-2.98,-3.04,-3.03,-2.97,-2.81,-2.63,-2.44,-2.26,-2.12,-2.01,-1.9,-1.74,-1.64,-1.6,-1.56,-1.51,-1.49,-1.51,-1.56,-1.58,-1.54,-1.49,-1.47,-1.5,-1.58,-1.68,-1.77,-1.85,-1.95,-2.1,-2.27,-2.39,-2.47,-2.53,-2.54,-2.55,-2.6,-2.64,-2.66,-2.71,-2.77,-2.84,-2.9,-2.97,-2.96,-2.89,-2.89,-2.92,-2.89,-2.8,-2.72,-2.68,-2.66,-2.64,-2.58,-2.51,-2.5,-2.5,-2.45,-2.36,-2.25,-2.14,-2.07,-2.0,-1.85,-1.67,-1.58,-1.57,-1.55,-1.5,-1.46,-1.43,-1.44,-1.47,-1.46,-1.39,-1.37,-1.41,</t>
  </si>
  <si>
    <t>To_Avoid_Formula-0.97,-1.0,-1.04,-1.1,-1.13,-1.14,-1.13,-1.07,-0.94,-0.83,-0.76,-0.68,-0.58,-0.54,-0.5,-0.41,-0.31,-0.21,-0.1,0.0,0.03,0.05,0.09,0.05,-0.09,-0.27,-0.48,-0.73,-0.92,-0.96,-0.95,-0.89,-0.8,-0.69,-0.54,-0.3,-0.11,0.05,0.26,0.47,0.64,0.79,0.94,0.96,0.89,0.82,0.73,0.63,0.56,0.49,0.33,0.19,0.17,0.23,0.27,0.33,0.37,0.36,0.35,0.35,0.32,0.29,0.31,0.34,0.3,0.25,0.26,0.29,0.31,0.32,0.3,0.26,0.25,0.28,0.29,0.23,0.15,0.08,0.05,0.03,-0.02,-0.15,-0.29,-0.41,-0.55,-0.68,-0.76,-0.81,-0.8,-0.74,-0.69,-0.7,-0.69,-0.62,-0.53,-0.45,-0.33,-0.17,-0.05,0.04,0.15,0.25,0.35,0.45,0.51,0.51,0.49,0.48,0.48,0.47,0.47,0.47,0.51,0.63,0.74,0.74,0.71,0.72,0.73,0.72,0.7,0.68,0.65,0.65,0.68,0.69,0.66,0.64,0.65,0.67,0.69,0.72,0.74,0.77,0.78,0.75,0.7,0.63,0.51,0.39,0.29,0.21,0.12,0.1,0.13,0.14,0.16,0.24,0.32,0.32,0.29,0.29,0.3,0.27,0.2,0.07,-0.05,-0.11,-0.12,-0.11,-0.09,-0.06,-0.08,-0.13,-0.11,-0.06,-0.04,0.02,0.07,0.08,0.03,0.08,0.2,0.3,0.4,0.48,0.56,0.64,0.73,0.73,0.65,0.55,0.45,0.34,0.2,0.05,-0.08,-0.14,-0.14,-0.15,-0.19,-0.22,-0.24,-0.27,-0.3,-0.32,-0.36,-0.39,-0.38,-0.45,-0.55,-0.59,-0.52,-0.43,-0.31,-0.13,0.12,0.32,0.46,0.5,0.37,0.24,0.1,-0.12,-0.46,-0.9,-1.33,-1.65,-1.9,-2.04,-2.02,-1.78,-1.44,-1.08,-0.73,-0.33,0.09,0.45,0.67,0.79,0.85,0.83,0.76,0.64,0.49,0.37,0.3,0.21,0.12,-0.02,-0.2,-0.37,-0.46,-0.51,-0.58,-0.62,-0.62,-0.6,-0.53,-0.44,-0.36,-0.26,-0.13,0.0,0.06,0.13,0.24,0.34,0.4,0.45,0.48,0.47,0.48,0.51,0.54,0.59,0.65,0.69,0.68,0.66,0.64,0.63,0.62,0.62,0.58,0.54,0.54,0.54,0.48,0.39,0.36,0.36,0.38,0.34,0.21,0.04,-0.13,-0.27,-0.41,-0.53,-0.63,-0.71,-0.76,-0.77,-0.79,-0.82,-0.84,-0.85,-0.92,-0.95,-0.92,-0.86,-0.8,-0.73,-0.73,-0.76,-0.74,-0.72,-0.74,-0.83,-0.92,-0.97,-0.98,-0.94,-0.88,-0.81,-0.71,-0.62,-0.57,-0.54,-0.48,-0.4,-0.34,-0.3,-0.26,-0.21,-0.12,-0.04,-0.03,-0.05,-0.06,-0.08,-0.1,-0.08,-0.02,0.05,0.12,0.18,0.22,0.24,0.31,0.4,0.43,0.41,0.38,0.35,0.36,0.41,0.43,0.39,0.39,0.47,0.56,0.62,0.65,0.66,0.66,0.63,0.55,0.41,0.26,0.09,-0.11,-0.31,-0.51,-0.66,-0.73,-0.74,-0.73,-0.68,-0.54,-0.39,-0.27,-0.14,0.01,0.14,0.2,0.2,0.19,0.18,0.18,0.22,0.25,0.27,0.33,0.42,0.53,0.67,0.81,0.94,1.05,1.2,1.32,1.34,1.32,1.32,1.32,1.23,1.1,0.96,0.81,0.65,0.46,0.18,-0.15,-0.38,-0.51,-0.59,-0.66,-0.68,-0.61,-0.47,-0.37,-0.3,-0.22,-0.1,0.02,0.16,0.31,0.47,0.62,0.77,0.92,0.94,0.83,0.72,0.68,0.64,0.57,0.49,0.43,0.38,0.35,0.35,0.37,0.4,0.44,0.43,0.32,0.2,0.11,0.01,-0.1,-0.18,-0.24,-0.26,-0.23,-0.15,-0.06,0.0,0.01,0.02,0.05,0.09,0.11,0.16,0.25,0.32,0.36,0.41,0.45,0.47,0.49,0.49,0.43,0.36,0.35,0.35,0.29,0.21,0.18,0.15,0.1,0.1,0.1,0.08,0.01,-0.09,-0.23,-0.41,-0.59,-0.74,-0.88,-1.0,-1.12,-1.21,-1.22,-1.18,-1.08,-0.93,-0.77,-0.67,-0.63,-0.61,-0.61,-0.65,-0.7,-0.78,-0.93,-1.09,-1.19,-1.29,-1.36,-1.34,-1.24,-1.06,-0.83,-0.55,-0.25,0.06,0.38,0.65,0.74,0.74,0.76,0.8,0.79,0.68,0.51,0.3,0.12,-0.1,-0.35,-0.63,-0.89,-1.12,-1.29,-1.43,-1.5,-1.48,-1.34,-1.1,-0.83,-0.55,-0.27,-0.07,0.06,0.18,0.26,0.33,0.39,0.48,0.55,0.63,0.74,0.85,0.91,1.02,1.15,1.24,1.31,1.34,1.35,1.35,1.39,1.42,1.39,1.31,1.23,1.13,1.02,0.91,0.79,0.67,0.58,0.52,0.46,0.39,0.34,0.27,0.19,0.1,0.0,-0.1,-0.15,-0.2,-0.28,-0.41,-0.51,-0.57,-0.61,-0.64,-0.69,-0.77,-0.84,-0.82,-0.82,-0.88,-0.92,-0.89,-0.83,-0.82,-0.87,-0.95,-0.99,-0.92,-0.73,-0.53,-0.41,-0.35,-0.29,-0.23,-0.14,-0.03,0.11,0.23,0.28,0.32,0.42,0.52,0.5,0.46,0.46,0.4,0.28,0.2,0.18,0.13,0.1,0.15,0.19,0.12,-0.03,-0.14,-0.21,-0.27,-0.29,-0.31,-0.38,-0.31,-0.25,-0.24,-0.18,-0.08,0.01,0.05,0.09,0.16,0.26,0.38,0.44,0.45,0.46,0.5,0.53,0.52,0.44,0.31,0.18,0.01,-0.26,-0.65,-1.03,-1.39,-1.76,-2.15,-2.52,-2.84,-3.06,-3.27,-3.49,-3.64,-3.69,-3.68,-3.59,-3.37,-2.98,-2.56,-2.03,-1.41,-0.84,-0.33,0.17,0.65,1.05,1.41,1.73,2.05,2.31,2.57,2.75,2.85,2.93,2.96,2.88,2.76,2.6,2.38,2.16,1.95,1.71,1.49,1.35,1.28,1.23,1.24,1.3,1.39,1.42,1.51,1.6,1.57,1.55,1.6,1.61,1.54,1.47,1.42,1.41,1.4,1.41,1.37,1.31,1.28,1.3,1.34,1.32,1.26,1.19,1.14,1.06,0.91,0.75,0.67,0.62,0.54,0.45,0.4,0.35,0.27,0.18,0.08,-0.02,-0.08,-0.09,-0.13,-0.15,</t>
  </si>
  <si>
    <t>To_Avoid_Formula-0.15,-0.16,-0.18,-0.17,-0.14,-0.14,-0.13,-0.13,-0.19,-0.29,-0.35,-0.38,-0.43,-0.51,-0.62,-0.76,-0.87,-0.91,-0.93,-0.95,-0.93,-0.87,-0.79,-0.74,-0.72,-0.7,-0.7,-0.75,-0.89,-1.04,-1.12,-1.17,-1.2,-1.18,-1.03,-0.89,-0.73,-0.51,-0.3,-0.15,0.0,0.15,0.28,0.37,0.39,0.39,0.39,0.39,0.31,0.21,0.19,0.25,0.32,0.37,0.42,0.41,0.39,0.43,0.48,0.45,0.4,0.37,0.28,0.11,-0.1,-0.29,-0.45,-0.58,-0.7,-0.84,-0.96,-1.02,-1.08,-1.14,-1.17,-1.16,-1.15,-1.13,-1.14,-1.21,-1.3,-1.38,-1.49,-1.67,-1.93,-2.26,-2.59,-2.92,-3.28,-3.68,-3.97,-4.13,-4.25,-4.31,-4.28,-4.0,-3.61,-3.12,-2.62,-2.1,-1.44,-0.55,0.25,0.95,1.67,2.33,2.93,3.4,3.79,3.99,4.02,3.93,3.8,3.49,3.15,2.79,2.38,1.99,1.6,1.21,0.86,0.63,0.44,0.23,-0.06,-0.29,-0.41,-0.46,-0.54,-0.6,-0.59,-0.51,-0.47,-0.46,-0.49,-0.65,-1.04,-1.61,-2.23,-2.89,-3.55,-4.09,-4.44,-4.59,-4.54,-4.3,-3.85,-3.23,-2.41,-1.38,-0.21,0.8,1.56,2.09,2.56,3.13,3.74,4.19,4.48,4.72,4.92,5.04,5.08,5.09,5.05,4.99,5.02,5.08,5.14,5.15,5.13,5.06,4.94,4.77,4.55,4.32,4.08,3.75,3.33,2.91,2.49,2.05,1.6,1.13,0.64,0.26,-0.05,-0.38,-0.74,-1.03,-1.25,-1.44,-1.62,-1.75,-1.85,-1.91,-1.93,-1.98,-2.07,-2.11,-2.06,-1.97,-1.9,-1.85,-1.87,-1.96,-2.03,-2.05,-2.03,-1.99,-1.96,-1.92,-1.79,-1.64,-1.53,-1.48,-1.43,-1.42,-1.49,-1.6,-1.69,-1.73,-1.73,-1.7,-1.7,-1.78,-1.87,-1.92,-1.94,-1.96,-2.05,-2.21,-2.43,-2.64,-2.87,-3.12,-3.39,-3.7,-4.06,-4.39,-4.53,-4.33,-3.9,-3.35,-2.65,-1.94,-1.19,-0.46,0.18,0.67,1.05,1.39,1.7,1.9,1.95,1.88,1.72,1.58,1.49,1.43,1.37,1.28,1.19,1.1,1.01,0.87,0.72,0.6,0.49,0.31,0.07,-0.09,-0.14,-0.12,-0.06,-0.02,-0.05,-0.07,-0.05,-0.04,-0.07,-0.11,-0.14,-0.18,-0.16,-0.1,-0.08,-0.07,-0.02,0.03,0.04,0.06,0.1,0.16,0.21,0.23,0.24,0.31,0.43,0.56,0.67,0.79,0.91,1.03,1.19,1.32,1.34,1.26,1.19,1.14,1.05,0.93,0.82,0.74,0.7,0.71,0.7,0.7,</t>
  </si>
  <si>
    <t>To_Avoid_Formula1.18,1.14,1.09,1.09,1.23,1.42,1.65,1.95,2.29,2.66,3.03,3.36,3.52,3.62,3.7,3.7,3.59,3.4,3.1,2.72,2.36,2.11,1.94,1.85,1.85,1.91,2.1,2.47,2.89,3.13,3.25,3.34,3.43,3.45,3.37,3.2,2.97,2.77,2.55,2.19,1.69,1.14,0.62,0.23,0.03,-0.05,-0.02,0.1,0.3,0.56,0.91,1.31,1.59,1.75,1.92,2.15,2.35,2.45,2.47,2.5,2.53,2.52,2.43,2.31,2.25,2.24,2.22,2.21,2.22,2.22,2.21,2.2,2.18,2.11,2.05,2.04,2.01,1.99,2.0,2.04,2.06,2.17,2.37,2.62,2.89,3.15,3.4,3.63,3.8,3.87,3.85,3.88,3.97,3.99,3.89,3.7,3.4,3.06,2.74,2.46,2.19,1.89,1.64,1.52,1.57,1.68,1.76,1.78,1.87,2.09,2.33,2.5,2.65,2.78,2.85,2.89,2.99,3.11,3.19,3.2,3.2,3.19,3.18,3.17,3.15,3.17,3.24,3.16,2.99,2.93,2.9,2.82,2.66,2.47,2.21,1.94,1.73,1.59,1.45,1.3,1.19,1.14,1.25,1.41,1.43,1.34,1.28,1.36,1.57,1.89,2.15,2.29,2.42,2.67,2.98,3.27,3.45,3.6,3.74,3.87,4.04,4.19,4.29,4.29,4.2,4.07,4.01,3.97,3.88,3.7,3.47,3.16,2.79,2.46,2.19,1.86,1.44,1.02,0.69,0.51,0.46,0.46,0.43,0.44,0.56,0.7,0.89,1.1,1.26,1.43,1.69,2.01,2.26,2.46,2.61,2.7,2.71,2.69,2.57,2.42,2.26,2.1,1.83,1.48,1.09,0.57,-0.12,-0.73,-1.28,-1.71,-1.79,-1.5,-0.86,-0.08,0.56,1.18,1.98,3.0,4.09,4.99,5.8,6.65,7.34,7.77,7.98,7.67,6.92,5.81,4.77,3.9,3.0,2.04,1.14,0.46,0.08,-0.12,-0.19,-0.05,0.33,0.78,1.27,1.86,2.44,2.77,2.94,3.15,3.36,3.5,3.49,3.39,3.31,3.27,3.16,2.97,2.78,2.67,2.5,2.33,2.19,2.11,1.98,1.8,1.63,1.44,1.23,1.05,0.91,0.76,0.6,0.49,0.43,0.37,0.33,0.34,0.43,0.6,0.69,0.69,0.76,0.95,1.12,1.22,1.31,1.46,1.66,1.92,2.21,2.46,2.65,2.8,2.92,3.1,3.35,3.47,3.47,3.46,3.54,3.64,3.62,3.46,3.16,2.86,2.67,2.54,2.41,2.3,2.24,2.21,2.33,2.6,2.87,3.01,3.13,3.28,3.42,3.57,3.71,3.73,3.68,3.6,3.45,3.26,3.11,2.95,2.68,2.36,2.11,1.9,1.74,1.69,1.72,1.74,1.8,1.93,2.07,2.19,2.27,2.23,2.1,2.0,1.98,2.01,2.09,2.16,2.08,1.91,1.83,1.77,1.63,1.46,1.31,1.12,0.88,0.65,0.48,0.38,0.3,0.16,0.03,0.06,0.22,0.43,0.67,0.98,1.35,1.72,2.15,2.61,2.98,3.22,3.34,3.39,3.4,3.3,3.08,2.76,2.39,2.05,1.71,1.31,0.92,0.6,0.36,0.23,0.08,-0.06,-0.2,-0.3,-0.35,-0.39,-0.44,-0.52,-0.63,-0.73,-0.76,-0.71,-0.62,-0.48,-0.24,0.13,0.62,1.14,1.67,2.24,2.92,3.6,4.23,4.76,5.17,5.39,5.46,5.48,5.42,5.25,5.0,4.67,4.27,3.86,3.46,3.0,2.56,2.2,1.91,1.74,1.77,2.0,2.2,2.34,2.52,2.76,2.96,3.12,3.28,3.37,3.38,3.3,3.17,3.08,3.04,2.93,2.71,2.52,2.42,2.3,2.14,2.04,1.99,1.9,1.82,1.86,1.97,2.04,2.04,1.99,1.89,1.73,1.49,1.25,1.09,0.95,0.78,0.64,0.58,0.55,0.46,0.36,0.29,0.27,0.29,0.36,0.41,0.51,0.64,0.72,0.79,0.86,0.99,1.16,1.39,1.7,2.04,2.39,2.77,3.06,3.29,3.59,3.87,4.0,3.96,3.89,3.84,3.7,3.47,3.2,2.93,2.7,2.52,2.36,2.29,2.37,2.48,2.64,2.74,2.88,3.06,3.21,3.3,3.26,3.0,2.6,2.14,1.7,1.36,1.05,0.68,0.36,0.11,0.09,0.22,0.37,0.56,0.84,1.26,1.91,2.7,3.56,4.35,4.93,5.21,5.39,5.52,5.41,5.12,4.73,4.36,4.02,3.65,3.26,2.88,2.52,2.15,1.78,1.46,1.3,1.09,0.77,0.64,0.67,0.68,0.58,0.48,0.46,0.48,0.46,0.39,0.23,0.06,-0.01,-0.03,0.09,0.34,0.56,0.68,0.84,1.1,1.35,1.47,1.52,1.6,1.71,1.9,2.11,2.18,2.19,2.17,2.1,2.03,2.06,2.14,2.14,2.12,2.28,2.58,2.83,2.94,2.94,2.96,3.09,3.24,3.4,3.57,3.77,3.85,3.9,4.04,4.13,4.01,3.69,3.43,3.3,3.18,2.96,2.6,2.2,1.76,1.42,1.15,0.92,0.65,0.31,0.06,0.02,0.05,-0.05,-0.11,0.07,0.36,0.57,0.71,0.89,1.05,1.27,1.61,2.0,2.38,2.68,2.89,3.09,3.43,3.28,3.06,3.01,3.03,2.97,2.87,2.74,2.48,2.11,1.74,1.38,1.05,0.76,0.53,0.34,0.23,0.16,0.11,0.17,0.37,0.64,0.95,1.42,2.02,2.61,3.22,3.95,4.77,5.54,6.21,6.87,7.62,8.31,8.77,8.89,8.73,8.46,8.03,7.39,6.62,5.73,4.74,3.78,2.95,2.2,1.46,0.79,0.25,-0.2,-0.63,-0.88,-0.97,-0.94,-0.81,-0.65,-0.45,-0.09,0.29,0.57,0.88,1.12,1.2,1.16,1.15,1.26,1.31,1.17,0.89,0.55,0.4,0.34,0.16,-0.03,-0.14,-0.23,-0.36,-0.5,-0.56,-0.46,-0.34,-0.44,-0.64,-0.67,-0.41,-0.18,-0.08,-0.09,-0.16,-0.27,-0.36,-0.34,-0.36,-0.55,-0.76,-0.78,-0.53,-0.2,-0.02,0.0,0.08,0.28,0.47,0.52,0.57,0.64,0.62,0.59,0.6,0.56,0.38,0.18,0.0,-0.15,-0.27,-0.4,-0.52,-0.54,-0.45,-0.36,-0.29,-0.12,0.11,0.27,0.43,0.71,0.98,1.17,1.35,1.53,1.62,1.6,1.54,1.39,1.2,1.02,0.81,0.64,0.58,0.58,0.51,0.45,0.43,0.33,0.14,-0.04,-0.26,-0.63,-1.03,-1.4,-1.69,-1.99,-2.31,-2.57,-2.8,-2.98,-3.1,-3.09</t>
  </si>
  <si>
    <t>To_Avoid_Formula,-2.93,-2.75,-2.62,-2.48,-2.2,-1.87,-1.54,-1.31,-1.15,-1.06,-0.97,-0.84,-0.75,-0.71,-0.75,-0.78,-0.73,-0.57,-0.34,-0.17,-0.01,0.2,0.4,0.49,0.49,0.34,0.11,-0.11,-0.39,-0.7,-1.02,-1.25,-1.38,-1.38,-1.21,-0.91,-0.5,0.05,0.84,1.85,2.95,3.87,4.64,5.42,6.13,6.63,6.76,6.67,6.44,6.06,5.47,4.58,3.33,1.9,0.41,-1.14,-2.61,-3.98,-5.29,-6.34,-7.09,-7.38,-7.32,-7.16,-6.79,-6.18,-5.4,-4.38,-3.27,-2.19,-1.11,-0.06,0.92,1.8,2.48,3.06,3.41,3.39,3.21,2.9,2.49,1.99,1.39,0.71,0.09,-0.34,-0.37,-0.05,0.51,1.19,1.92,2.79,3.84,5.03,6.15,7.05,7.71,8.3,8.75,8.81,8.15,6.82,5.39,4.12,2.89,1.5,-0.04,-1.58,-2.96,-4.23,-5.23,-5.82,-6.21,-6.6,-6.78,-6.28,-5.26,-4.52,-4.27,-4.18,-3.94,-3.67,-3.54,-3.56,-3.58,-3.69,-3.91,-4.11,-4.03,-3.64,-3.34,-3.15,-2.85,-2.29,-1.67,-1.18,-0.73,-0.12,0.42,0.77,1.05,1.35,1.7,1.96,1.98,1.97,1.96,1.82,1.54,1.3,1.21,1.12,0.9,0.68,0.62,0.7,0.76,0.7,0.56,0.39,0.16,-0.05,-0.13,-0.26,-0.55,-0.95,-1.23,-1.45,-1.61,-1.71,-1.75,-1.81,-1.92,-2.04,-2.04,-1.88,-1.66,-1.48,-1.32,-1.1,-0.73,-0.27,0.2,0.69,1.19,1.79,2.48,3.32,4.24,5.05,5.67,6.13,6.26,6.17,5.96,5.42,4.63,3.65,2.52,1.32,-0.01,-1.29,-2.55,-3.84,-4.99,-5.79,-6.28,-6.29,-6.01,-5.72,-5.25,-4.57,-3.63,-2.67,-1.83,-1.16,-0.62,-0.12,0.42,0.9,1.16,1.26,1.2,1.08,1.04,1.01,0.89,0.71,0.59,0.54,0.51,0.46,0.41,0.35,0.35,0.33,0.25,0.15,0.14,0.24,0.46,0.7,0.83,0.84,0.85,1.0,1.18,1.21,1.15,1.04,0.93,0.86,0.82,0.7,0.54,0.33,0.14,0.06,0.12,0.23,0.26,0.31,0.51,0.75,0.93,1.08,1.17,1.21,1.25,</t>
  </si>
  <si>
    <t>To_Avoid_Formula49.04,49.04,49.04,49.04,49.04,49.04,49.04,49.04,49.04,49.04,49.04,49.04,49.04,49.04,49.03,49.03,49.03,49.03,49.03,49.03,49.03,49.03,49.03,49.03,49.03,49.03,49.03,49.03,49.03,49.03,49.03,49.02,49.02,49.02,49.02,49.02,49.02,49.02,49.02,49.02,49.02,49.02,49.02,49.02,49.02,49.02,49.02,49.01,49.01,49.01,49.01,49.01,49.01,49.01,49.01,49.01,49.01,49.01,49.01,49.01,49.01,49.01,49.01,49.0,49.0,49.0,49.0,49.0,49.0,49.0,49.0,49.0,49.0,49.0,49.0,49.0,49.0,49.0,49.0,48.99,48.99,48.99,48.99,48.99,48.99,48.99,48.99,48.99,48.99,48.99,48.99,48.99,48.99,48.99,48.99,48.98,48.98,48.98,48.98,48.98,48.98,48.98,48.98,48.98,48.98,48.98,48.98,48.98,48.98,48.98,48.98,48.98,48.97,48.97,48.97,48.97,48.97,48.97,48.97,48.97,48.97,48.97,48.97,48.97,48.97,48.97,48.97,48.97,48.97,48.96,48.96,48.96,48.96,48.96,48.96,48.96,48.96,48.96,48.96,48.96,48.96,48.96,48.96,48.96,48.96,48.95,48.95,48.95,48.95,48.95,48.95,48.95,48.95,48.95,48.95,48.95,48.95,48.95,48.95,48.95,48.95,48.95,48.95,48.95,48.94,48.94,48.94,48.94,48.94,48.94,48.94,48.94,48.94,48.94,48.94,48.94,48.94,48.94,48.94,48.94,48.94,48.94,48.93,48.93,48.93,48.93,48.93,48.93,48.93,48.93,48.93,48.93,48.93,48.93,48.93,48.93,48.93,48.93,48.93,48.93,48.93,48.93,48.92,48.92,48.92,48.92,48.92,48.92,48.92,48.92,48.92,48.92,48.92,48.92,48.92,48.92,48.92,48.92,48.92,48.92,48.92,48.92,48.91,48.91,48.91,48.91,48.91,48.91,48.91,48.91,48.91,48.91,48.91,48.91,48.91,48.91,48.91,48.91,48.91,48.91,48.91,48.91,48.91,48.91,48.9,48.9,48.9,48.9,48.9,48.9,48.9,48.9,48.9,48.9,48.9,48.9,48.9,48.9,48.9,48.9,48.9,48.9,48.9,48.9,48.9,48.9,48.9,48.89,48.89,48.89,48.89,48.89,48.89,48.89,48.89,48.89,48.89,48.89,48.89,48.89,48.89,48.89,48.89,48.89,48.89,48.89,48.89,48.89,48.89,48.89,48.89,48.89,48.88,48.88,48.88,48.88,48.88,48.88,48.88,48.88,48.88,48.88,48.88,48.88,48.88,48.88,48.88,48.88,48.88,48.88,48.88,48.88,48.88,48.88,48.88,48.88,48.88,48.88,48.88,48.87,48.87,48.87,48.87,48.87,48.87,48.87,48.87,48.87,48.87,48.87,48.87,48.87,48.87,48.87,48.87,48.87,48.87,48.87,48.87,48.87,48.87,48.87,48.87,48.87,48.87,48.87,48.87,48.87,48.86,48.86,48.86,48.86,48.86,48.86,48.86,48.86,48.86,48.86,48.86,48.86,48.86,48.86,48.86,48.86,48.86,48.86,48.86,48.86,48.86,48.86,48.86,48.86,48.86,48.86,48.86,48.86,48.86,48.86,48.86,48.85,48.85,48.85,48.85,48.85,48.85,48.85,48.85,48.85,48.85,48.85,48.85,48.85,48.85,48.85,48.85,48.85,48.85,48.85,48.85,48.85,48.85,48.85,48.85,48.85,48.85,48.85,48.85,48.85,48.85,48.85,48.85,48.85,48.85,48.84,48.84,48.84,48.84,48.84,48.84,48.84,48.84,48.84,48.84,48.84,48.84,48.84,48.84,48.84,48.84,48.84,48.84,48.84,48.84,48.84,48.84,48.84,48.84,48.84,48.84,48.84,48.84,48.84,48.84,48.84,48.84,48.84,48.84,48.84,48.84,48.83,48.83,48.83,48.83,48.83,48.83,48.83,48.83,48.83,48.83,48.83,48.83,48.83,48.83,48.83,48.83,48.83,48.83,48.83,48.83,48.83,48.83,48.83,48.83,48.83,48.83,48.83,48.83,48.83,48.83,48.83,48.83,48.83,48.83,48.83,48.83,48.83,48.82,48.82,48.82,48.82,48.82,48.82,48.82,48.82,48.82,48.82,48.82,48.82,48.82,48.82,48.82,48.82,48.82,48.82,48.82,48.82,48.82,48.82,48.82,48.82,48.82,48.82,48.82,48.82,48.82,48.82,48.82,48.82,48.82,48.82,48.82,48.82,48.82,48.82,48.82,48.81,48.81,48.81,48.81,48.81,48.81,48.81,48.81,48.81,48.81,48.81,48.81,48.81,48.81,48.81,48.81,48.81,48.81,48.81,48.81,48.81,48.81,48.81,48.81,48.81,48.81,48.81,48.81,48.81,48.81,48.81,48.81,48.81,48.81,48.81,48.81,48.81,48.81,48.81,48.81,48.8,48.8,48.8,48.8,48.8,48.8,48.8,48.8,48.8,48.8,48.8,48.8,48.8,48.8,48.8,48.8,48.8,48.8,48.8,48.8,48.8,48.8,48.8,48.8,48.8,48.8,48.8,48.8,48.8,48.8,48.8,48.8,48.8,48.8,48.8,48.8,48.8,48.8,48.8,48.8,48.79,48.79,48.79,48.79,48.79,48.79,48.79,48.79,48.79,48.79,48.79,48.79,48.79,48.79,48.79,48.79,48.79,48.79,48.79,48.79,48.79,48.79,48.79,48.79,48.79,48.79,48.79,48.79,48.79,48.79,48.79,48.79,48.79,48.79,48.79,48.79,48.79,48.79,48.79,48.79,48.78,48.78,48.78,48.78,48.78,48.78,48.78,48.78,48.78,48.78,48.78,48.78,48.78,48.78,48.78,48.78,48.78,48.78,48.78,48.78,48.78,48.</t>
  </si>
  <si>
    <t>To_Avoid_Formula78,48.78,48.78,48.78,48.78,48.78,48.78,48.78,48.78,48.78,48.78,48.78,48.78,48.78,48.78,48.78,48.78,48.78,48.78,48.78,48.78,48.78,48.78,48.77,48.77,48.77,48.77,48.77,48.77,48.77,48.77,48.77,48.77,48.77,48.77,48.77,48.77,48.77,48.77,48.77,48.77,48.77,48.77,48.77,48.77,48.77,48.77,48.77,48.77,48.77,48.77,48.77,48.77,48.77,48.77,48.77,48.77,48.77,48.77,48.77,48.77,48.77,48.77,48.77,48.77,48.77,48.77,48.77,48.77,48.77,48.77,48.77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</t>
  </si>
  <si>
    <t>To_Avoid_Formula0.15,0.23,0.35,0.44,0.48,0.49,0.44,0.35,0.22,0.03,-0.26,-0.62,-0.96,-1.21,-1.28,-1.21,-1.01,-0.81,-0.64,-0.48,-0.39,-0.35,-0.36,-0.44,-0.56,-0.69,-0.83,-0.92,-0.98,-1.02,-1.04,-1.03,-0.95,-0.87,-0.83,-0.84,-0.87,-0.89,-0.9,-0.88,-0.85,-0.78,-0.69,-0.62,-0.55,-0.53,-0.52,-0.53,-0.58,-0.69,-0.83,-0.95,-1.04,-1.09,-1.13,-1.19,-1.26,-1.31,-1.32,-1.32,-1.31,-1.3,-1.32,-1.34,-1.34,-1.29,-1.2,-1.1,-1.01,-0.97,-0.96,-0.95,-0.93,-0.92,-0.92,-0.92,-0.89,-0.84,-0.83,-0.91,-1.0,-1.1,-1.18,-1.31,-1.43,-1.5,-1.51,-1.47,-1.44,-1.4,-1.33,-1.25,-1.16,-1.04,-0.91,-0.73,-0.54,-0.38,-0.25,-0.19,-0.15,-0.11,-0.06,0.0,0.04,0.05,-0.06,-0.28,-0.48,-0.5,-0.36,-0.17,-0.02,0.01,-0.06,-0.15,-0.17,-0.12,-0.04,0.11,0.31,0.48,0.59,0.63,0.65,0.65,0.67,0.7,0.69,0.68,0.72,0.87,1.01,1.11,1.19,1.2,1.18,1.11,1.05,0.96,0.84,0.71,0.58,0.49,0.45,0.43,0.4,0.38,0.36,0.38,0.42,0.46,0.51,0.52,0.54,0.57,0.6,0.61,0.61,0.62,0.64,0.69,0.79,0.9,0.98,1.02,1.04,1.09,1.17,1.26,1.35,1.43,1.5,1.55,1.62,1.72,1.86,1.95,1.95,1.91,1.89,1.92,1.99,2.04,2.06,2.04,2.01,1.95,1.86,1.76,1.71,1.69,1.67,1.61,1.52,1.41,1.31,1.2,1.05,0.89,0.8,0.69,0.52,0.4,0.47,0.64,0.83,0.99,1.09,1.15,1.16,1.12,1.08,1.09,1.15,1.2,1.19,1.15,1.13,1.14,1.16,1.14,1.06,0.98,0.95,0.93,0.9,0.84,0.76,0.67,0.59,0.52,0.42,0.31,0.24,0.22,0.2,0.14,0.07,-0.01,-0.14,-0.31,-0.46,-0.57,-0.59,-0.55,-0.43,-0.32,-0.25,-0.22,-0.25,-0.3,-0.41,-0.46,-0.47,-0.44,-0.34,-0.16,0.05,0.2,0.32,0.41,0.45,0.46,0.45,0.41,0.34,0.23,0.13,0.03,-0.04,-0.07,-0.07,-0.08,-0.1,-0.12,-0.1,-0.11,-0.2,-0.34,-0.5,-0.65,-0.79,-0.91,-0.96,-0.94,-0.85,-0.71,-0.57,-0.46,-0.41,-0.38,-0.43,-0.55,-0.78,-0.95,-1.07,-1.14,-1.13,-1.08,-1.02,-0.96,-0.84,-0.67,-0.52,-0.43,-0.37,-0.29,-0.21,-0.16,-0.17,-0.25,-0.31,-0.34,-0.39,-0.45,-0.49,-0.49,-0.44,-0.37,-0.28,-0.22,-0.24,-0.31,-0.41,-0.48,-0.52,-0.52,-0.51,-0.46,-0.34,-0.23,-0.18,-0.17,-0.2,-0.25,-0.37,-0.47,-0.51,-0.5,-0.42,-0.33,-0.26,-0.21,-0.18,-0.19,-0.19,-0.17,-0.12,-0.03,0.1,0.26,0.37,0.42,0.4,0.35,0.28,0.2,0.16,0.16,0.24,0.33,0.39,0.4,0.32,0.14,-0.08,-0.28,-0.42,-0.43,-0.34,-0.21,-0.06,0.08,0.19,0.23,0.21,0.19,0.2,0.22,0.25,0.28,0.32,0.41,0.53,0.61,0.6,0.52,0.37,0.2,-0.01,-0.22,-0.43,-0.58,-0.57,-0.47,-0.4,-0.45,-0.54,-0.61,-0.65,-0.71,-0.75,-0.76,-0.77,-0.78,-0.8,-0.81,-0.83,-0.89,-1.0,-1.15,-1.38,-1.6,-1.81,-1.89,-1.93,-1.96,-1.96,-1.96,-1.99,-2.1,-2.23,-2.4,-2.55,-2.67,-2.76,-2.8,-2.75,-2.63,-2.49,-2.35,-2.27,-2.22,-2.18,-2.15,-2.1,-2.05,-2.0,-1.94,-1.86,-1.76,-1.67,-1.62,-1.6,-1.59,-1.55,-1.49,-1.4,-1.28,-1.1,-1.0,-0.95,-0.87,-0.82,-0.8,-0.91,-1.02,-1.09,-1.13,-1.07,-0.97,-0.82,-0.73,-0.67,-0.55,-0.36,-0.18,-0.1,-0.08,-0.08,-0.07,-0.05,-0.01,0.03,0.05,-0.01,-0.11,-0.22,-0.27,-0.24,-0.18,-0.19,-0.27,-0.39,-0.51,-0.57,-0.55,-0.5,-0.47,-0.47,-0.47,-0.44,-0.37,-0.28,-0.15,-0.02,0.08,0.18,0.26,0.34,0.38,0.42,0.5,0.63,0.66,0.6,0.54,0.47,0.43,0.3,0.14,-0.03,-0.19,-0.31,-0.42,-0.5,-0.52,-0.52,-0.53,-0.51,-0.47,-0.42,-0.38,-0.33,-0.28,-0.26,-0.25,-0.21,-0.15,-0.08,0.01,0.11,0.19,0.23,0.22,0.16,0.09,0.02,-0.03,-0.08,-0.12,-0.13,-0.05,0.1,0.28,0.47,0.64,0.76,0.83,0.88,0.91,0.9,0.83,0.77,0.76,0.77,0.82,0.9,1.01,1.05,1.05,1.04,1.02,1.0,1.0,1.0,1.0,0.99,0.98,0.97,0.98,0.96,0.89,0.74,0.55,0.42,0.35,0.23,0.07,0.02,0.07,0.13,0.2,0.32,0.43,0.52,0.64,0.85,1.07,1.21,1.3,1.4,1.5,1.61,1.68,1.7,1.67,1.63,1.58,1.5,1.41,1.32,1.24,1.18,1.15,1.15,1.22,1.31,1.37,1.38,1.34,1.29,1.2,1.15,1.15,1.16,1.14,1.11,1.07,1.03,1.0,0.98,0.93,0.86,0.75,0.71,0.72,0.76,0.85,0.96,1.09,1.14,1.12,1.07,1.03,1.03,1.01,0.98,0.96,0.95,0.92,0.86,0.82,0.8,0.8,0.8,0.78,0.73,0.64,0.53,0.41,0.3,0.19,0.09,0.0,-0.05,-0.07,-0.08,-0.08,-0.08,-0.11,-0.19,-0.26,-0.31,-0.36,-0.36,-0.32,-0.26,-0.27,-0.32,-0.31,-0.25,-0.21,-0.23,-0.23,-0.21,-0.21,-0.18,-0.13,-0.05,0.0,0.03,0.06,0.12,0.19,0.25,0.28,0.31,0.34,0.31,0.25,0.21,0.22,0.24,0.24,0.18,0.11,0.0,-0.11,-0.23,-0.38,-0.54,-0.69,-0.81,-0.87,-0.88,-0.93,-0.98,-1.03,-1.07,-1.11,-1.16,-1.23,-1.27,-1.27,-1.22,-1.14,-1.05,-0.95,-0.83,-0.74,-</t>
  </si>
  <si>
    <t>To_Avoid_Formula0.68,-0.66,-0.61,-0.52,-0.42,-0.33,-0.29,-0.25,-0.2,-0.12,-0.03,0.05,0.14,0.23,0.27,0.29,0.31,0.31,0.29,0.24,0.19,0.15,0.12,0.09,0.06,0.01,-0.02,-0.03,-0.03,-0.01,0.01,0.06,0.14,0.25,0.38,0.52,0.62,0.7,0.72,0.74,0.76,0.7,0.55,0.38,0.2,-0.07,-0.42,-0.72,-0.83,-0.86,-0.88,-0.82,-0.7,-0.55,-0.45,-0.39,-0.36,-0.38,-0.42,-0.44,-0.41,-0.34,-0.21,-0.07,0.08,0.21,0.28,0.27,0.17,0.05,-0.08,-0.18,-0.24,-0.24,-0.24,-0.23,-0.21,-0.22,-0.31,-0.43,-0.6,-0.79,-0.94,-0.98,-0.97,-0.93,-0.87,-0.8,-0.77,-0.78,-0.77,-0.79,-0.8,-0.83,-0.84,-0.84,-0.81,-0.71,-0.63,-0.55,-0.46,-0.36,-0.27,-0.21,-0.15,-0.08,-0.05,-0.09,-0.16,-0.16,-0.14,-0.22,-0.28,-0.17,0.03,0.21,0.33,0.42,0.41,0.34,0.3,0.27,0.26,0.27,0.35,0.5,0.65,0.77,0.85,0.86,0.83,0.75,0.66,0.61,0.73,0.75,0.62,0.53,0.55,0.53,0.42,0.33,0.38,0.5,0.64,0.79,0.9,0.98,1.06,1.1,1.1,1.07,1.05,1.07,1.12,1.17,1.17,1.14,1.06,0.94,0.81,0.69,0.6,0.56,0.57,0.58,0.62,0.7,0.77,0.79,0.77,0.75,0.75,0.79,0.81,0.77,0.72,0.69,0.66,0.58,0.45,0.31,0.19,0.1,0.07,0.04,-0.01,-0.06,-0.08,-0.1,-0.11,-0.14,-0.17,-0.17,-0.11,-0.04,-0.02,-0.09,-0.24,-0.42,-0.61,-0.79,-0.95,-1.08,-1.1,-1.06,-1.05,-1.07,-1.09,-1.11,-1.16,-1.21,-1.24,-1.25,-1.25,-1.23,-1.22,-1.21,-1.18,-1.15,-1.16,-1.19,-1.21,-1.21,-1.17,-1.11,-1.07,-1.04,-0.98,-0.9,-0.92,-1.05,-1.23,-1.35,-1.38,-1.4,-1.41,-1.3,-1.1,-0.91,-0.74,-0.62,-0.57,-0.59,-0.65,-0.71,-0.77,-0.81,-0.81,-0.76,-0.76,-0.77,-0.76,-0.82,-0.9,-1.02,-1.11,-1.2,-1.3,-1.41,-1.51,-1.58,-1.62,-1.65,-1.69,-1.79,-1.92,-2.05,-2.14,-2.22,-2.31,-2.37,-2.35,-2.29,-2.19,-2.12,-2.06,-2.01,-1.99,-1.95,-1.9,-1.84,-1.75,-1.63,-1.54,-1.42,-1.26,-1.07,-0.88,-0.7,-0.55,-0.4,-0.24,-0.12,-0.01,0.12,0.31,0.51,0.66,0.79,0.93,1.04,1.1,1.13,1.11,1.08,1.01,0.93,0.9,0.93,0.95,0.96,0.95,0.95,</t>
  </si>
  <si>
    <t>To_Avoid_Formula0.15,0.25,0.38,0.48,0.53,0.53,0.48,0.4,0.28,0.11,-0.16,-0.47,-0.76,-0.94,-0.94,-0.81,-0.54,-0.3,-0.09,0.1,0.21,0.27,0.27,0.21,0.11,0.0,-0.11,-0.16,-0.19,-0.19,-0.17,-0.13,-0.03,0.08,0.15,0.15,0.14,0.14,0.14,0.18,0.23,0.31,0.4,0.48,0.53,0.56,0.56,0.54,0.47,0.37,0.23,0.11,0.03,-0.01,-0.04,-0.08,-0.13,-0.16,-0.16,-0.13,-0.1,-0.08,-0.09,-0.09,-0.08,-0.01,0.08,0.19,0.27,0.3,0.31,0.31,0.32,0.32,0.31,0.3,0.32,0.36,0.34,0.26,0.15,0.05,-0.04,-0.16,-0.27,-0.33,-0.33,-0.28,-0.23,-0.18,-0.12,-0.03,0.06,0.16,0.28,0.44,0.6,0.73,0.81,0.82,0.81,0.81,0.81,0.81,0.81,0.76,0.61,0.34,0.11,0.07,0.18,0.35,0.45,0.44,0.34,0.21,0.16,0.18,0.23,0.35,0.5,0.62,0.67,0.66,0.62,0.57,0.53,0.5,0.44,0.39,0.38,0.48,0.56,0.6,0.62,0.57,0.5,0.36,0.26,0.13,-0.04,-0.2,-0.34,-0.45,-0.5,-0.53,-0.56,-0.59,-0.61,-0.59,-0.56,-0.51,-0.47,-0.46,-0.44,-0.42,-0.4,-0.39,-0.39,-0.39,-0.37,-0.32,-0.22,-0.12,-0.06,-0.04,-0.03,0.0,0.06,0.14,0.2,0.26,0.3,0.32,0.35,0.42,0.52,0.57,0.53,0.45,0.39,0.39,0.42,0.44,0.42,0.37,0.3,0.22,0.1,-0.02,-0.08,-0.11,-0.15,-0.21,-0.3,-0.4,-0.49,-0.59,-0.72,-0.85,-0.91,-0.98,-1.1,-1.17,-1.05,-0.83,-0.61,-0.42,-0.3,-0.23,-0.2,-0.22,-0.25,-0.22,-0.14,-0.07,-0.07,-0.1,-0.11,-0.08,-0.05,-0.05,-0.11,-0.17,-0.18,-0.18,-0.19,-0.22,-0.28,-0.33,-0.38,-0.42,-0.48,-0.55,-0.58,-0.55,-0.52,-0.53,-0.55,-0.58,-0.66,-0.77,-0.86,-0.9,-0.85,-0.74,-0.56,-0.4,-0.28,-0.21,-0.2,-0.2,-0.26,-0.27,-0.24,-0.16,-0.02,0.19,0.41,0.58,0.7,0.78,0.82,0.82,0.81,0.75,0.67,0.56,0.46,0.37,0.31,0.29,0.29,0.3,0.28,0.27,0.3,0.3,0.22,0.09,-0.05,-0.18,-0.29,-0.38,-0.39,-0.34,-0.21,-0.05,0.11,0.23,0.29,0.32,0.28,0.16,-0.06,-0.21,-0.3,-0.34,-0.3,-0.22,-0.14,-0.06,0.07,0.25,0.4,0.48,0.53,0.59,0.66,0.69,0.65,0.55,0.47,0.42,0.36,0.29,0.24,0.23,0.26,0.33,0.4,0.44,0.4,0.31,0.19,0.11,0.07,0.06,0.06,0.1,0.21,0.3,0.33,0.32,0.27,0.2,0.07,-0.04,-0.09,-0.08,-0.01,0.06,0.12,0.15,0.16,0.14,0.12,0.12,0.15,0.22,0.33,0.45,0.53,0.54,0.49,0.39,0.29,0.19,0.12,0.09,0.15,0.22,0.25,0.23,0.12,-0.08,-0.31,-0.51,-0.64,-0.64,-0.54,-0.4,-0.26,-0.12,-0.02,0.0,-0.03,-0.07,-0.06,-0.05,-0.04,-0.02,0.01,0.07,0.18,0.24,0.2,0.1,-0.07,-0.24,-0.46,-0.65,-0.83,-0.95,-0.91,-0.78,-0.69,-0.71,-0.77,-0.81,-0.82,-0.84,-0.84,-0.82,-0.79,-0.76,-0.74,-0.72,-0.7,-0.72,-0.79,-0.89,-1.07,-1.22,-1.36,-1.37,-1.33,-1.28,-1.21,-1.13,-1.09,-1.12,-1.18,-1.26,-1.33,-1.36,-1.35,-1.3,-1.16,-0.96,-0.74,-0.54,-0.4,-0.29,-0.21,-0.13,-0.05,0.05,0.13,0.22,0.32,0.44,0.53,0.59,0.62,0.64,0.68,0.73,0.82,0.92,1.08,1.16,1.18,1.22,1.23,1.22,1.07,0.93,0.83,0.76,0.8,0.87,0.98,1.04,1.06,1.12,1.26,1.38,1.4,1.34,1.28,1.23,1.18,1.15,1.13,1.08,0.97,0.81,0.64,0.55,0.53,0.54,0.49,0.36,0.21,0.06,-0.03,-0.03,-0.01,-0.01,-0.03,-0.05,-0.04,0.0,0.06,0.16,0.25,0.31,0.36,0.4,0.43,0.42,0.41,0.44,0.51,0.49,0.37,0.26,0.15,0.07,-0.09,-0.28,-0.46,-0.62,-0.75,-0.86,-0.92,-0.93,-0.92,-0.9,-0.88,-0.82,-0.75,-0.7,-0.64,-0.59,-0.56,-0.55,-0.5,-0.44,-0.36,-0.27,-0.18,-0.11,-0.08,-0.11,-0.17,-0.25,-0.32,-0.37,-0.4,-0.44,-0.43,-0.35,-0.2,-0.02,0.16,0.31,0.4,0.44,0.46,0.47,0.43,0.32,0.24,0.21,0.2,0.23,0.29,0.37,0.38,0.36,0.32,0.27,0.24,0.21,0.2,0.18,0.15,0.12,0.1,0.09,0.06,-0.03,-0.18,-0.36,-0.48,-0.53,-0.64,-0.77,-0.78,-0.7,-0.61,-0.51,-0.38,-0.26,-0.15,-0.03,0.18,0.39,0.51,0.58,0.64,0.72,0.79,0.83,0.8,0.73,0.66,0.58,0.47,0.35,0.25,0.16,0.08,0.05,0.04,0.1,0.18,0.23,0.22,0.17,0.11,0.01,-0.04,-0.04,-0.03,-0.05,-0.08,-0.11,-0.15,-0.18,-0.19,-0.23,-0.29,-0.38,-0.4,-0.37,-0.31,-0.21,-0.09,0.04,0.1,0.08,0.03,0.0,0.0,-0.02,-0.04,-0.05,-0.06,-0.09,-0.13,-0.16,-0.16,-0.15,-0.14,-0.14,-0.18,-0.25,-0.34,-0.43,-0.51,-0.58,-0.65,-0.69,-0.7,-0.67,-0.64,-0.59,-0.55,-0.54,-0.57,-0.6,-0.6,-0.6,-0.56,-0.47,-0.37,-0.34,-0.35,-0.3,-0.21,-0.14,-0.13,-0.1,-0.05,-0.02,0.03,0.1,0.2,0.26,0.3,0.33,0.4,0.47,0.53,0.56,0.58,0.6,0.56,0.5,0.45,0.45,0.47,0.46,0.39,0.32,0.21,0.11,-0.01,-0.14,-0.28,-0.4,-0.48,-0.51,-0.49,-0.5,-0.51,-0.52,-0.52,-0.52,-0.53,-0.56,-0.56,-0.52,-0.43,-0.31,-0.2,-0.07,0.06,0.17,0.23,0.26,0.31,0.4,0.49,0.57,0.6,0.61,0.</t>
  </si>
  <si>
    <t>To_Avoid_Formula65,0.7,0.77,0.82,0.87,0.93,0.93,0.91,0.88,0.84,0.78,0.7,0.62,0.54,0.48,0.43,0.37,0.29,0.24,0.22,0.2,0.2,0.2,0.23,0.28,0.36,0.46,0.56,0.63,0.66,0.63,0.61,0.59,0.48,0.3,0.1,-0.1,-0.38,-0.73,-1.0,-1.09,-1.08,-1.06,-0.97,-0.82,-0.65,-0.53,-0.45,-0.42,-0.43,-0.46,-0.47,-0.42,-0.34,-0.21,-0.06,0.07,0.19,0.24,0.21,0.1,-0.03,-0.16,-0.26,-0.31,-0.31,-0.3,-0.28,-0.25,-0.26,-0.33,-0.45,-0.6,-0.76,-0.86,-0.87,-0.81,-0.74,-0.65,-0.55,-0.49,-0.47,-0.44,-0.43,-0.41,-0.42,-0.4,-0.38,-0.32,-0.21,-0.11,-0.02,0.08,0.19,0.28,0.33,0.38,0.44,0.46,0.4,0.32,0.31,0.32,0.24,0.17,0.27,0.46,0.61,0.71,0.77,0.72,0.63,0.55,0.5,0.47,0.46,0.51,0.63,0.74,0.83,0.86,0.82,0.74,0.63,0.5,0.39,0.48,0.47,0.31,0.2,0.19,0.15,0.03,-0.07,-0.03,0.07,0.2,0.32,0.4,0.45,0.49,0.49,0.45,0.39,0.34,0.33,0.34,0.36,0.33,0.26,0.15,0.02,-0.13,-0.26,-0.35,-0.39,-0.38,-0.36,-0.32,-0.25,-0.18,-0.17,-0.19,-0.21,-0.21,-0.18,-0.16,-0.2,-0.25,-0.28,-0.31,-0.38,-0.5,-0.62,-0.72,-0.78,-0.78,-0.77,-0.79,-0.8,-0.79,-0.77,-0.74,-0.73,-0.73,-0.69,-0.59,-0.49,-0.45,-0.48,-0.6,-0.74,-0.87,-1.0,-1.1,-1.17,-1.11,-1.01,-0.93,-0.89,-0.84,-0.81,-0.79,-0.78,-0.75,-0.71,-0.64,-0.57,-0.5,-0.44,-0.36,-0.29,-0.26,-0.24,-0.22,-0.18,-0.11,-0.01,0.06,0.12,0.2,0.3,0.3,0.18,0.03,-0.06,-0.05,-0.04,-0.02,0.11,0.33,0.53,0.69,0.8,0.84,0.81,0.74,0.67,0.6,0.55,0.54,0.58,0.57,0.56,0.55,0.49,0.39,0.27,0.18,0.09,0.0,-0.09,-0.18,-0.23,-0.25,-0.25,-0.27,-0.35,-0.45,-0.55,-0.6,-0.64,-0.69,-0.71,-0.65,-0.54,-0.41,-0.31,-0.23,-0.16,-0.11,-0.06,0.0,0.07,0.17,0.28,0.37,0.48,0.62,0.78,0.93,1.07,1.17,1.26,1.36,1.41,1.45,1.5,1.61,1.72,1.77,1.8,1.84,1.84,1.8,1.71,1.59,1.46,1.29,1.12,1.01,0.95,0.89,0.82,0.73,0.66,</t>
  </si>
  <si>
    <t>To_Avoid_Formula121.58,121.57,121.57,121.57,121.57,121.57,121.57,121.56,121.56,121.56,121.56,121.56,121.55,121.55,121.55,121.55,121.55,121.54,121.54,121.54,121.54,121.54,121.53,121.53,121.53,121.53,121.52,121.52,121.52,121.52,121.51,121.51,121.51,121.51,121.5,121.5,121.5,121.49,121.49,121.49,121.48,121.48,121.47,121.47,121.46,121.46,121.46,121.45,121.45,121.44,121.44,121.43,121.43,121.42,121.42,121.41,121.41,121.4,121.4,121.39,121.38,121.38,121.37,121.37,121.36,121.36,121.35,121.34,121.34,121.33,121.33,121.32,121.31,121.31,121.3,121.29,121.29,121.28,121.27,121.27,121.26,121.25,121.25,121.24,121.23,121.23,121.22,121.21,121.2,121.2,121.19,121.18,121.17,121.17,121.16,121.15,121.14,121.14,121.13,121.12,121.11,121.1,121.1,121.09,121.08,121.07,121.07,121.06,121.05,121.04,121.04,121.03,121.02,121.01,121.01,121.0,120.99,120.99,120.98,120.97,120.96,120.96,120.95,120.94,120.94,120.93,120.92,120.92,120.91,120.9,120.89,120.89,120.88,120.87,120.87,120.86,120.85,120.85,120.84,120.83,120.83,120.82,120.81,120.81,120.8,120.8,120.79,120.78,120.78,120.77,120.77,120.76,120.75,120.75,120.74,120.74,120.73,120.73,120.72,120.72,120.72,120.71,120.71,120.7,120.7,120.7,120.69,120.69,120.69,120.68,120.68,120.68,120.68,120.68,120.67,120.67,120.67,120.67,120.67,120.67,120.67,120.67,120.67,120.67,120.67,120.67,120.67,120.67,120.67,120.67,120.67,120.68,120.68,120.68,120.68,120.69,120.69,120.7,120.7,120.7,120.71,120.71,120.72,120.73,120.73,120.74,120.75,120.75,120.76,120.77,120.78,120.79,120.8,120.81,120.82,120.83,120.84,120.85,120.87,120.88,120.89,120.91,120.92,120.93,120.95,120.97,120.98,121.0,121.02,121.03,121.05,121.07,121.09,121.11,121.13,121.15,121.17,121.19,121.22,121.24,121.26,121.29,121.31,121.34,121.36,121.39,121.42,121.45,121.47,121.5,121.53,121.56,121.59,121.62,121.65,121.69,121.72,121.75,121.79,121.82,121.85,121.89,121.93,121.96,122.0,122.04,122.07,122.11,122.15,122.19,122.23,122.27,122.31,122.35,122.4,122.44,122.48,122.52,122.57,122.61,122.66,122.7,122.75,122.79,122.84,122.89,122.93,122.98,123.03,123.08,123.13,123.17,123.22,123.27,123.32,123.37,123.42,123.47,123.52,123.58,123.63,123.68,123.73,123.78,123.83,123.88,123.93,123.99,124.04,124.09,124.14,124.19,124.24,124.29,124.34,124.4,124.45,124.5,124.55,124.6,124.64,124.69,124.74,124.79,124.84,124.89,124.93,124.98,125.03,125.07,125.12,125.17,125.21,125.25,125.3,125.34,125.39,125.43,125.47,125.51,125.55,125.59,125.63,125.67,125.71,125.75,125.79,125.83,125.86,125.9,125.93,125.97,126.0,126.04,126.07,126.1,126.13,126.16,126.19,126.22,126.25,126.28,126.31,126.34,126.36,126.39,126.41,126.44,126.46,126.48,126.51,126.53,126.55,126.57,126.59,126.6,126.62,126.64,126.66,126.67,126.69,126.7,126.72,126.73,126.74,126.75,126.76,126.77,126.78,126.79,126.8,126.81,126.82,126.82,126.83,126.83,126.84,126.84,126.84,126.84,126.84,126.84,126.84,126.84,126.84,126.84,126.84,126.83,126.83,126.82,126.81,126.81,126.8,126.79,126.78,126.77,126.76,126.75,126.74,126.72,126.71,126.7,126.68,126.66,126.65,126.63,126.61,126.59,126.58,126.56,126.54,126.51,126.49,126.47,126.45,126.42,126.4,126.37,126.35,126.32,126.3,126.27,126.24,126.21,126.18,126.16,126.13,126.09,126.06,126.03,126.0,125.97,125.93,125.9,125.87,125.83,125.8,125.76,125.73,125.69,125.65,125.61,125.58,125.54,125.5,125.46,125.42,125.38,125.34,125.3,125.25,125.21,125.17,125.13,125.08,125.04,124.99,124.95,124.9,124.86,124.81,124.77,124.72,124.67,124.63,124.58,124.53,124.48,124.44,124.39,124.34,124.29,124.24,124.19,124.14,124.09,124.04,123.99,123.94,123.89,123.84,123.78,123.73,123.68,123.63,123.57,123.52,123.47,123.42,123.36,123.31,123.25,123.2,123.15,123.09,123.04,122.98,122.93,122.87,122.82,122.76,122.71,122.65,122.59,122.54,122.48,122.43,122.37,122.31,122.26,122.2,122.14,122.09,122.03,121.97,121.92,121.86,121.8,121.75,121.69,121.63,121.57,121.52,121.46,121.4,121.35,121.29,121.23,121.17,121.12,121.06,121.0,120.95,120.89,120.83,120.78,120.72,120.67,120.61,120.55,120.5,120.44,120.39,120.33,120.28,120.22,120.17,120</t>
  </si>
  <si>
    <t>To_Avoid_Formula.12,120.06,120.01,119.96,119.91,119.86,119.8,119.75,119.7,119.65,119.6,119.55,119.5,119.45,119.41,119.36,119.31,119.26,119.22,119.17,119.13,119.08,119.04,118.99,118.95,118.9,118.86,118.82,118.78,118.73,118.69,118.65,118.61,118.57,118.53,118.49,118.45,118.41,118.38,118.34,118.3,118.26,118.23,118.19,118.15,118.12,118.08,118.05,118.02,117.98,117.95,117.92,117.88,117.85,117.82,117.79,117.76,117.73,117.7,117.67,117.64,117.62,117.59,117.56,117.53,117.51,117.48,117.46,117.43,117.41,117.38,117.36,117.34,117.31,117.29,117.27,117.25,117.23,117.21,117.19,117.17,117.15,117.14,117.12,117.1,117.08,117.07,117.05,117.04,117.02,117.01,117.0,116.98,116.97,116.96,116.95,116.93,116.92,116.91,116.9,116.89,116.89,116.88,116.87,116.86,116.86,116.85,116.84,116.84,116.83,116.83,116.82,116.82,116.82,116.81,116.81,116.81,116.81,116.81,116.81,116.81,116.81,116.81,116.81,116.81,116.81,116.81,116.81,116.81,116.82,116.82,116.82,116.83,116.83,116.83,116.84,116.84,116.85,116.85,116.86,116.86,116.87,116.87,116.88,116.89,116.89,116.9,116.91,116.91,116.92,116.93,116.94,116.95,116.96,116.96,116.97,116.98,116.99,117.0,117.01,117.02,117.03,117.04,117.05,117.06,117.07,117.08,117.09,117.11,117.12,117.13,117.14,117.15,117.17,117.18,117.19,117.2,117.21,117.23,117.24,117.25,117.27,117.28,117.29,117.31,117.32,117.33,117.35,117.36,117.38,117.39,117.41,117.42,117.44,117.45,117.47,117.48,117.5,117.51,117.53,117.54,117.56,117.57,117.59,117.61,117.62,117.64,117.66,117.67,117.69,117.71,117.73,117.74,117.76,117.78,117.8,117.81,117.83,117.85,117.87,117.89,117.9,117.92,117.94,117.96,117.98,118.0,118.02,118.04,118.06,118.08,118.1,118.12,118.14,118.16,118.18,118.2,118.22,118.24,118.26,118.28,118.31,118.33,118.35,118.37,118.39,118.41,118.43,118.46,118.48,118.5,118.52,118.54,118.56,118.59,118.61,118.63,118.65,118.67,118.69,118.72,118.74,118.76,118.78,118.8,118.82,118.84,118.86,118.89,118.91,118.93,118.95,118.97,118.99,119.01,119.03,119.05,119.07,119.09,119.11,119.13,119.15,119.17,119.19,119.21,119.23,119.25,119.27,119.31,119.33,119.35,119.37,119.38,119.4,119.42,119.44,119.46,119.48,119.49,119.51,119.53,119.54,119.56,119.58,119.59,119.61,119.62,119.64,119.65,119.67,119.68,119.7,119.71,119.72,119.73,119.75,119.76,119.77,119.78,119.79,119.8,119.81,119.82,119.83,119.83,119.84,119.85,119.85,119.86,119.87,119.87,119.87,119.88,119.88,119.88,119.89,119.89,119.89,119.89,119.89,119.89,119.89,119.89,119.89,119.89,119.89,119.89,119.88,119.88,119.88,119.88,119.87,119.87,119.86,119.86,119.85,119.85,119.84,119.83,119.83,119.82,119.81,119.81,119.8,119.79,119.78,119.77,119.76,119.76,119.75,119.74,119.73,119.72,119.71,119.7,119.69,119.68,119.67,119.66,119.65,119.64,119.63,119.62,119.61,119.6,119.59,119.58,119.57,119.56,119.55,119.54,119.54,119.53,119.52,119.51,119.5,119.49,119.48,119.47,119.46,119.45,119.45,119.44,119.43,119.42,119.41,119.4,119.4,119.39,119.38,119.37,119.37,119.36,119.35,119.34,119.34,119.33,119.32,119.32,119.31,119.31,119.3,119.29,119.29,119.28,119.28,119.27,119.27,119.26,119.26,119.26,119.25,119.25,119.24,119.24,119.24,119.23,119.23,119.23,119.22,119.22,119.22,119.22,119.21,119.21,119.21,119.21,119.21,119.2,119.2,119.2,119.2,119.2,119.2,119.2,119.2,119.2,119.2,119.2,119.2,119.2,119.2,119.21,119.21,119.21,119.21,119.21,119.21,119.22,</t>
  </si>
  <si>
    <t>To_Avoid_Formula155.95,155.82,155.72,155.65,155.62,155.63,155.66,155.62,155.54,155.51,155.57,155.65,155.71,155.78,155.82,155.84,155.87,155.89,155.85,155.74,155.67,155.65,155.67,155.76,155.89,156.08,156.31,156.59,156.85,157.08,157.31,157.57,157.75,157.87,157.97,158.03,158.13,158.26,158.31,158.29,158.3,158.34,158.38,158.37,158.37,158.42,158.51,158.66,158.81,158.97,159.16,159.36,159.51,159.61,159.71,159.84,159.89,159.85,159.82,159.83,159.84,159.76,159.57,159.4,159.31,159.23,159.08,158.86,158.59,158.37,158.18,158.01,157.82,157.62,157.44,157.31,157.17,156.99,156.81,156.61,156.41,156.29,156.22,156.14,156.14,156.21,156.33,156.43,156.56,156.71,156.87,157.04,157.18,157.21,157.17,157.14,157.1,157.02,156.95,157.01,157.16,157.33,157.48,157.63,157.87,158.2,158.5,158.7,158.82,158.89,158.98,159.08,159.13,159.08,158.95,158.79,158.54,158.2,157.78,157.42,157.21,157.11,157.08,157.13,157.39,157.9,158.5,159.02,159.47,159.82,160.09,160.28,160.34,160.23,159.94,159.65,159.41,159.14,158.82,158.53,158.34,158.22,158.06,157.85,157.64,157.48,157.33,157.13,156.83,156.49,156.24,156.09,156.02,155.97,155.93,155.92,156.05,156.33,156.72,157.18,157.66,158.04,158.3,158.57,158.89,159.09,159.15,159.25,159.36,159.41,159.4,159.42,159.41,159.3,159.16,159.06,158.99,158.92,158.83,158.76,158.72,158.66,158.55,158.47,158.48,158.57,158.64,158.67,158.61,158.51,158.39,158.16,157.73,157.29,156.93,156.77,156.74,156.83,157.13,157.51,158.13,158.93,159.8,160.48,160.88,161.14,161.4,161.46,161.16,160.65,160.02,159.38,158.72,158.07,157.51,156.99,156.53,156.23,156.2,156.31,156.34,156.24,156.09,156.02,156.09,156.11,155.97,155.71,155.43,155.13,154.78,154.35,153.92,153.54,153.28,153.18,153.18,153.29,153.45,153.75,154.23,154.84,155.38,155.87,156.38,156.89,157.24,157.36,157.43,157.46,157.44,157.36,157.32,157.41,157.66,157.92,158.06,158.12,158.17,158.31,158.5,158.55,158.34,157.96,157.61,157.39,157.15,156.78,156.37,156.03,155.78,155.55,155.3,155.03,154.9,154.86,154.83,154.78,154.78,154.87,154.97,155.04,155.08,155.13,155.22,155.33,155.38,155.43,155.57,155.78,155.95,156.09,156.24,156.49,156.79,157.05,157.24,157.49,157.72,157.81,157.71,157.47,157.21,156.87,156.53,156.19,155.85,155.54,155.32,155.24,155.24,155.27,155.32,155.43,155.64,155.87,155.97,155.92,155.87,155.87,155.89,155.87,155.85,155.85,155.89,155.98,156.1,156.23,156.35,156.52,156.7,156.88,157.06,157.26,157.46,157.73,157.99,158.16,158.29,158.52,158.7,158.79,158.79,158.65,158.47,158.25,158.03,157.7,157.36,157.14,157.01,156.83,156.65,156.53,156.47,156.5,156.6,156.76,156.94,157.14,157.35,157.56,157.86,158.23,158.58,158.97,159.45,160.0,160.52,160.91,161.1,161.12,161.05,160.93,160.68,160.32,160.0,159.76,159.57,159.44,159.38,159.41,159.58,159.85,160.06,160.17,160.31,160.59,160.88,161.13,161.3,161.28,161.18,161.11,161.08,160.97,160.8,160.73,160.85,161.14,161.39,161.51,161.55,161.67,161.87,161.99,161.95,161.86,161.83,161.93,162.04,162.06,161.89,161.63,161.36,160.93,160.25,159.41,158.64,157.92,157.27,156.7,156.29,156.07,156.04,156.14,156.33,156.6,156.89,157.19,157.53,157.85,158.1,158.35,158.62,158.73,158.6,158.38,158.26,158.16,158.02,157.84,157.76,157.8,157.96,158.13,158.22,158.34,158.51,158.69,158.81,158.85,158.81,158.83,158.97,159.12,159.18,159.23,159.39,159.64,159.82,159.86,159.82,159.78,159.85,159.9,159.85,159.81,159.82,159.82,159.76,159.68,159.63,159.58,159.57,159.59,159.56,159.51,159.52,159.56,159.6,159.67,159.76,159.88,160.01,160.19,160.37,160.53,160.69,160.76,160.65,160.44,160.27,160.13,159.91,159.55,159.3,159.23,159.28,159.31,159.22,159.08,159.01,158.99,158.87,158.63,158.32,158.07,157.89,157.73,157.55,157.48,157.55,157.74,157.91,158.04,158.16,158.34,158.63,158.96,159.07,159.0,158.97,159.02,159.02,158.84,158.64,158.54,158.52,158.49,158.39,158.25,158.2,158.24,158.17,157.98,157.8,157.81,157.97,158.11,158.16,158.21,158.4,158.76,159.16,159.44,159.62,159.69,159.71,159.74,159.78,159.76,159.75,159.82,159.9,159.9,159.83,159.78,159.74,159.66,159.51,159.29,159.05,158.88,158.68,158.38,1</t>
  </si>
  <si>
    <t>To_Avoid_Formula58.09,157.88,157.72,157.6,157.53,157.49,157.54,157.67,157.84,158.03,158.25,158.49,158.68,158.82,158.93,158.99,159.07,159.16,159.22,159.18,159.19,159.36,159.59,159.79,159.95,160.12,160.36,160.64,160.85,160.93,160.99,161.11,161.21,161.24,161.28,161.41,161.65,161.94,162.16,162.27,162.34,162.46,162.54,162.52,162.36,162.19,162.08,162.01,161.9,161.72,161.56,161.53,161.57,161.54,161.47,161.41,161.42,161.43,161.43,161.37,161.31,161.34,161.44,161.42,161.31,161.24,161.26,161.3,161.26,161.14,161.02,160.95,160.83,160.53,160.08,159.68,159.37,159.07,158.76,158.45,158.2,158.07,158.02,157.96,157.92,157.89,157.84,157.72,157.58,157.36,157.09,156.85,156.62,156.31,155.99,155.82,155.8,155.87,155.96,156.07,156.25,156.6,157.04,157.42,157.72,158.1,158.48,158.78,159.02,159.27,159.56,159.81,159.94,160.03,160.19,160.38,160.48,160.33,160.17,160.15,160.19,160.08,159.83,159.49,159.27,159.21,159.2,159.16,158.99,158.82,158.74,158.75,158.76,158.69,158.58,158.65,158.84,158.94,158.95,158.99,159.13,159.26,159.33,159.36,159.4,159.52,159.7,159.83,159.83,159.81,159.85,159.89,159.9,159.83,159.72,159.7,159.83,159.96,159.89,159.7,159.57,159.54,159.46,159.16,158.61,157.99,157.55,157.33,157.05,156.71,156.54,156.54,156.67,156.82,157.01,157.25,157.49,157.66,157.74,157.72,157.68,157.63,157.6,157.6,157.56,157.45,157.34,157.25,157.19,157.14,157.11,157.04,156.92,156.82,156.75,156.68,156.63,156.66,156.72,156.78,156.92,157.18,157.45,157.64,157.7,157.71,157.68,157.5,157.24,156.9,156.58,156.24,155.85,155.49,155.26,155.15,155.13,155.16,155.15,155.08,155.02,155.05,155.1,155.05,154.86,154.6,154.38,154.21,153.96,153.64,153.43,153.36,153.27,153.0,152.78,152.83,153.06,153.25,153.3,153.36,153.63,153.96,154.1,154.11,154.17,154.32,154.46,154.5,154.51,154.5,154.54,154.64,154.77,154.83,154.85,154.81,154.71,154.6,154.43,154.19,153.97,153.87,153.81,153.77,153.78,153.99,154.24,154.42,154.48,154.49,154.59,154.71,154.72,154.65,154.66,154.74,154.79,154.71,154.68,154.76,154.91,155.11,155.28,155.41,155.57,155.83,156.09,156.23,156.27,156.42,156.5,156.48,156.33,156.17,156.12,156.06,155.86,155.62,155.45,155.35,155.22,154.98,154.69,154.44,154.29,154.15,153.9,153.62,153.54,153.61,153.72,153.87,154.01,154.21,154.48,154.74,154.95,155.11,155.25,155.31,155.25,155.16,155.08,154.97,154.86,154.73,154.57,154.43,154.43,154.53,154.61,154.61,154.63,154.77,155.0,155.11,154.96,154.71,154.64,154.66,154.53,154.3,154.12,154.07,154.19,154.4,154.54,154.67,154.95,155.37,155.76,156.04,156.23,156.47,156.76,156.97,156.98,156.83,156.69,156.59,156.4,156.13,155.87,155.69,155.6,155.58,155.59,155.61,155.7,155.88,156.07,156.15,156.16,156.12,156.08,156.09,156.03,155.9,155.82,155.86,155.91,155.95,156.02,156.15,156.24,156.26,156.25,156.26,156.34,156.49,156.52,156.38,156.21,156.15,156.15,156.06,155.86,155.63,155.51,155.5,155.47,155.35,155.25,155.29,155.41,155.47,155.46,155.43,155.51,155.69,155.82,155.76,155.64,155.65,155.79,155.82,155.68,155.5,155.42,155.44,155.35,155.05,154.75,154.56,154.31,153.91,153.43,153.0,152.7,152.45,152.19,152.0,151.88,151.89,152.01,152.19,152.45,152.84,153.34,153.9,154.45,154.84,155.17,155.55,155.79,155.86,155.76,155.66,155.56,155.39,155.13,154.82,154.6,154.53,154.52,154.39,154.26,154.31,154.44,154.47,154.33,154.1,153.89,153.81,153.81,153.74,153.6,153.54,153.63,153.78,</t>
  </si>
  <si>
    <t>To_Avoid_Formula28.63,28.63,28.63,28.62,28.62,28.62,28.62,28.62,28.62,28.63,28.63,28.63,28.63,28.63,28.64,28.64,28.64,28.65,28.65,28.65,28.64,28.64,28.63,28.63,28.63,28.63,28.63,28.64,28.64,28.65,28.66,28.67,28.68,28.69,28.69,28.7,28.71,28.71,28.72,28.73,28.74,28.75,28.75,28.76,28.77,28.78,28.79,28.8,28.81,28.82,28.82,28.83,28.83,28.83,28.84,28.84,28.85,28.85,28.86,28.86,28.87,28.88,28.89,28.9,28.91,28.92,28.93,28.94,28.95,28.96,28.97,28.98,28.99,29.0,29.01,29.02,29.02,29.03,29.03,29.04,29.04,29.05,29.05,29.05,29.06,29.06,29.06,29.06,29.06,29.07,29.07,29.07,29.07,29.07,29.07,29.07,29.07,29.07,29.08,29.08,29.09,29.09,29.1,29.11,29.12,29.13,29.14,29.15,29.16,29.17,29.18,29.18,29.19,29.19,29.19,29.2,29.2,29.2,29.2,29.21,29.21,29.22,29.23,29.23,29.24,29.25,29.26,29.26,29.27,29.28,29.28,29.29,29.29,29.3,29.31,29.32,29.33,29.33,29.34,29.35,29.37,29.38,29.39,29.4,29.42,29.43,29.44,29.45,29.46,29.47,29.48,29.49,29.49,29.5,29.5,29.51,29.52,29.52,29.53,29.53,29.53,29.54,29.54,29.55,29.55,29.56,29.56,29.57,29.57,29.58,29.59,29.59,29.6,29.6,29.6,29.61,29.61,29.62,29.62,29.63,29.63,29.64,29.64,29.65,29.65,29.65,29.65,29.65,29.65,29.65,29.65,29.65,29.64,29.64,29.64,29.64,29.64,29.65,29.65,29.66,29.66,29.67,29.68,29.69,29.69,29.7,29.7,29.71,29.71,29.72,29.72,29.72,29.73,29.74,29.75,29.75,29.76,29.76,29.77,29.77,29.77,29.77,29.78,29.78,29.79,29.79,29.8,29.81,29.81,29.82,29.82,29.83,29.83,29.83,29.84,29.85,29.86,29.87,29.87,29.88,29.89,29.9,29.9,29.91,29.91,29.91,29.91,29.91,29.91,29.91,29.9,29.9,29.9,29.89,29.89,29.89,29.88,29.88,29.88,29.87,29.87,29.86,29.86,29.85,29.84,29.83,29.83,29.82,29.81,29.81,29.8,29.8,29.79,29.78,29.77,29.76,29.74,29.73,29.72,29.71,29.7,29.69,29.68,29.66,29.65,29.64,29.62,29.61,29.6,29.58,29.57,29.56,29.55,29.54,29.54,29.53,29.52,29.51,29.5,29.49,29.48,29.47,29.46,29.45,29.44,29.43,29.42,29.41,29.4,29.39,29.39,29.38,29.37,29.37,29.36,29.36,29.35,29.35,29.35,29.35,29.34,29.34,29.35,29.35,29.35,29.35,29.36,29.36,29.37,29.37,29.37,29.38,29.38,29.39,29.39,29.39,29.4,29.4,29.4,29.4,29.4,29.4,29.4,29.4,29.39,29.39,29.39,29.39,29.39,29.4,29.4,29.4,29.4,29.4,29.4,29.4,29.41,29.41,29.41,29.41,29.41,29.42,29.42,29.42,29.42,29.42,29.41,29.41,29.4,29.4,29.39,29.38,29.38,29.37,29.36,29.35,29.34,29.33,29.32,29.31,29.3,29.29,29.28,29.27,29.26,29.25,29.24,29.23,29.22,29.21,29.21,29.2,29.19,29.19,29.18,29.17,29.16,29.15,29.14,29.12,29.11,29.1,29.09,29.07,29.06,29.05,29.03,29.02,29.01,29.0,28.99,28.98,28.96,28.95,28.94,28.93,28.93,28.92,28.91,28.91,28.9,28.9,28.89,28.89,28.88,28.88,28.87,28.86,28.85,28.84,28.83,28.82,28.81,28.8,28.79,28.78,28.77,28.76,28.75,28.74,28.73,28.73,28.72,28.72,28.71,28.71,28.71,28.7,28.7,28.7,28.69,28.69,28.69,28.69,28.69,28.69,28.69,28.69,28.69,28.69,28.69,28.69,28.69,28.69,28.69,28.69,28.69,28.69,28.69,28.69,28.69,28.69,28.69,28.69,28.69,28.7,28.71,28.72,28.73,28.74,28.75,28.77,28.78,28.8,28.81,28.83,28.85,28.86,28.88,28.9,28.91,28.92,28.93,28.94,28.95,28.96,28.96,28.97,28.98,28.99,29.0,29.01,29.02,29.03,29.04,29.04,29.05,29.06,29.07,29.07,29.08,29.09,29.1,29.1,29.1,29.11,29.11,29.11,29.11,29.11,29.11,29.11,29.11,29.11,29.11,29.1,29.09,29.09,29.08,29.07,29.06,29.05,29.04,29.03,29.02,29.01,28.99,28.98,28.98,28.97,28.96,28.95,28.94,28.94,28.93,28.93,28.92,28.91,28.91,28.9,28.89,28.89,28.88,28.87,28.87,28.86,28.85,28.85,28.84,28.83,28.82,28.81,28.81,28.8,28.8,28.79,28.79,28.79,28.79,28.79,28.79,28.8,28.8,28.8,28.81,28.81,28.81,28.82,28.82,28.83,28.83,28.84,28.84,28.84,28.85,28.85,28.85,28.85,28.85,28.86,28.86,28.86,28.86,28.86,28.86,28.86,28.87,28.87,28.87,28.87,28.88,28.88,28.89,28.89,28.9,28.9,28.91,28.92,28.93,28.94,28.95,28.96,28.97,28.98,28.99,29.0,29.0,29.01,29.01,29.01,29.01,29.01,29.01,29.01,29.01,29.01,29.01,29.01,29.01,29.01,29.01,29.01,29.01,29.01,29.01,29.02,29.02,29.02,29.02,29.02,29.02,29.02,29.02,29.02,29.01,29.01,29.01,29.01,29.01,29.0,29.0,29.0,29.0,28.99,28.99,28.98,28.97,28.96,28.95,28.94,28.93,28.91,28.9,28.89,28.88,28.87,28.8</t>
  </si>
  <si>
    <t>To_Avoid_Formula6,28.85,28.84,28.84,28.84,28.83,28.83,28.83,28.83,28.82,28.82,28.81,28.81,28.8,28.79,28.78,28.78,28.77,28.76,28.75,28.74,28.73,28.72,28.71,28.7,28.7,28.7,28.69,28.69,28.69,28.69,28.69,28.68,28.68,28.68,28.68,28.68,28.68,28.69,28.69,28.7,28.7,28.71,28.71,28.72,28.73,28.73,28.74,28.75,28.76,28.76,28.77,28.78,28.79,28.79,28.8,28.81,28.81,28.82,28.83,28.83,28.84,28.85,28.86,28.87,28.88,28.89,28.9,28.92,28.93,28.94,28.95,28.96,28.97,28.98,28.99,29.0,29.01,29.02,29.03,29.03,29.04,29.05,29.06,29.06,29.07,29.07,29.08,29.08,29.09,29.09,29.1,29.1,29.1,29.11,29.11,29.11,29.12,29.12,29.13,29.13,29.13,29.13,29.14,29.14,29.14,29.14,29.13,29.13,29.13,29.13,29.12,29.12,29.12,29.11,29.11,29.1,29.1,29.09,29.09,29.08,29.08,29.07,29.07,29.06,29.06,29.05,29.05,29.04,29.03,29.03,29.02,29.01,29.01,29.0,28.99,28.98,28.98,28.97,28.96,28.94,28.93,28.92,28.91,28.89,28.88,28.87,28.85,28.84,28.82,28.81,28.79,28.78,28.76,28.75,28.74,28.73,28.73,28.72,28.71,28.71,28.7,28.69,28.69,28.68,28.67,28.67,28.66,28.65,28.65,28.64,28.63,28.62,28.61,28.6,28.6,28.59,28.58,28.57,28.56,28.55,28.54,28.53,28.51,28.5,28.49,28.48,28.47,28.46,28.45,28.45,28.45,28.45,28.45,28.45,28.45,28.44,28.44,28.44,28.44,28.44,28.44,28.44,28.43,28.43,28.42,28.42,28.41,28.41,28.4,28.4,28.39,28.39,28.39,28.38,28.38,28.38,28.38,28.38,28.38,28.38,28.38,28.38,28.38,28.39,28.39,28.4,28.41,28.42,28.42,28.43,28.44,28.45,28.46,28.47,28.48,28.49,28.5,28.5,28.51,28.52,28.52,28.53,28.54,28.54,28.55,28.55,28.56,28.57,28.57,28.58,28.58,28.58,28.59,28.59,28.59,28.59,28.6,28.6,28.6,28.6,28.6,28.6,28.6,28.6,28.6,28.6,28.59,28.59,28.59,28.59,28.59,28.59,28.58,28.58,28.58,28.58,28.57,28.57,28.56,28.55,28.55,28.54,28.54,28.54,28.53,28.53,28.53,28.52,28.51,28.51,28.5,28.5,28.49,28.48,28.47,28.46,28.46,28.45,28.44,28.43,28.43,28.43,28.42,28.42,28.43,28.43,28.43,28.43,28.44,28.45,28.45,28.46,28.47,28.48,28.49,28.5,28.51,28.52,28.54,28.55,28.56,28.57,28.58,28.59,28.6,28.61,28.62,28.63,28.64,28.66,28.67,28.67,28.68,28.69,28.7,28.71,28.72,28.73,28.74,28.75,28.76,28.77,28.78,28.79,28.81,28.82,28.83,28.85,28.86,28.87,28.88,28.89,28.9,28.92,28.93,28.93,28.94,28.95,28.95,28.96,28.96,28.96,28.96,28.97,28.97,28.97,28.97,28.97,28.97,</t>
  </si>
  <si>
    <t>To_Avoid_Formula0.0,0.0,0.0,0.0,0.0,0.0,0.0,0.0,0.0,0.0,0.0,0.0,0.0,0.0,0.0,0.0,0.0,0.0,0.0,0.0,0.0,0.0,0.0,0.0,0.0,0.0,0.0,0.0,0.0,0.0,0.0,0.0,0.0,0.0,0.0,0.0,0.0,0.0,0.0,0.0,0.0,0.0,0.0,0.0,0.0,0.0,0.0,0.0,0.0,0.0,0.0,0.0,0.0,0.0,0.0,0.0,</t>
  </si>
  <si>
    <t>To_Avoid_Formula0.06,-0.07,-0.18,-0.26,-0.28,-0.24,-0.15,0.0,0.18,0.4,0.63,0.86,1.07,1.25,1.4,1.53,1.69,1.88,2.12,2.42,2.76,3.12,3.47,3.8,4.08,4.29,4.43,4.5,4.49,4.42,4.3,4.14,3.95,3.74,3.53,3.33,3.13,2.94,2.75,2.58,2.44,2.33,2.26,2.25,2.28,2.37,2.5,2.66,2.84,3.02,3.2,3.36,3.49,3.59,3.65,3.68,3.67,3.64,3.57,3.49,3.39,3.28,3.17,3.06,2.95,2.84,2.74,2.65,2.6,2.59,2.62,2.68,2.78,2.89,3.02,3.17,3.31,3.44,3.55,3.64,3.68,3.67,3.6,3.46,3.27,3.02,2.73,2.44,2.15,1.9,1.69,1.54,1.45,1.43,1.46,1.54,1.68,1.86,2.08,2.33,2.6,2.88,3.15,3.42,3.66,3.89,4.08,4.22,4.29,4.27,4.18,4.03,3.86,3.67,3.49,3.31,3.13,2.96,2.79,2.65,2.53,2.45,2.4,2.4,2.41,2.46,2.52,2.61,2.72,2.82,2.92,3.0,3.04,3.06,3.06,3.04,3.02,2.98,2.95,2.92,2.9,2.87,2.83,2.78,2.7,2.6,2.48,2.34,2.19,2.04,1.89,1.76,1.64,1.54,1.47,1.41,1.38,1.37,1.38,1.4,1.43,1.46,1.48,1.49,1.49,1.49,1.47,1.43,1.38,1.32,1.25,1.16,1.07,0.97,0.86,0.74,0.61,0.5,0.4,0.33,0.27,0.23,0.21,0.22,0.25,0.31,0.39,0.51,0.64,0.79,0.95,1.12,1.28,1.45,1.6,1.73,1.83,1.9,1.92,1.91,1.86,1.78,1.69,1.57,1.43,1.28,1.14,1.03,0.96,0.94,0.95,1.0,1.08,1.17,1.27,1.38,1.5,1.62,1.73,1.83,1.93,2.01,2.08,2.13,2.17,2.21,2.25,2.31,2.37,2.45,2.53,2.61,2.68,2.75,2.8,2.83,2.85,2.85,2.86,2.85,2.83,2.8,2.75,2.67,2.55,2.41,2.26,2.1,1.95,1.82,1.7,1.6,1.51,1.41,1.32,1.22,1.12,1.04,0.98,0.95,0.95,0.96,1.0,1.03,1.08,1.13,1.19,1.27,1.36,1.47,1.59,1.73,1.89,2.07,2.26,2.46,2.67,2.89,3.12,3.36,3.59,3.8,3.99,4.16,4.29,4.4,4.48,4.54,4.59,4.63,4.67,4.69,4.71,4.7,4.65,4.55,4.39,4.17,3.92,3.65,3.37,3.09,2.82,2.59,2.39,2.24,2.14,2.07,2.06,2.08,2.15,2.25,2.37,2.5,2.63,2.75,2.84,2.89,2.91,2.9,2.88,2.85,2.83,2.81,2.79,2.76,2.72,2.67,2.6,2.52,2.44,2.35,2.26,2.18,2.09,1.99,1.87,1.74,1.59,1.43,1.26,1.1,0.95,0.82,0.71,0.63,0.56,0.5,0.46,0.42,0.41,0.42,0.46,0.52,0.61,0.71,0.82,0.92,1.01,1.08,1.12,1.16,1.19,1.21,1.24,1.27,1.27,1.26,1.22,1.17,1.11,1.05,1.0,0.95,0.92,0.88,0.83,0.77,0.69,0.59,0.49,0.37,0.27,0.19,0.15,0.14,0.18,0.26,0.36,0.48,0.59,0.7,0.78,0.85,0.89,0.93,0.98,1.04,1.12,1.2,1.28,1.35,1.41,1.45,1.47,1.48,1.48,1.47,1.45,1.43,1.41,1.39,1.36,1.33,1.29,1.23,1.16,1.08,1.0,0.95,0.93,0.96,1.03,1.13,1.25,1.38,1.51,1.63,1.74,1.83,1.92,2.01,2.09,2.17,2.23,2.28,2.32,2.35,2.38,2.41,2.43,2.43,2.42,2.39,2.34,2.26,2.16,2.05,1.94,1.83,1.73,1.66,1.6,1.57,1.56,1.57,1.61,1.66,1.71,1.77,1.81,1.85,1.89,1.93,1.96,1.99,2.03,2.09,2.17,2.28,2.42,2.55,2.69,2.82,2.94,3.05,3.14,3.2,3.24,3.23,3.2,3.15,3.11,3.07,3.03,2.98,2.91,2.83,2.73,2.64,2.54,2.46,2.37,2.3,2.24,2.19,2.16,2.14,2.14,2.15,2.18,2.22,2.27,2.33,2.38,2.43,2.48,2.53,2.56,2.59,2.61,2.64,2.66,2.67,2.68,2.66,2.62,2.56,2.46,2.35,2.21,2.08,1.96,1.87,1.8,1.76,1.75,1.76,1.8,1.87,1.95,2.04,2.15,2.27,2.4,2.53,2.65,2.75,2.81,2.84,2.83,2.78,2.7,2.59,2.47,2.34,2.23,2.13,2.06,2.01,1.97,1.95,1.94,1.93,1.94,1.94,1.95,1.96,1.98,2.0,2.03,2.05,2.07,2.07,2.06,2.03,1.99,1.95,1.91,1.88,1.86,1.84,1.82,1.83,1.85,1.88,1.91,1.93,1.92,1.88,1.79,1.66,1.5,1.32,1.14,0.97,0.82,0.68,0.58,0.51,0.49,0.52,0.6,0.73,0.92,1.15,1.43,1.74,2.07,2.41,2.73,3.03,3.29,3.49,3.63,3.71,3.72,3.67,3.58,3.46,3.31,3.15,2.99,2.81,2.64,2.47,2.32,2.18,2.06,1.96,1.87,1.78,1.71,1.65,1.61,1.58,1.56,1.55,1.56,1.59,1.64,1.7,1.79,1.88,1.97,2.04,2.08,2.11,2.13,2.13,2.14,2.15,2.15,2.16,2.17,2.17,2.16,2.16,2.15,2.15,2.14,2.12,2.09,2.05,1.99,1.91,1.82,1.72,1.61,1.48,1.36,1.23,1.11,0.99,0.88,0.76,0.66,0.56,0.49,0.43,0.41,0.4,0.4,0.44,0.49,0.56,0.64,0.72,0.8,0.88,0.96,1.05,1.13,1.22,1.32,1.4,1.48,1.55,1.61,1.66,1.69,1.69,1.65,1.56,1.42,1.24,1.04,0.83,0.61,0.39,0.18,-0.03,-0.22,-0.41,-0.6,-0.79,-0.97,-1.15,-1.32,-1.5,-1.68,-1.89,-2.11,-2.35,-2.6,-2.86,-3.12,-3.37,-3.6,-3.8,-3.98,-4.13,-4.25,-4.36,-4.46,-4.54,-4.61,-4.65,-4.67,-4.66,-4.62,-4.55,-4.46,-4.33,-4.18,-4.02,-3.86,-3.69,-3.52,-3.36,-3.22,-3.1,-3.0,-2.92,-2.86,-2.82,-2.79,-2.78,-2.77,-2.76,-2.74,-2.7,-2.64,-2.57,-2.47,-2.35,-2.22,-2.06,-1.88,-1.67,-1.43,-1.16,-0.88,-0.59,-0.31,-0.06,0.15,0.29,0.36,0.32,0.2,-0.01,-0.26,-0.53,-0.81,-1.07,-1.29,-1.48,-1.62,-1.74,-1.82,-1</t>
  </si>
  <si>
    <t>To_Avoid_Formula.89,-1.94,-1.97,-1.98,-1.97,-1.92,-1.84,-1.72,-1.58,-1.42,-1.25,-1.09,-0.95,-0.83,-0.72,-0.61,-0.5,-0.38,-0.23,-0.07,0.1,0.27,0.44,0.58,0.71,0.83,0.95,1.08,1.22,1.36,1.52,1.69,1.87,2.05,2.23,2.41,2.58,2.73,2.88,3.01,3.13,3.23,3.29,3.33,3.33,3.29,3.23,3.14,3.04,2.93,2.81,2.7,2.59,2.48,2.37,2.27,2.19,2.14,2.11,2.11,2.13,2.15,2.18,2.21,2.22,2.22,2.22,2.2,2.18,2.15,2.1,2.02,1.92,1.77,1.34,1.08,0.82,0.57,0.32,0.07,-0.17,-0.41,-0.65,-0.89,-1.11,-1.3,-1.46,-1.58,-1.66,-1.7,-1.72,-1.72,-1.72,-1.71,-1.71,-1.7,-1.68,-1.65,-1.59,-1.52,-1.46,-1.4,-1.38,-1.39,-1.44,-1.53,-1.64,-1.76,-1.9,-2.03,-2.15,-2.28,-2.4,-2.53,-2.65,-2.76,-2.86,-2.94,-2.99,-3.02,-3.01,-2.99,-2.96,-2.93,-2.89,-2.86,-2.82,-2.77,-2.7,-2.62,-2.52,-2.42,-2.31,-2.2,-2.1,-1.99,-1.88,-1.77,-1.64,-1.51,-1.38,-1.25,-1.14,-1.07,-1.03,-1.04,-1.09,-1.17,-1.27,-1.38,-1.49,-1.6,-1.7,-1.79,-1.88,-1.94,-2.0,-2.03,-2.06,-2.07,-2.07,-2.06,-2.05,-2.04,-2.06,-2.09,-2.15,-2.24,-2.35,-2.49,-2.65,-2.83,-3.04,-3.27,-3.54,-3.83,-4.13,-4.42,-4.7,-4.93,-5.12,-5.24,-5.29,-5.27,-5.18,-5.04,-4.85,-4.64,-4.41,-4.17,-3.94,-3.72,-3.51,-3.32,-3.14,-2.98,-2.85,-2.74,-2.67,-2.62,-2.61,-2.62,-2.66,-2.72,-2.78,-2.83,-2.86,-2.86,-2.84,-2.79,-2.72,-2.63,-2.53,-2.41,-2.29,-2.15,-1.99,-1.82,-1.64,-1.44,-1.25,-1.07,-0.91,-0.77,-0.66,-0.56,-0.48,-0.42,-0.38,-0.35,-0.33,-0.34,-0.35,-0.39,-0.44,-0.51,-0.61,-0.72,-0.83,-0.94,-1.04,-1.13,-1.22,-1.29,-1.36,-1.43,-1.51,-1.6,-1.71,-1.82,-1.94,-2.05,-2.15,-2.25,-2.33,</t>
  </si>
  <si>
    <t>To_Avoid_Formula0.76,0.73,0.7,0.67,0.66,0.64,0.63,0.56,0.45,0.38,0.41,0.46,0.46,0.46,0.47,0.47,0.49,0.52,0.53,0.46,0.41,0.39,0.37,0.37,0.4,0.45,0.53,0.65,0.72,0.73,0.76,0.86,0.91,0.89,0.86,0.77,0.68,0.59,0.51,0.38,0.28,0.21,0.12,-0.06,-0.24,-0.35,-0.43,-0.5,-0.6,-0.8,-1.02,-1.17,-1.36,-1.62,-1.88,-2.04,-2.19,-2.36,-2.36,-2.15,-1.8,-1.46,-1.25,-1.13,-0.96,-0.72,-0.53,-0.42,-0.42,-0.4,-0.33,-0.21,-0.13,-0.14,-0.15,-0.05,0.06,0.09,0.11,0.1,0.1,0.16,0.24,0.24,0.26,0.38,0.57,0.66,0.71,0.81,0.89,0.96,1.01,0.98,0.87,0.78,0.71,0.6,0.48,0.43,0.37,0.31,0.25,0.18,0.12,0.16,0.24,0.24,0.17,0.09,0.05,0.01,-0.05,-0.19,-0.35,-0.44,-0.5,-0.65,-0.86,-0.97,-0.93,-0.84,-0.74,-0.65,-0.52,-0.26,0.08,0.36,0.57,0.73,0.88,0.99,1.02,1.0,0.91,0.81,0.73,0.65,0.53,0.44,0.42,0.42,0.32,0.14,0.0,-0.07,-0.13,-0.2,-0.33,-0.48,-0.56,-0.55,-0.51,-0.49,-0.52,-0.54,-0.5,-0.42,-0.27,0.01,0.35,0.58,0.65,0.72,0.86,0.85,0.66,0.53,0.48,0.43,0.4,0.45,0.47,0.39,0.36,0.43,0.46,0.39,0.35,0.37,0.4,0.35,0.21,0.07,0.05,0.1,0.09,0.04,-0.08,-0.18,-0.26,-0.41,-0.76,-1.13,-1.36,-1.43,-1.42,-1.32,-1.12,-0.94,-0.6,-0.11,0.37,0.61,0.62,0.61,0.66,0.61,0.35,-0.01,-0.36,-0.61,-0.88,-1.2,-1.45,-1.62,-1.73,-1.68,-1.39,-1.06,-0.88,-0.78,-0.69,-0.57,-0.36,-0.17,-0.09,-0.1,-0.08,-0.06,-0.1,-0.22,-0.35,-0.49,-0.54,-0.44,-0.27,-0.07,0.13,0.4,0.77,1.2,1.53,1.74,1.97,2.23,2.36,2.28,2.1,1.82,1.51,1.18,0.9,0.75,0.73,0.82,0.85,0.82,0.8,0.86,0.96,0.99,0.83,0.56,0.35,0.28,0.24,0.13,0.04,0.01,0.0,-0.01,-0.04,-0.11,-0.14,-0.12,-0.1,-0.12,-0.08,0.03,0.12,0.1,0.05,0.02,0.04,0.04,-0.03,-0.14,-0.18,-0.17,-0.2,-0.3,-0.39,-0.43,-0.47,-0.51,-0.56,-0.54,-0.51,-0.56,-0.73,-0.99,-1.19,-1.37,-1.57,-1.77,-1.93,-2.03,-2.07,-2.03,-1.95,-1.89,-1.79,-1.63,-1.43,-1.22,-1.07,-0.99,-0.92,-0.77,-0.63,-0.57,-0.51,-0.37,-0.2,-0.02,0.21,0.45,0.63,0.82,0.97,1.05,1.04,1.01,1.01,1.06,1.08,1.02,0.94,1.0,1.04,0.97,0.82,0.62,0.4,0.18,-0.01,-0.25,-0.47,-0.59,-0.64,-0.76,-0.91,-1.0,-1.08,-1.15,-1.17,-1.12,-1.01,-0.85,-0.66,-0.51,-0.3,-0.04,0.19,0.38,0.64,0.94,1.21,1.39,1.43,1.34,1.19,1.02,0.8,0.48,0.21,0.06,0.02,0.06,0.09,0.15,0.28,0.48,0.57,0.53,0.49,0.59,0.67,0.68,0.62,0.43,0.2,0.07,0.01,-0.11,-0.27,-0.27,-0.08,0.26,0.51,0.58,0.54,0.51,0.58,0.58,0.41,0.19,0.08,0.15,0.24,0.24,0.12,0.01,-0.03,-0.18,-0.52,-0.94,-1.24,-1.47,-1.66,-1.79,-1.81,-1.73,-1.55,-1.28,-0.96,-0.64,-0.41,-0.25,-0.06,0.15,0.32,0.51,0.79,1.0,1.02,0.94,0.96,1.0,1.01,0.99,1.09,1.29,1.52,1.69,1.73,1.74,1.82,1.92,1.92,1.81,1.61,1.46,1.43,1.4,1.25,1.12,1.1,1.2,1.23,1.17,1.04,0.92,0.9,0.91,0.82,0.7,0.63,0.52,0.32,0.05,-0.13,-0.24,-0.31,-0.36,-0.48,-0.64,-0.7,-0.72,-0.8,-0.88,-0.9,-0.9,-0.92,-0.92,-0.93,-0.96,-0.97,-0.97,-1.07,-1.22,-1.3,-1.37,-1.48,-1.69,-1.82,-1.81,-1.72,-1.64,-1.63,-1.65,-1.57,-1.42,-1.35,-1.38,-1.45,-1.46,-1.39,-1.33,-1.32,-1.29,-1.14,-0.9,-0.75,-0.68,-0.6,-0.48,-0.31,-0.15,-0.11,-0.16,-0.14,-0.06,-0.07,-0.24,-0.39,-0.37,-0.28,-0.23,-0.28,-0.38,-0.39,-0.31,-0.33,-0.48,-0.58,-0.49,-0.33,-0.26,-0.25,-0.25,-0.15,0.08,0.33,0.42,0.41,0.36,0.28,0.21,0.16,0.08,0.0,0.03,0.07,0.02,-0.07,-0.1,-0.1,-0.15,-0.22,-0.29,-0.34,-0.34,-0.35,-0.44,-0.52,-0.5,-0.4,-0.3,-0.15,0.04,0.26,0.54,0.82,1.04,1.23,1.41,1.54,1.59,1.62,1.63,1.61,1.6,1.58,1.45,1.3,1.29,1.32,1.27,1.13,0.99,0.91,0.91,0.9,0.81,0.71,0.7,0.73,0.68,0.62,0.64,0.69,0.76,0.76,0.71,0.67,0.7,0.72,0.64,0.43,0.26,0.15,0.04,-0.12,-0.37,-0.65,-0.81,-0.88,-1.02,-1.18,-1.27,-1.21,-1.16,-1.13,-1.12,-1.12,-1.01,-0.77,-0.64,-0.64,-0.6,-0.52,-0.43,-0.39,-0.33,-0.25,-0.09,0.03,-0.01,-0.24,-0.44,-0.5,-0.54,-0.6,-0.66,-0.69,-0.63,-0.52,-0.46,-0.42,-0.34,-0.27,-0.29,-0.34,-0.42,-0.5,-0.52,-0.47,-0.48,-0.56,-0.51,-0.28,0.01,0.23,0.38,0.55,0.82,1.14,1.4,1.57,1.74,1.93,2.06,2.11,2.15,2.16,2.1,2.03,1.94,1.88,1.87,1.82,1.59,1.36,1.3,1.35,1.28,1.08,0.82,0.6,0.51,0.51,0.49,0.36,0.25,0.28,0.37,0.42,0.38,0.26,0.2,0.27,0.25,0.11,0.0,-0.04,-0.14,-0.32,-0.46,-0.55,-0.58,-0.55,-0.58,-0.73,-0.85,-0.89,-0.93,-0.98,-1.09,-1.25,-1.36,-1.31,-1.26,-1.39,-1.6,-1.68,-1.63,-1.64,-1</t>
  </si>
  <si>
    <t>To_Avoid_Formula.78,-2.08,-2.43,-2.62,-2.6,-2.65,-2.8,-2.81,-2.68,-2.46,-2.23,-1.96,-1.68,-1.44,-1.21,-0.98,-0.78,-0.58,-0.4,-0.27,-0.17,-0.11,-0.09,-0.07,-0.01,0.05,0.1,0.13,0.18,0.18,0.14,0.13,0.12,0.09,0.1,0.13,0.12,0.12,0.16,0.15,0.08,0.03,0.05,0.07,0.04,-0.01,-0.05,-0.1,-0.14,-0.22,-0.34,-0.38,-0.35,-0.31,-0.27,-0.23,-0.21,-0.16,-0.02,0.14,0.2,0.13,0.0,-0.09,-0.13,-0.22,-0.37,-0.42,-0.36,-0.32,-0.4,-0.41,-0.21,0.09,0.32,0.43,0.56,0.86,1.17,1.27,1.24,1.26,1.41,1.55,1.61,1.63,1.61,1.61,1.67,1.73,1.68,1.6,1.55,1.48,1.39,1.23,0.95,0.66,0.48,0.34,0.17,0.04,0.18,0.31,0.32,0.24,0.18,0.23,0.35,0.4,0.38,0.42,0.49,0.52,0.42,0.34,0.37,0.42,0.47,0.52,0.57,0.64,0.79,0.93,0.97,0.95,1.02,1.03,0.95,0.78,0.61,0.53,0.49,0.28,-0.02,-0.23,-0.31,-0.39,-0.55,-0.69,-0.79,-0.84,-0.88,-0.97,-1.06,-1.03,-0.92,-0.84,-0.77,-0.65,-0.48,-0.27,-0.07,0.07,0.15,0.22,0.24,0.16,0.04,-0.04,-0.09,-0.15,-0.23,-0.33,-0.42,-0.39,-0.28,-0.23,-0.29,-0.33,-0.24,-0.08,-0.04,-0.23,-0.46,-0.48,-0.4,-0.48,-0.64,-0.71,-0.66,-0.54,-0.38,-0.23,-0.1,0.12,0.44,0.68,0.76,0.8,0.89,1.01,1.06,0.96,0.72,0.5,0.41,0.27,0.06,-0.1,-0.15,-0.13,-0.09,-0.07,-0.05,0.01,0.15,0.29,0.36,0.33,0.22,0.12,0.04,-0.07,-0.22,-0.34,-0.4,-0.49,-0.58,-0.6,-0.56,-0.61,-0.73,-0.83,-0.91,-0.96,-0.93,-0.92,-0.99,-1.05,-1.0,-0.86,-0.82,-0.88,-0.92,-0.84,-0.7,-0.61,-0.63,-0.65,-0.53,-0.36,-0.33,-0.4,-0.5,-0.48,-0.38,-0.32,-0.41,-0.53,-0.53,-0.44,-0.47,-0.6,-0.69,-0.69,-0.6,-0.55,-0.6,-0.69,-0.68,-0.64,-0.75,-0.94,-1.0,-0.86,-0.68,-0.53,-0.39,-0.25,-0.07,0.18,0.43,0.65,0.93,1.3,1.69,1.97,2.06,2.13,2.29,2.37,2.26,2.04,1.88,1.76,1.58,1.34,1.07,0.83,0.73,0.69,0.54,0.37,0.38,0.48,0.46,0.3,0.15,0.04,0.0,0.01,0.0,-0.08,-0.12,-0.03,0.09,</t>
  </si>
  <si>
    <t>To_Avoid_Formula-1.4,-1.29,-1.18,-1.1,-1.03,-0.97,-0.92,-0.9,-0.9,-0.9,-0.83,-0.75,-0.71,-0.68,-0.62,-0.55,-0.47,-0.37,-0.27,-0.21,-0.15,-0.09,-0.06,-0.03,0.01,0.04,0.09,0.16,0.21,0.22,0.26,0.36,0.46,0.52,0.57,0.59,0.59,0.58,0.6,0.61,0.62,0.64,0.65,0.58,0.48,0.43,0.38,0.32,0.21,0.0,-0.25,-0.45,-0.67,-0.95,-1.24,-1.46,-1.63,-1.79,-1.81,-1.63,-1.3,-0.92,-0.62,-0.41,-0.19,0.09,0.37,0.6,0.74,0.87,1.03,1.23,1.39,1.47,1.54,1.68,1.84,1.94,2.03,2.09,2.16,2.25,2.33,2.34,2.33,2.39,2.49,2.52,2.51,2.54,2.56,2.57,2.57,2.56,2.51,2.45,2.43,2.38,2.3,2.22,2.1,1.96,1.83,1.69,1.53,1.41,1.37,1.3,1.21,1.13,1.07,1.01,0.94,0.85,0.77,0.77,0.82,0.82,0.77,0.79,0.86,0.93,0.98,0.98,0.92,0.88,0.91,0.94,0.97,1.01,1.1,1.19,1.27,1.38,1.52,1.63,1.73,1.83,1.9,1.98,2.07,2.14,2.12,2.03,1.98,1.96,1.95,1.93,1.9,1.85,1.82,1.82,1.82,1.77,1.68,1.58,1.46,1.32,1.22,1.23,1.31,1.35,1.32,1.29,1.31,1.26,1.09,0.95,0.89,0.86,0.87,0.97,1.03,1.04,1.12,1.27,1.37,1.37,1.4,1.48,1.55,1.56,1.48,1.4,1.38,1.38,1.34,1.28,1.2,1.14,1.12,1.05,0.87,0.66,0.51,0.41,0.33,0.27,0.23,0.13,0.1,0.17,0.23,0.19,0.07,0.0,0.01,0.02,-0.02,-0.08,-0.09,-0.03,-0.01,-0.08,-0.15,-0.18,-0.2,-0.16,0.0,0.14,0.19,0.22,0.27,0.32,0.39,0.48,0.54,0.58,0.65,0.73,0.75,0.74,0.69,0.61,0.54,0.53,0.56,0.57,0.58,0.6,0.66,0.75,0.8,0.79,0.82,0.9,0.95,0.92,0.81,0.62,0.4,0.19,-0.01,-0.15,-0.24,-0.22,-0.19,-0.17,-0.14,-0.08,0.01,0.1,0.14,0.14,0.15,0.23,0.34,0.44,0.56,0.7,0.81,0.9,0.97,1.01,1.02,1.02,1.02,1.0,1.0,1.05,1.07,1.01,0.92,0.86,0.82,0.76,0.67,0.53,0.4,0.31,0.2,0.03,-0.13,-0.3,-0.48,-0.64,-0.77,-0.86,-0.93,-0.99,-1.09,-1.23,-1.32,-1.36,-1.44,-1.55,-1.62,-1.68,-1.72,-1.76,-1.81,-1.88,-1.92,-1.93,-1.93,-1.93,-1.89,-1.87,-1.83,-1.75,-1.68,-1.66,-1.64,-1.55,-1.44,-1.33,-1.18,-1.01,-0.88,-0.76,-0.66,-0.63,-0.68,-0.75,-0.79,-0.81,-0.84,-0.9,-0.97,-0.94,-0.9,-0.92,-0.98,-1.04,-1.09,-1.15,-1.2,-1.25,-1.31,-1.33,-1.34,-1.41,-1.51,-1.6,-1.71,-1.86,-2.0,-2.1,-2.14,-2.13,-2.09,-2.06,-2.01,-1.93,-1.86,-1.81,-1.74,-1.62,-1.49,-1.38,-1.29,-1.24,-1.23,-1.2,-1.19,-1.23,-1.27,-1.25,-1.15,-1.01,-0.91,-0.83,-0.74,-0.62,-0.56,-0.59,-0.62,-0.58,-0.56,-0.58,-0.63,-0.71,-0.81,-0.83,-0.81,-0.83,-0.85,-0.79,-0.61,-0.37,-0.17,-0.07,-0.05,-0.05,0.01,0.05,-0.01,-0.1,-0.13,-0.05,0.06,0.13,0.16,0.23,0.37,0.47,0.47,0.44,0.46,0.49,0.5,0.5,0.52,0.54,0.57,0.64,0.73,0.8,0.78,0.71,0.67,0.67,0.69,0.74,0.88,1.07,1.17,1.22,1.32,1.44,1.53,1.62,1.77,1.98,2.17,2.31,2.37,2.39,2.46,2.56,2.61,2.57,2.49,2.42,2.4,2.39,2.3,2.23,2.22,2.29,2.33,2.35,2.35,2.35,2.39,2.46,2.5,2.49,2.49,2.46,2.36,2.2,2.09,2.04,2.0,1.98,1.89,1.77,1.72,1.69,1.59,1.47,1.41,1.35,1.25,1.16,1.06,0.96,0.88,0.84,0.8,0.74,0.71,0.69,0.64,0.54,0.46,0.42,0.39,0.37,0.33,0.3,0.32,0.38,0.42,0.42,0.39,0.4,0.43,0.45,0.41,0.36,0.35,0.38,0.34,0.25,0.18,0.13,0.08,0.02,-0.04,-0.1,-0.11,-0.09,-0.14,-0.28,-0.39,-0.39,-0.36,-0.35,-0.42,-0.52,-0.59,-0.61,-0.67,-0.8,-0.9,-0.91,-0.92,-0.99,-1.08,-1.18,-1.24,-1.24,-1.22,-1.28,-1.39,-1.49,-1.58,-1.67,-1.75,-1.84,-1.93,-1.96,-1.97,-2.04,-2.11,-2.14,-2.14,-2.19,-2.22,-2.22,-2.2,-2.17,-2.14,-2.15,-2.17,-2.12,-2.04,-1.96,-1.86,-1.72,-1.58,-1.41,-1.25,-1.13,-1.04,-0.96,-0.89,-0.86,-0.82,-0.79,-0.78,-0.76,-0.74,-0.78,-0.87,-0.9,-0.91,-0.98,-1.12,-1.27,-1.38,-1.45,-1.47,-1.51,-1.54,-1.52,-1.45,-1.41,-1.4,-1.36,-1.33,-1.29,-1.28,-1.27,-1.23,-1.13,-1.03,-0.98,-0.99,-0.97,-0.94,-0.93,-0.96,-1.07,-1.23,-1.35,-1.42,-1.53,-1.65,-1.72,-1.67,-1.64,-1.61,-1.58,-1.56,-1.49,-1.29,-1.15,-1.1,-1.02,-0.95,-0.87,-0.8,-0.67,-0.52,-0.32,-0.11,0.0,-0.01,-0.03,0.02,0.08,0.13,0.15,0.17,0.21,0.27,0.29,0.29,0.31,0.33,0.31,0.26,0.21,0.18,0.2,0.27,0.31,0.29,0.31,0.45,0.6,0.7,0.73,0.77,0.83,0.93,1.02,1.08,1.12,1.2,1.27,1.32,1.35,1.35,1.31,1.3,1.32,1.32,1.36,1.41,1.41,1.38,1.46,1.61,1.73,1.77,1.77,1.75,1.75,1.83,1.9,1.92,1.95,2.07,2.2,2.31,2.35,2.33,2.29,2.31,2.3,2.21,2.12,2.06,1.93,1.76,1.64,1.55,1.5,1.46,1.39,1.27,1.17,1.12,1.08,1.03,0.95,0.83,0.71,0.68,0.64,0.52,0.37,0.3,0.31,0.28,0.22,0.11,-0.06,-0.18,-0.21,-0.3,-0.46,-0.6,-0.66,-0.</t>
  </si>
  <si>
    <t>To_Avoid_Formula7,-0.74,-0.73,-0.73,-0.73,-0.72,-0.64,-0.52,-0.4,-0.27,-0.21,-0.18,-0.18,-0.17,-0.16,-0.14,-0.11,-0.11,-0.12,-0.1,-0.11,-0.17,-0.21,-0.26,-0.34,-0.42,-0.48,-0.59,-0.72,-0.87,-1.07,-1.28,-1.4,-1.43,-1.43,-1.42,-1.39,-1.33,-1.28,-1.23,-1.21,-1.25,-1.29,-1.31,-1.37,-1.46,-1.52,-1.56,-1.59,-1.56,-1.51,-1.5,-1.56,-1.64,-1.72,-1.77,-1.85,-1.95,-2.03,-2.07,-2.1,-2.18,-2.21,-2.16,-2.09,-2.05,-2.04,-2.01,-1.9,-1.77,-1.75,-1.79,-1.8,-1.71,-1.61,-1.53,-1.48,-1.44,-1.42,-1.35,-1.29,-1.3,-1.31,-1.28,-1.23,-1.2,-1.21,-1.32,-1.47,-1.58,-1.68,-1.82,-1.95,-1.92,-1.9,-1.95,-2.02,-2.06,-2.02,-1.93,-1.83,-1.76,-1.69,-1.6,-1.53,-1.54,-1.54,-1.5,-1.46,-1.44,-1.4,-1.34,-1.26,-1.13,-1.0,-0.91,-0.82,-0.56,-0.46,-0.39,-0.35,-0.33,-0.26,-0.17,-0.18,-0.28,-0.34,-0.31,-0.28,-0.28,-0.25,-0.22,-0.19,-0.16,-0.14,-0.12,-0.07,-0.02,-0.02,-0.03,0.01,0.08,0.18,0.28,0.36,0.42,0.47,0.53,0.55,0.53,0.55,0.59,0.63,0.65,0.65,0.65,0.69,0.76,0.79,0.76,0.73,0.76,0.84,0.87,0.79,0.7,0.72,0.8,0.78,0.73,0.74,0.79,0.83,0.89,0.97,1.04,1.15,1.3,1.42,1.44,1.47,1.54,1.62,1.69,1.7,1.64,1.59,1.62,1.65,1.63,1.64,1.71,1.8,1.87,1.91,1.94,1.99,2.07,2.16,2.23,2.26,2.22,2.17,2.13,2.08,2.01,1.94,1.86,1.75,1.63,1.56,1.53,1.44,1.29,1.17,1.07,0.95,0.87,0.84,0.81,0.79,0.83,0.92,0.96,0.96,0.98,1.04,1.13,1.18,1.16,1.13,1.17,1.22,1.18,1.06,0.92,0.84,0.8,0.75,0.64,0.53,0.46,0.42,0.32,0.21,0.13,0.1,0.1,0.12,0.15,0.12,0.12,0.18,0.16,0.08,0.09,0.22,0.38,0.51,0.6,0.65,0.7,0.77,0.82,0.82,0.85,0.93,1.04,1.07,1.02,0.99,1.04,1.1,1.06,0.98,0.96,0.97,0.95,0.9,0.83,0.73,0.67,0.65,0.58,0.47,0.46,0.49,0.46,0.37,0.32,0.31,0.28,0.26,0.27,0.23,0.19,0.2,0.22,</t>
  </si>
  <si>
    <t>To_Avoid_Formula0.77,0.93,1.05,1.13,1.17,1.18,1.16,1.15,1.13,1.09,1.07,1.05,1.0,0.94,0.93,0.93,0.93,0.96,1.02,1.06,1.08,1.06,1.01,0.91,0.81,0.69,0.56,0.45,0.32,0.19,0.09,0.06,0.06,0.06,0.06,0.05,-0.01,-0.08,-0.08,-0.06,-0.06,-0.05,-0.07,-0.14,-0.23,-0.3,-0.38,-0.5,-0.66,-0.91,-1.2,-1.44,-1.65,-1.88,-2.11,-2.26,-2.33,-2.34,-2.2,-1.9,-1.47,-0.97,-0.52,-0.19,0.09,0.41,0.75,1.05,1.26,1.42,1.59,1.77,1.9,1.96,1.97,2.03,2.1,2.14,2.15,2.13,2.12,2.08,2.01,1.87,1.69,1.54,1.42,1.25,1.03,0.85,0.67,0.49,0.33,0.21,0.1,-0.01,-0.09,-0.16,-0.27,-0.44,-0.68,-0.94,-1.15,-1.35,-1.62,-1.85,-1.99,-2.08,-2.14,-2.17,-2.18,-2.18,-2.17,-2.13,-2.04,-1.86,-1.6,-1.37,-1.16,-0.93,-0.73,-0.6,-0.54,-0.56,-0.73,-0.98,-1.2,-1.33,-1.43,-1.45,-1.37,-1.24,-1.07,-0.79,-0.42,-0.09,0.18,0.45,0.69,0.9,1.06,1.17,1.19,1.16,1.16,1.17,1.17,1.19,1.24,1.28,1.28,1.26,1.21,1.09,0.94,0.76,0.51,0.19,-0.13,-0.36,-0.49,-0.6,-0.71,-0.81,-0.87,-0.94,-1.05,-1.13,-1.14,-1.09,-0.97,-0.79,-0.63,-0.48,-0.26,0.0,0.18,0.25,0.35,0.48,0.59,0.64,0.63,0.59,0.57,0.53,0.46,0.4,0.36,0.36,0.41,0.46,0.48,0.47,0.47,0.42,0.31,0.19,-0.02,-0.29,-0.6,-0.87,-1.14,-1.4,-1.57,-1.61,-1.56,-1.41,-1.14,-0.81,-0.4,0.03,0.42,0.66,0.85,1.04,1.18,1.29,1.37,1.37,1.31,1.3,1.33,1.32,1.26,1.24,1.28,1.34,1.44,1.54,1.6,1.65,1.66,1.6,1.49,1.36,1.22,1.03,0.81,0.56,0.27,-0.01,-0.27,-0.55,-0.78,-0.92,-1.0,-1.05,-1.12,-1.26,-1.4,-1.5,-1.59,-1.68,-1.79,-1.8,-1.72,-1.62,-1.5,-1.4,-1.29,-1.12,-0.88,-0.61,-0.37,-0.14,0.12,0.4,0.71,0.98,1.16,1.28,1.4,1.47,1.44,1.36,1.28,1.18,1.09,1.0,0.89,0.72,0.55,0.42,0.28,0.14,-0.02,-0.2,-0.4,-0.58,-0.77,-0.96,-1.16,-1.38,-1.62,-1.81,-1.93,-2.01,-2.05,-2.01,-1.92,-1.81,-1.64,-1.41,-1.23,-1.08,-0.92,-0.77,-0.66,-0.63,-0.64,-0.69,-0.71,-0.73,-0.78,-0.83,-0.78,-0.66,-0.54,-0.41,-0.3,-0.23,-0.16,-0.04,0.09,0.18,0.29,0.42,0.52,0.57,0.59,0.55,0.45,0.31,0.21,0.12,0.03,-0.05,-0.11,-0.11,-0.07,-0.05,-0.03,0.06,0.17,0.27,0.37,0.52,0.65,0.74,0.79,0.79,0.76,0.71,0.61,0.42,0.22,0.06,-0.06,-0.13,-0.16,-0.2,-0.26,-0.31,-0.36,-0.43,-0.52,-0.58,-0.59,-0.56,-0.44,-0.29,-0.13,0.04,0.26,0.46,0.61,0.77,0.97,1.16,1.28,1.3,1.28,1.24,1.18,1.07,0.96,0.85,0.73,0.6,0.49,0.44,0.41,0.44,0.48,0.53,0.59,0.67,0.77,0.85,0.9,0.92,0.9,0.82,0.76,0.72,0.67,0.61,0.58,0.59,0.62,0.66,0.75,0.91,1.12,1.35,1.59,1.84,2.07,2.26,2.36,2.4,2.37,2.24,2.02,1.8,1.56,1.26,0.91,0.52,0.17,-0.11,-0.33,-0.48,-0.56,-0.49,-0.39,-0.31,-0.23,-0.16,-0.09,-0.02,0.07,0.14,0.15,0.1,0.02,-0.11,-0.2,-0.26,-0.34,-0.44,-0.55,-0.68,-0.79,-0.91,-1.03,-1.13,-1.21,-1.26,-1.28,-1.25,-1.21,-1.17,-1.13,-1.05,-0.97,-0.93,-0.91,-0.92,-0.96,-1.05,-1.1,-1.1,-1.09,-1.08,-1.11,-1.17,-1.18,-1.18,-1.24,-1.33,-1.38,-1.42,-1.5,-1.58,-1.67,-1.74,-1.77,-1.72,-1.59,-1.42,-1.26,-1.12,-0.98,-0.82,-0.7,-0.66,-0.65,-0.63,-0.56,-0.47,-0.37,-0.26,-0.12,0.02,0.17,0.3,0.41,0.5,0.53,0.49,0.43,0.35,0.22,0.07,-0.04,-0.15,-0.3,-0.47,-0.52,-0.47,-0.41,-0.35,-0.33,-0.32,-0.26,-0.17,-0.08,-0.02,0.01,0.01,-0.01,0.0,0.0,0.0,0.02,0.03,-0.03,-0.14,-0.21,-0.28,-0.38,-0.5,-0.6,-0.7,-0.79,-0.81,-0.8,-0.79,-0.78,-0.75,-0.72,-0.68,-0.62,-0.58,-0.51,-0.41,-0.31,-0.22,-0.1,0.07,0.26,0.41,0.57,0.73,0.85,0.98,1.12,1.22,1.31,1.41,1.47,1.51,1.53,1.5,1.42,1.34,1.28,1.2,1.15,1.13,1.07,1.02,0.99,0.94,0.83,0.69,0.56,0.39,0.2,-0.01,-0.2,-0.36,-0.42,-0.44,-0.44,-0.41,-0.32,-0.24,-0.19,-0.16,-0.19,-0.23,-0.26,-0.23,-0.16,-0.06,0.06,0.18,0.29,0.42,0.53,0.58,0.61,0.59,0.5,0.39,0.3,0.21,0.13,0.09,0.13,0.15,0.18,0.22,0.26,0.3,0.43,0.54,0.62,0.69,0.7,0.71,0.75,0.87,1.02,1.17,1.34,1.5,1.59,1.63,1.68,1.73,1.76,1.75,1.7,1.62,1.52,1.38,1.22,1.07,0.96,0.83,0.69,0.59,0.53,0.5,0.52,0.55,0.5,0.43,0.4,0.34,0.23,0.05,-0.14,-0.38,-0.6,-0.78,-0.93,-1.12,-1.25,-1.34,-1.41,-1.48,-1.6,-1.73,-1.75,-1.71,-1.73,-1.72,-1.64,-1.51,-1.39,-1.25,-1.07,-0.86,-0.66,-0.48,-0.39,-0.36,-0.29,-0.2,-0.11,-0.02,0.11,0.21,0.27,0.31,0.3,0.2,0.09,0.01,-0.1,-0.22,-0.34,-0.52,-0.71,-0.81,-0.87,-0.94,-1.01,-1.07,-1.12,-1.14,-1.13,-1.12,-1.09,-1.06,-1.05,-1.08,-1.1,-1.1,-1.1,-1.07,-0.99,-0.9,</t>
  </si>
  <si>
    <t>To_Avoid_Formula-0.8,-0.65,-0.44,-0.27,-0.16,-0.09,-0.04,-0.05,-0.11,-0.2,-0.3,-0.41,-0.49,-0.57,-0.66,-0.69,-0.59,-0.43,-0.24,-0.06,0.04,0.09,0.14,0.21,0.28,0.35,0.41,0.43,0.43,0.48,0.52,0.5,0.48,0.45,0.39,0.28,0.19,0.06,-0.13,-0.38,-0.65,-0.89,-0.97,-0.92,-0.82,-0.65,-0.43,-0.15,0.07,0.3,0.51,0.61,0.65,0.64,0.55,0.41,0.33,0.29,0.27,0.25,0.26,0.27,0.27,0.29,0.29,0.28,0.29,0.29,0.26,0.21,0.17,0.17,0.19,0.16,0.06,-0.03,-0.08,-0.11,-0.16,-0.21,-0.25,-0.3,-0.33,-0.31,-0.26,-0.2,-0.13,-0.08,-0.07,-0.04,-0.04,-0.06,-0.07,0.0,0.11,0.2,0.26,0.26,0.2,0.13,0.05,-0.09,-0.22,-0.29,-0.38,-0.49,-0.57,-0.57,-0.54,-0.47,-0.35,-0.21,-0.12,-0.06,0.01,0.06,0.08,0.09,0.07,0.01,-0.01,0.02,0.05,0.07,0.11,0.17,0.27,0.5,0.59,0.69,0.8,0.9,0.97,1.08,1.14,1.12,1.09,1.12,1.16,1.22,1.32,1.39,1.39,1.39,1.42,1.47,1.44,1.33,1.16,0.97,0.84,0.74,0.62,0.52,0.45,0.37,0.32,0.31,0.31,0.3,0.31,0.36,0.39,0.42,0.45,0.44,0.41,0.36,0.29,0.2,0.11,0.02,-0.06,-0.12,-0.15,-0.15,-0.13,-0.1,-0.1,-0.08,-0.03,-0.01,-0.08,-0.18,-0.21,-0.23,-0.29,-0.36,-0.44,-0.54,-0.59,-0.6,-0.63,-0.63,-0.58,-0.53,-0.47,-0.36,-0.22,-0.1,0.03,0.17,0.28,0.32,0.33,0.32,0.29,0.25,0.23,0.24,0.24,0.21,0.16,0.1,0.06,0.05,0.0,-0.11,-0.26,-0.39,-0.48,-0.56,-0.67,-0.79,-0.87,-0.94,-1.05,-1.14,-1.12,-1.03,-0.91,-0.79,-0.66,-0.54,-0.42,-0.27,-0.14,-0.05,0.01,0.05,0.06,0.06,0.05,-0.03,-0.14,-0.25,-0.37,-0.47,-0.55,-0.6,-0.62,-0.64,-0.71,-0.78,-0.77,-0.71,-0.66,-0.63,-0.52,-0.32,-0.19,-0.08,0.09,0.25,0.37,0.54,0.75,0.94,1.1,1.18,1.18,1.11,1.01,0.88,0.67,0.43,0.23,0.04,-0.21,-0.42,-0.58,-0.65,-0.65,-0.65,-0.6,-0.5,-0.39,-0.28,-0.15,-0.05,-0.01,-0.03,-0.02,-0.01,-0.04,-0.07,-0.09,-0.11,-0.11,-0.03,0.06,0.07,0.05,0.09,0.12,0.1,0.06,0.01,</t>
  </si>
  <si>
    <t>To_Avoid_Formula1.26,1.18,1.05,0.9,0.77,0.67,0.55,0.29,-0.05,-0.27,-0.32,-0.34,-0.39,-0.38,-0.26,-0.12,0.04,0.16,0.2,0.12,0.04,0.0,0.05,0.22,0.38,0.51,0.67,0.88,1.07,1.27,1.48,1.7,1.86,2.02,2.22,2.36,2.48,2.58,2.54,2.4,2.22,2.03,1.79,1.51,1.29,1.1,0.94,0.91,0.94,1.0,1.12,1.23,1.26,1.3,1.43,1.54,1.55,1.47,1.45,1.46,1.42,1.24,0.91,0.59,0.34,0.07,-0.28,-0.65,-1.01,-1.34,-1.66,-1.88,-2.03,-2.2,-2.39,-2.53,-2.58,-2.58,-2.6,-2.7,-2.82,-2.78,-2.64,-2.46,-2.23,-1.97,-1.67,-1.39,-1.06,-0.73,-0.44,-0.14,0.19,0.41,0.56,0.74,0.81,0.79,0.81,0.88,0.95,1.0,1.05,1.07,1.16,1.32,1.46,1.52,1.6,1.72,1.84,1.98,2.12,2.13,1.93,1.62,1.21,0.72,0.15,-0.45,-0.99,-1.39,-1.62,-1.68,-1.5,-1.08,-0.58,-0.11,0.39,0.88,1.3,1.74,2.14,2.45,2.52,2.44,2.3,2.05,1.68,1.14,0.44,-0.29,-0.97,-1.63,-2.18,-2.61,-2.95,-3.21,-3.41,-3.45,-3.42,-3.32,-3.12,-2.84,-2.61,-2.43,-2.16,-1.73,-1.13,-0.46,0.19,0.71,1.17,1.74,2.4,2.85,3.06,3.23,3.39,3.48,3.49,3.37,3.09,2.58,1.98,1.39,0.95,0.62,0.26,-0.12,-0.37,-0.49,-0.7,-0.9,-0.93,-0.84,-0.78,-0.74,-0.69,-0.65,-0.67,-0.83,-1.19,-1.55,-1.83,-1.95,-1.92,-1.72,-1.34,-0.96,-0.43,0.29,1.13,1.87,2.37,2.76,3.24,3.72,3.88,3.72,3.24,2.64,1.88,0.95,0.0,-1.14,-2.41,-3.57,-4.28,-4.58,-4.8,-5.16,-5.37,-5.15,-4.57,-3.9,-3.41,-3.0,-2.64,-2.38,-2.21,-2.18,-2.31,-2.66,-3.03,-3.16,-3.05,-2.8,-2.57,-2.34,-1.88,-1.13,-0.33,0.44,1.25,2.11,2.89,3.44,3.89,4.18,4.26,4.18,4.04,3.96,3.91,3.69,3.23,2.74,2.29,1.94,1.61,1.31,0.97,0.53,0.16,-0.05,-0.21,-0.54,-1.03,-1.63,-2.14,-2.51,-2.83,-3.13,-3.42,-3.64,-3.73,-3.56,-3.18,-2.74,-2.41,-2.11,-1.7,-1.25,-0.81,-0.45,-0.17,0.14,0.54,0.88,1.09,1.26,1.47,1.71,1.91,2.07,2.2,2.41,2.59,2.59,2.38,2.08,1.77,1.3,0.75,0.24,-0.24,-0.71,-1.17,-1.55,-1.8,-1.97,-2.17,-2.29,-2.17,-1.84,-1.5,-1.28,-1.0,-0.66,-0.3,0.03,0.31,0.53,0.65,0.73,0.83,0.9,0.91,0.88,0.83,0.92,1.14,1.39,1.59,1.84,2.11,2.31,2.44,2.63,2.72,2.68,2.57,2.31,1.95,1.55,1.15,0.64,0.1,-0.33,-0.72,-1.15,-1.5,-1.76,-2.05,-2.2,-2.19,-2.03,-1.71,-1.32,-0.9,-0.48,0.15,0.87,1.44,1.96,2.62,3.34,3.98,4.44,4.6,4.52,4.29,3.99,3.54,2.96,2.44,1.91,1.35,0.86,0.41,-0.04,-0.42,-0.66,-0.86,-0.93,-0.81,-0.46,-0.05,0.45,0.98,1.28,1.42,1.53,1.64,1.6,1.38,1.15,1.0,1.09,1.22,1.19,0.96,0.79,0.74,0.7,0.67,0.67,0.73,0.85,1.07,1.26,1.15,0.78,0.22,-0.46,-1.26,-2.15,-3.03,-3.95,-4.73,-5.25,-5.57,-5.76,-5.89,-5.9,-5.73,-5.28,-4.73,-4.17,-3.4,-2.4,-1.31,-0.29,0.7,1.46,1.89,2.1,2.19,2.12,1.88,1.51,1.15,0.91,0.77,0.61,0.37,0.23,0.17,0.07,0.09,0.25,0.42,0.57,0.81,1.11,1.34,1.47,1.58,1.67,1.68,1.64,1.48,1.27,1.16,1.09,1.0,1.0,1.0,0.85,0.64,0.5,0.4,0.2,-0.06,-0.23,-0.31,-0.31,-0.27,-0.3,-0.31,-0.19,-0.04,0.05,0.19,0.43,0.69,0.9,1.11,1.18,1.07,0.88,0.77,0.61,0.36,-0.04,-0.37,-0.54,-0.6,-0.7,-0.97,-1.29,-1.52,-1.7,-1.88,-2.02,-2.12,-2.2,-2.24,-2.18,-2.0,-1.82,-1.68,-1.54,-1.4,-1.18,-0.92,-0.67,-0.35,0.09,0.44,0.68,0.91,1.13,1.29,1.29,1.16,1.0,0.79,0.58,0.35,0.09,-0.14,-0.39,-0.79,-1.09,-1.2,-1.17,-1.06,-0.91,-0.68,-0.43,-0.14,0.24,0.67,1.05,1.37,1.49,1.47,1.57,1.8,1.96,1.94,1.86,1.79,1.74,1.62,1.38,0.98,0.5,0.07,-0.33,-0.64,-0.83,-1.06,-1.4,-1.67,-1.87,-2.1,-2.3,-2.37,-2.33,-2.24,-2.07,-1.81,-1.48,-1.04,-0.56,-0.2,0.14,0.55,0.9,1.19,1.44,1.61,1.65,1.7,1.82,1.92,1.95,1.92,1.87,1.87,1.96,2.02,2.0,2.0,2.04,2.05,2.02,2.09,2.22,2.29,2.34,2.37,2.32,2.23,2.1,1.9,1.68,1.43,1.2,0.97,0.8,0.66,0.45,0.15,-0.12,-0.36,-0.62,-0.8,-0.94,-1.04,-1.11,-1.1,-0.99,-0.88,-0.74,-0.57,-0.48,-0.41,-0.32,-0.27,-0.28,-0.28,-0.33,-0.39,-0.47,-0.61,-0.9,-1.29,-1.63,-1.97,-2.36,-2.66,-2.86,-3.04,-3.18,-3.28,-3.3,-3.23,-3.13,-3.11,-3.1,-2.95,-2.72,-2.59,-2.52,-2.45,-2.45,-2.46,-2.39,-2.28,-2.15,-2.0,-1.85,-1.65,-1.24,-0.68,-0.16,0.36,1.01,1.63,2.15,2.71,3.28,3.74,4.01,4.07,4.06,4.13,4.14,3.88,3.29,2.75,2.43,2.09,1.6,1.05,0.47,0.0,-0.35,-0.6,-0.79,-1.04,-1.37,-1.65,-1.73,-1.57,-1.48,-1.57,-1.54,-1.24,-0.89,-0.55,-0.28,-0.08,0.05,0.17,0.37,0.58,0.78,0.95,1.07,1.14,1.22,1.2,1.05,0.96,0.89,0.73,0.57,0.58,0.63,0.53,0.3,0.06,-0.16,-0.37,-0.67,-1.2,-1.86,-2.34,-2.57,-2.79,-3.0</t>
  </si>
  <si>
    <t>To_Avoid_Formula1,-3.16,-3.29,-3.29,-3.07,-2.68,-2.32,-2.06,-1.79,-1.42,-0.88,-0.31,0.08,0.27,0.55,0.85,0.92,0.8,0.59,0.37,0.13,-0.14,-0.44,-0.74,-0.92,-0.98,-1.0,-1.0,-0.94,-0.88,-0.78,-0.54,-0.16,0.19,0.44,0.56,0.59,0.63,0.58,0.42,0.15,-0.09,-0.39,-0.82,-1.23,-1.52,-1.77,-2.06,-2.29,-2.49,-2.62,-2.68,-2.62,-2.41,-2.19,-2.03,-1.98,-1.86,-1.64,-1.54,-1.62,-1.71,-1.76,-1.89,-2.15,-2.3,-2.2,-2.0,-1.85,-1.75,-1.5,-0.97,-0.41,-0.11,0.16,0.53,0.89,1.09,1.24,1.51,1.72,1.71,1.58,1.52,1.53,1.48,1.18,0.75,0.49,0.32,0.02,-0.35,-0.59,-0.69,-0.74,-0.73,-0.55,-0.4,-0.35,-0.35,-0.36,-0.23,0.0,0.13,0.21,0.47,0.77,0.92,0.89,0.9,0.98,0.92,0.87,0.86,0.93,1.08,1.24,1.38,1.5,1.62,1.68,1.72,1.77,1.65,1.42,1.21,0.94,0.58,0.21,-0.12,-0.48,-0.86,-1.25,-1.58,-1.89,-2.14,-2.35,-2.58,-2.7,-2.64,-2.51,-2.33,-1.99,-1.61,-1.24,-0.88,-0.48,-0.03,0.43,0.82,1.02,1.11,1.26,1.45,1.44,1.26,1.01,0.7,0.42,0.22,0.06,-0.13,-0.34,-0.49,-0.48,-0.31,-0.14,-0.21,-0.36,-0.33,-0.21,-0.2,-0.26,-0.31,-0.36,-0.35,-0.21,-0.07,0.05,0.19,0.37,0.65,1.08,1.52,1.83,2.11,2.44,2.68,2.71,2.62,2.4,2.0,1.59,1.2,0.73,0.22,-0.18,-0.45,-0.63,-0.77,-0.88,-0.9,-0.83,-0.67,-0.57,-0.51,-0.31,-0.1,0.02,0.13,0.27,0.33,0.36,0.42,0.45,0.36,0.19,0.1,0.1,0.22,0.41,0.44,0.35,0.32,0.33,0.29,0.15,-0.09,-0.39,-0.64,-0.73,-0.79,-0.9,-1.01,-1.05,-1.08,-1.05,-0.92,-0.79,-0.64,-0.46,-0.24,-0.09,0.01,0.13,0.29,0.35,0.33,0.26,0.14,0.03,-0.12,-0.41,-0.68,-0.95,-1.38,-1.91,-2.34,-2.65,-2.95,-3.34,-3.62,-3.68,-3.62,-3.54,-3.43,-3.16,-2.6,-1.9,-1.21,-0.4,0.54,1.41,2.18,2.85,3.34,3.66,3.76,3.77,3.67,3.39,2.94,2.37,1.75,1.19,0.61,-0.06,-0.57,-0.86,-1.11,-1.32,-1.52,-1.66,-1.76,-1.75,-1.58,-1.39,-1.22,-1.05,-0.91,-0.74,</t>
  </si>
  <si>
    <t>To_Avoid_Formula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48.73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48.74,48.75,48.75,48.75,48.75,48.75,48.75,48.75,48.75,48.75,48.75,48.75,48.75,48.75,48.75,48.75,48.75,48.75,48.75,48.75,48.75,48.75,48.75,48.75,48.75,48.75,48.75,48.75,48.75,48.75,48.75,48.75,48.75,48.75,48.75,48.75,48.75,48.75,48.75,48.75,48.75,48.75,48</t>
  </si>
  <si>
    <t>To_Avoid_Formula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48.75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48.76,48.77,48.77,48.77,48.77,48.77,48.77,48.77,48.77,48.77,48.77,48.77,48.77,48.77,48.77,48.77,48.77,48.77,48.77,48.77,48.77,48.77,48.77,48.77,48.77,48.77,48.77,48.77,48.77,48.77,48.77,48.77,48.77,48.77,48.77,48.77,48.77,48.77,48.77,48.77,48.77,48.77,48.77,48.77,48.77,48.77,48.77,48.77,48.77,48.77,48.77,48.77,48.77,48.77,48.77,48.78,48.78,48.78,48.78,48.78,48.78,48.78,48.78,48.78,48.78,48.78,48.78,48.78,48.78,48.78,48.78,48.78,48.78,48.78,48.78,48.78,48.78,48.78,48.78,48.78,48.78,48.78,48.78,48.78,48.78,48.78,48.78,48.78,48.78,48.78,48.78,48.78,48.78,48.78,48.78,48.78,48.78,48.78,48.78,48.78,48.78,48.78,48.78,48.78,48.79,48.79,48.79,48.79,48.79,48.79,48.79,48.79,48.79,48.79,48.79,48.79,48.79,48.79,48.79,48.79,48.79,48.79,48.79,48.79,48.79,48.79,48.79,48.79,48.79,48.79,48.79,48.79,48.79,48.79,48.79,48.79,48.79,48.79,48.79,48.79,48.79,48.79,48.79,48.79,48.79,48.79,48.79,48.79,48.79,48.79,48.79,48.79,48.79,48.79,48.79,48.79,48.79,48.79,48.8,48.8,48.8,48.8,48.8,48.8,48.8,48.8,48.8,48.8,48.8,48.8,48.8,48.8,48.8,48.8,48.8,48.8,48.8,48.8,48.8,48.8,48.8,48.8,48.8,48.8,48.8,48.8,48.8,48.8,48.8,48.8,48.8,48.8,48.8,48.8,48.8,48.8,48.8,48.8,48.8,48.8,48.8,48.8,48.8,48.8,48.8,48.8,48.8,48.8,48.8,48.8,48.8,48.8,48.8,48.8,48.8,48.8,48.8,48.8,48.8,48.8,48.8,48.8,48.8,48.81,48.81,48.81,48.81,48.81,48.81,48.81,48.81,48.81,48.81,48.81,48.81,48.81,48.81,48.81,48.81,48.81,48.81,</t>
  </si>
  <si>
    <t>To_Avoid_Formula0.93,0.88,0.86,0.88,0.94,1.09,1.28,1.45,1.64,1.82,1.93,1.85,1.75,1.79,1.91,1.91,1.88,1.98,2.2,2.34,2.4,2.47,2.56,2.65,2.71,2.72,2.68,2.64,2.56,2.46,2.32,2.17,2.0,1.85,1.74,1.67,1.63,1.65,1.62,1.54,1.43,1.26,1.11,1.0,0.96,0.95,0.94,0.95,0.97,1.01,1.04,1.06,1.12,1.2,1.27,1.33,1.37,1.43,1.51,1.6,1.69,1.77,1.82,1.8,1.72,1.59,1.43,1.32,1.28,1.26,1.19,1.08,0.98,0.89,0.83,0.79,0.78,0.76,0.76,0.82,0.84,0.8,0.75,0.75,0.76,0.79,0.84,0.91,0.93,0.94,0.95,0.92,0.9,0.97,1.16,1.38,1.51,1.58,1.62,1.64,1.63,1.55,1.47,1.4,1.34,1.24,1.07,0.89,0.73,0.56,0.32,0.1,-0.01,-0.07,-0.15,-0.24,-0.35,-0.49,-0.62,-0.73,-0.83,-0.85,-0.79,-0.72,-0.71,-0.72,-0.7,-0.71,-0.76,-0.81,-0.81,-0.82,-0.82,-0.79,-0.7,-0.67,-0.71,-0.74,-0.77,-0.82,-0.89,-0.88,-0.81,-0.73,-0.66,-0.57,-0.44,-0.26,-0.13,-0.09,-0.1,-0.16,-0.19,-0.22,-0.21,-0.21,-0.24,-0.27,-0.26,-0.24,-0.27,-0.34,-0.4,-0.48,-0.58,-0.67,-0.75,-0.85,-0.96,-1.09,-1.23,-1.35,-1.42,-1.5,-1.58,-1.64,-1.66,-1.62,-1.57,-1.51,-1.48,-1.45,-1.41,-1.38,-1.35,-1.34,-1.3,-1.24,-1.15,-1.05,-0.99,-0.95,-0.9,-0.86,-0.83,-0.77,-0.73,-0.73,-0.74,-0.7,-0.68,-0.71,-0.72,-0.65,-0.52,-0.52,-0.61,-0.63,-0.54,-0.45,-0.4,-0.33,-0.25,-0.25,-0.34,-0.44,-0.53,-0.58,-0.6,-0.58,-0.56,-0.54,-0.51,-0.5,-0.54,-0.64,-0.67,-0.67,-0.68,-0.67,-0.59,-0.4,-0.14,0.1,0.29,0.41,0.49,0.52,0.45,0.35,0.21,0.11,0.13,0.23,0.36,0.47,0.58,0.66,0.68,0.63,0.55,0.46,0.42,0.4,0.41,0.46,0.55,0.63,0.69,0.74,0.8,0.8,0.75,0.7,0.66,0.62,0.62,0.66,0.72,0.79,0.86,0.91,0.9,0.85,0.82,0.82,0.89,0.96,1.01,1.06,1.15,1.23,1.28,1.3,1.26,1.12,0.95,0.81,0.72,0.68,0.64,0.59,0.51,0.45,0.43,0.38,0.27,0.13,0.07,0.01,-0.12,-0.21,-0.2,-0.13,-0.06,0.0,0.07,0.16,0.18,0.16,0.13,0.09,0.04,0.0,-0.04,-0.06,-0.08,-0.12,-0.21,-0.33,-0.49,-0.62,-0.73,-0.81,-0.92,-0.98,-1.01,-0.98,-0.89,-0.81,-0.71,-0.57,-0.46,-0.43,-0.47,-0.57,-0.67,-0.79,-0.94,-1.08,-1.15,-1.19,-1.18,-1.15,-1.12,-1.13,-1.19,-1.31,-1.45,-1.58,-1.73,-1.86,-1.98,-2.03,-2.03,-1.97,-1.91,-1.86,-1.85,-1.89,-1.93,-1.95,-1.95,-1.89,-1.77,-1.68,-1.65,-1.64,-1.58,-1.5,-1.45,-1.41,-1.37,-1.35,-1.4,-1.49,-1.59,-1.66,-1.72,-1.79,-1.84,-1.86,-1.9,-1.99,-2.1,-2.19,-2.27,-2.34,-2.37,-2.4,-2.44,-2.49,-2.52,-2.56,-2.59,-2.56,-2.54,-2.58,-2.63,-2.63,-2.61,-2.56,-2.49,-2.43,-2.39,-2.37,-2.37,-2.37,-2.37,-2.32,-2.25,-2.13,-2.02,-1.93,-1.86,-1.84,-1.84,-1.85,-1.9,-1.94,-1.96,-1.96,-1.95,-1.94,-1.9,-1.81,-1.72,-1.7,-1.73,-1.79,-1.84,-1.86,-1.86,-1.87,-1.84,-1.75,-1.61,-1.49,-1.38,-1.29,-1.3,-1.36,-1.48,-1.59,-1.68,-1.67,-1.62,-1.56,-1.48,-1.38,-1.31,-1.27,-1.34,-1.45,-1.57,-1.66,-1.67,-1.63,-1.57,-1.42,-1.26,-1.09,-0.91,-0.78,-0.71,-0.7,-0.76,-0.8,-0.83,-0.88,-0.88,-0.85,-0.73,-0.59,-0.42,-0.26,-0.13,-0.05,-0.01,-0.03,-0.04,-0.07,-0.12,-0.1,-0.02,0.05,0.01,-0.02,0.06,0.21,0.37,0.48,0.58,0.7,0.85,1.01,1.15,1.27,1.38,1.42,1.4,1.38,1.33,1.23,1.13,1.08,1.11,1.18,1.27,1.34,1.4,1.4,1.35,1.25,1.11,0.96,0.83,0.76,0.74,0.74,0.75,0.81,0.89,0.96,0.99,0.99,0.98,0.98,0.94,0.88,0.86,0.92,1.08,1.26,1.36,1.39,1.41,1.46,1.53,1.61,1.69,1.79,1.89,1.99,2.1,2.17,2.18,2.12,2.02,1.94,1.92,1.93,1.93,1.91,1.87,1.85,1.85,1.92,2.03,2.11,2.06,1.93,1.73,1.61,1.59,1.58,1.58,1.54,1.51,1.52,1.47,1.38,1.26,1.06,0.87,0.67,0.46,0.29,0.19,0.09,0.02,0.05,0.09,0.07,0.0,-0.01,0.01,0.02,0.03,0.08,0.16,0.24,0.32,0.39,0.44,0.47,0.47,0.44,0.38,0.31,0.24,0.18,0.13,0.08,0.04,0.03,0.02,0.01,-0.02,-0.11,-0.22,-0.3,-0.34,-0.38,-0.43,-0.47,-0.51,-0.57,-0.62,-0.69,-0.74,-0.78,-0.82,-0.85,-0.85,-0.77,-0.65,-0.57,-0.55,-0.58,-0.68,-0.82,-0.94,-1.04,-1.12,-1.22,-1.33,-1.4,-1.4,-1.36,-1.34,-1.39,-1.47,-1.53,-1.59,-1.64,-1.71,-1.82,-1.94,-1.97,-1.91,-1.81,-1.69,-1.6,-1.56,-1.57,-1.61,-1.68,-1.72,-1.74,-1.7,-1.6,-1.44,-1.27,-1.11,-0.97,-0.9,-0.89,-0.87,-0.85,-0.91,-1.07,-1.16,-1.1,-1.04,-1.14,-1.33,-1.45,-1.46,-1.47,-1.47,-1.46,-1.44,-1.4,-1.36,-1.34,-1.36,-1.4,-1.45,-1.48,-1.5,-1.52,-1.55,-1.55,-1.52,-1.48,-1.4,-1.32,-1.23,-1.15,-1.06,-0.99,-0.92,-0.84,-0.79,-0.77,-0.76,-0.7,-0.59,-0.45,-0.34,-0.28,-0.25,-0.2,-0.12,-0.0</t>
  </si>
  <si>
    <t>To_Avoid_Formula6,-0.05,-0.04,-0.06,-0.08,-0.12,-0.2,-0.4,-0.57,-0.68,-0.75,-0.78,-0.81,-0.84,-0.9,-1.01,-1.12,-1.2,-1.25,-1.29,-1.35,-1.38,-1.37,-1.3,-1.18,-1.07,-1.01,-1.03,-1.06,-1.05,-0.98,-0.9,-0.84,-0.76,-0.67,-0.55,-0.44,-0.4,-0.42,-0.43,-0.45,-0.47,-0.5,-0.51,-0.5,-0.49,-0.5,-0.49,-0.48,-0.52,-0.64,-0.8,-0.92,-1.02,-1.1,-1.16,-1.16,-1.09,-1.0,-0.89,-0.79,-0.66,-0.51,-0.37,-0.26,-0.22,-0.22,-0.27,-0.38,-0.55,-0.68,-0.77,-0.84,-0.87,-0.89,-0.87,-0.84,-0.81,-0.8,-0.82,-0.87,-0.93,-0.98,-0.99,-0.94,-0.85,-0.75,-0.65,-0.55,-0.46,-0.38,-0.32,-0.3,-0.31,-0.32,-0.32,-0.3,-0.28,-0.26,-0.19,-0.04,0.15,0.3,0.42,0.48,0.49,0.47,0.44,0.41,0.41,0.42,0.44,0.52,0.62,0.72,0.79,0.85,0.88,0.9,0.89,0.86,0.81,0.78,0.79,0.81,0.85,0.89,0.95,1.0,1.01,1.0,0.99,0.97,0.96,0.96,0.96,0.94,0.93,0.92,0.9,0.88,0.87,0.88,0.87,0.84,0.75,0.64,0.56,0.54,0.54,0.56,0.61,0.68,0.72,0.76,0.8,0.83,0.87,0.9,0.91,0.91,0.9,0.9,0.88,0.87,0.87,0.89,0.91,0.91,0.89,0.87,0.87,0.87,0.85,0.85,0.85,0.85,0.85,0.86,0.84,0.82,0.81,0.77,0.68,0.55,0.44,0.36,0.25,0.14,0.06,0.02,0.03,0.05,0.07,0.06,0.04,0.05,0.05,0.02,0.0,0.03,0.08,0.14,0.2,0.25,0.31,0.4,0.5,0.56,0.6,0.63,0.66,0.7,0.75,0.8,0.85,0.91,0.95,0.96,0.94,0.87,0.77,0.67,0.58,0.44,0.3,0.19,0.13,0.11,0.09,0.1,0.11,0.11,0.05,-0.02,-0.08,-0.16,-0.28,-0.45,-0.59,-0.67,-0.7,-0.72,-0.71,-0.66,-0.59,-0.49,-0.36,-0.23,-0.12,-0.05,0.02,0.06,0.05,0.01,-0.03,-0.08,-0.15,-0.2,-0.24,-0.24,-0.24,-0.25,-0.29,-0.33,-0.35,-0.37,-0.43,-0.5,-0.55,-0.54,-0.51,-0.47,-0.43,-0.38,-0.32,-0.27,-0.23,-0.21,-0.16,-0.13,-0.11,-0.08,-0.02,0.04,0.09,0.15,0.21,0.25,0.29,0.3,0.29,0.24,0.17,0.11,0.07,0.04,0.01,-0.01,-0.03,-0.07,-0.13,-0.17,-0.18,-0.16,-0.11,-0.05,0.0,0.03,0.05,0.03,0.02,0.01,-0.02,-0.03,0.0,0.05,0.09,0.12,0.18,0.24,0.28,0.33,0.4,0.48,0.53,0.56,0.56,0.56,0.54,0.5,0.44,</t>
  </si>
  <si>
    <t>To_Avoid_Formula0.57,0.45,0.37,0.33,0.33,0.42,0.54,0.63,0.74,0.83,0.85,0.69,0.51,0.48,0.52,0.45,0.34,0.37,0.52,0.58,0.56,0.55,0.55,0.56,0.54,0.47,0.36,0.25,0.1,-0.05,-0.24,-0.43,-0.63,-0.8,-0.92,-1.0,-1.04,-1.02,-1.04,-1.11,-1.22,-1.36,-1.48,-1.55,-1.55,-1.52,-1.49,-1.44,-1.38,-1.3,-1.23,-1.16,-1.07,-0.96,-0.85,-0.77,-0.7,-0.61,-0.51,-0.4,-0.3,-0.21,-0.15,-0.16,-0.24,-0.35,-0.49,-0.56,-0.57,-0.56,-0.6,-0.67,-0.73,-0.76,-0.77,-0.76,-0.73,-0.7,-0.64,-0.53,-0.47,-0.46,-0.47,-0.42,-0.36,-0.3,-0.2,-0.1,-0.05,-0.01,0.03,0.04,0.04,0.14,0.35,0.57,0.71,0.77,0.81,0.82,0.79,0.71,0.62,0.56,0.5,0.41,0.25,0.08,-0.06,-0.19,-0.4,-0.57,-0.62,-0.62,-0.65,-0.68,-0.72,-0.79,-0.85,-0.89,-0.91,-0.86,-0.72,-0.59,-0.51,-0.46,-0.39,-0.33,-0.33,-0.33,-0.28,-0.23,-0.19,-0.1,0.02,0.09,0.09,0.09,0.1,0.08,0.04,0.09,0.19,0.29,0.38,0.49,0.63,0.81,0.92,0.95,0.92,0.85,0.81,0.76,0.77,0.76,0.71,0.67,0.67,0.67,0.62,0.55,0.47,0.38,0.28,0.2,0.12,0.03,-0.07,-0.19,-0.31,-0.4,-0.44,-0.49,-0.54,-0.57,-0.55,-0.47,-0.39,-0.31,-0.26,-0.2,-0.15,-0.1,-0.07,-0.04,0.01,0.07,0.17,0.26,0.32,0.34,0.38,0.4,0.42,0.46,0.48,0.46,0.42,0.44,0.44,0.39,0.35,0.4,0.5,0.47,0.36,0.31,0.37,0.43,0.45,0.49,0.53,0.5,0.37,0.24,0.13,0.06,0.02,0.02,0.02,0.03,0.03,0.02,-0.04,-0.14,-0.19,-0.2,-0.21,-0.21,-0.14,0.04,0.27,0.47,0.61,0.68,0.71,0.69,0.57,0.42,0.24,0.11,0.1,0.17,0.26,0.33,0.4,0.44,0.41,0.32,0.2,0.08,0.0,-0.03,-0.05,-0.03,0.03,0.09,0.11,0.14,0.16,0.13,0.04,-0.03,-0.1,-0.15,-0.17,-0.15,-0.11,-0.06,-0.01,0.02,-0.02,-0.09,-0.14,-0.15,-0.1,-0.05,-0.02,0.01,0.08,0.13,0.16,0.15,0.08,-0.08,-0.26,-0.4,-0.49,-0.52,-0.55,-0.59,-0.66,-0.7,-0.7,-0.73,-0.81,-0.91,-0.94,-0.96,-1.04,-1.09,-1.03,-0.92,-0.81,-0.71,-0.6,-0.48,-0.43,-0.42,-0.43,-0.44,-0.46,-0.47,-0.47,-0.46,-0.44,-0.45,-0.5,-0.58,-0.69,-0.77,-0.83,-0.85,-0.9,-0.9,-0.86,-0.76,-0.62,-0.49,-0.34,-0.16,-0.02,0.04,0.03,-0.05,-0.11,-0.19,-0.3,-0.4,-0.42,-0.41,-0.35,-0.28,-0.2,-0.17,-0.19,-0.27,-0.36,-0.44,-0.53,-0.61,-0.66,-0.65,-0.58,-0.46,-0.34,-0.24,-0.19,-0.18,-0.18,-0.16,-0.11,-0.01,0.14,0.26,0.3,0.33,0.41,0.5,0.56,0.6,0.64,0.66,0.61,0.52,0.42,0.35,0.3,0.25,0.21,0.2,0.17,0.1,0.0,-0.07,-0.12,-0.17,-0.18,-0.18,-0.2,-0.22,-0.23,-0.23,-0.23,-0.18,-0.14,-0.16,-0.19,-0.16,-0.12,-0.06,0.03,0.1,0.15,0.17,0.17,0.17,0.18,0.22,0.29,0.4,0.49,0.56,0.6,0.6,0.58,0.53,0.46,0.4,0.36,0.33,0.33,0.31,0.33,0.4,0.46,0.45,0.39,0.3,0.22,0.18,0.15,0.12,0.13,0.2,0.31,0.4,0.47,0.51,0.47,0.36,0.21,0.06,-0.04,-0.06,-0.03,0.01,0.06,0.13,0.17,0.17,0.07,-0.07,-0.2,-0.31,-0.33,-0.3,-0.25,-0.12,0.02,0.15,0.3,0.39,0.41,0.37,0.27,0.19,0.12,0.03,0.01,0.01,0.09,0.2,0.32,0.43,0.52,0.54,0.52,0.45,0.38,0.3,0.2,0.19,0.22,0.24,0.16,0.09,0.12,0.23,0.34,0.41,0.45,0.51,0.6,0.69,0.75,0.8,0.84,0.8,0.71,0.62,0.5,0.34,0.18,0.09,0.07,0.1,0.14,0.17,0.17,0.12,0.03,-0.1,-0.27,-0.44,-0.59,-0.66,-0.69,-0.69,-0.67,-0.62,-0.55,-0.48,-0.45,-0.46,-0.47,-0.48,-0.51,-0.57,-0.59,-0.52,-0.36,-0.19,-0.09,-0.08,-0.07,-0.03,0.02,0.08,0.14,0.22,0.29,0.36,0.44,0.49,0.46,0.37,0.24,0.13,0.1,0.1,0.08,0.04,-0.01,-0.03,-0.05,0.02,0.11,0.18,0.12,-0.03,-0.23,-0.33,-0.35,-0.34,-0.33,-0.35,-0.36,-0.35,-0.38,-0.45,-0.54,-0.71,-0.85,-1.01,-1.15,-1.26,-1.29,-1.32,-1.3,-1.21,-1.09,-1.04,-1.03,-0.97,-0.89,-0.81,-0.73,-0.62,-0.49,-0.36,-0.24,-0.13,-0.04,0.03,0.06,0.05,0.03,-0.01,-0.05,-0.07,-0.08,-0.09,-0.1,-0.06,-0.03,-0.01,-0.01,-0.06,-0.13,-0.17,-0.17,-0.17,-0.17,-0.16,-0.16,-0.17,-0.18,-0.2,-0.21,-0.2,-0.19,-0.18,-0.14,-0.02,0.14,0.25,0.29,0.28,0.2,0.09,0.0,-0.06,-0.11,-0.17,-0.23,-0.25,-0.21,-0.13,-0.08,-0.09,-0.13,-0.16,-0.18,-0.19,-0.21,-0.28,-0.36,-0.34,-0.23,-0.09,0.06,0.17,0.23,0.23,0.21,0.16,0.14,0.14,0.19,0.3,0.47,0.63,0.79,0.91,0.95,0.93,0.92,0.91,0.82,0.64,0.53,0.58,0.61,0.49,0.29,0.16,0.14,0.13,0.12,0.13,0.15,0.17,0.2,0.21,0.18,0.13,0.07,0.03,0.01,-0.02,-0.06,-0.05,-0.03,0.0,0.06,0.13,0.21,0.27,0.33,0.37,0.41,0.46,0.47,0.46,0.43,0.45,0.52,0.62,0.68,0.68,0.66,0.66,0.69,0.69,0.64,0.59,0.52,0.45,0.36,0.24,0.0,-0.2,-0.32,-0.41,-0.45,-0.49,-0.52,-0.59,</t>
  </si>
  <si>
    <t>To_Avoid_Formula-0.69,-0.79,-0.86,-0.9,-0.92,-0.96,-0.97,-0.93,-0.84,-0.71,-0.59,-0.51,-0.52,-0.55,-0.53,-0.45,-0.37,-0.3,-0.23,-0.14,-0.03,0.06,0.09,0.05,0.02,-0.01,-0.04,-0.08,-0.1,-0.1,-0.1,-0.1,-0.1,-0.1,-0.15,-0.27,-0.42,-0.53,-0.61,-0.67,-0.7,-0.68,-0.59,-0.47,-0.35,-0.24,-0.1,0.05,0.18,0.27,0.3,0.28,0.21,0.1,-0.07,-0.2,-0.29,-0.34,-0.36,-0.36,-0.33,-0.28,-0.24,-0.22,-0.22,-0.26,-0.3,-0.34,-0.33,-0.26,-0.16,-0.06,0.05,0.15,0.24,0.31,0.35,0.36,0.34,0.32,0.3,0.3,0.31,0.32,0.37,0.51,0.67,0.79,0.86,0.88,0.85,0.78,0.71,0.65,0.61,0.58,0.57,0.61,0.67,0.73,0.76,0.76,0.75,0.72,0.66,0.59,0.5,0.43,0.4,0.39,0.39,0.39,0.41,0.43,0.4,0.35,0.31,0.26,0.21,0.19,0.16,0.11,0.07,0.04,0.0,-0.04,-0.06,-0.08,-0.1,-0.15,-0.25,-0.36,-0.43,-0.46,-0.45,-0.43,-0.37,-0.31,-0.26,-0.23,-0.19,-0.16,-0.13,-0.11,-0.1,-0.11,-0.13,-0.14,-0.15,-0.17,-0.17,-0.15,-0.13,-0.14,-0.15,-0.17,-0.18,-0.18,-0.19,-0.19,-0.19,-0.18,-0.17,-0.17,-0.18,-0.19,-0.2,-0.22,-0.3,-0.42,-0.51,-0.56,-0.64,-0.71,-0.76,-0.76,-0.71,-0.64,-0.59,-0.57,-0.55,-0.51,-0.47,-0.46,-0.45,-0.39,-0.31,-0.22,-0.14,-0.07,0.01,0.11,0.22,0.28,0.32,0.36,0.38,0.42,0.47,0.51,0.55,0.59,0.61,0.61,0.57,0.48,0.38,0.27,0.18,0.04,-0.09,-0.18,-0.22,-0.22,-0.22,-0.19,-0.16,-0.14,-0.18,-0.23,-0.27,-0.32,-0.42,-0.55,-0.65,-0.68,-0.66,-0.64,-0.58,-0.49,-0.38,-0.26,-0.1,0.05,0.18,0.26,0.33,0.37,0.35,0.32,0.27,0.23,0.17,0.12,0.09,0.1,0.11,0.1,0.08,0.05,0.04,0.02,-0.02,-0.08,-0.11,-0.09,-0.04,0.02,0.06,0.12,0.18,0.24,0.27,0.29,0.33,0.36,0.37,0.39,0.44,0.48,0.51,0.55,0.58,0.6,0.61,0.6,0.56,0.48,0.4,0.32,0.25,0.21,0.17,0.14,0.11,0.06,-0.01,-0.05,-0.06,-0.04,0.0,0.05,0.09,0.11,0.12,0.1,0.07,0.05,0.01,0.0,0.02,0.06,0.09,0.11,0.16,0.2,0.22,0.25,0.3,0.35,0.38,0.38,0.35,0.32,0.28,0.21,0.13,</t>
  </si>
  <si>
    <t>To_Avoid_Formula119.22,119.22,119.22,119.23,119.23,119.23,119.24,119.24,119.24,119.25,119.25,119.25,119.26,119.26,119.27,119.27,119.27,119.28,119.28,119.29,119.29,119.3,119.3,119.31,119.31,119.32,119.33,119.33,119.34,119.34,119.35,119.36,119.36,119.37,119.38,119.39,119.39,119.4,119.41,119.42,119.43,119.44,119.45,119.45,119.46,119.47,119.48,119.49,119.51,119.52,119.53,119.54,119.55,119.56,119.57,119.59,119.6,119.61,119.63,119.64,119.65,119.67,119.68,119.69,119.71,119.72,119.74,119.75,119.77,119.78,119.8,119.81,119.83,119.85,119.86,119.88,119.9,119.92,119.93,119.95,119.97,119.99,120.01,120.03,120.04,120.06,120.08,120.11,120.13,120.15,120.17,120.19,120.21,120.24,120.26,120.28,120.31,120.33,120.36,120.38,120.41,120.44,120.46,120.49,120.52,120.55,120.57,120.6,120.63,120.66,120.69,120.73,120.76,120.79,120.82,120.85,120.89,120.92,120.96,120.99,121.03,121.06,121.1,121.13,121.17,121.21,121.25,121.28,121.32,121.36,121.4,121.44,121.48,121.52,121.56,121.6,121.65,121.69,121.73,121.77,121.82,121.86,121.91,121.95,122.0,122.04,122.09,122.13,122.18,122.23,122.28,122.32,122.37,122.42,122.47,122.52,122.57,122.62,122.66,122.71,122.77,122.82,122.87,122.92,122.97,123.02,123.07,123.12,123.18,123.23,123.28,123.34,123.39,123.44,123.5,123.55,123.6,123.66,123.71,123.77,123.82,123.88,123.93,123.99,124.05,124.1,124.16,124.21,124.27,124.33,124.38,124.44,124.5,124.55,124.61,124.67,124.72,124.78,124.84,124.9,124.95,125.01,125.07,125.13,125.18,125.24,125.3,125.35,125.41,125.47,125.53,125.58,125.64,125.7,125.75,125.81,125.87,125.92,125.98,126.04,126.09,126.15,126.2,126.26,126.31,126.37,126.42,126.48,126.53,126.59,126.64,126.69,126.75,126.8,126.85,126.9,126.96,127.01,127.06,127.11,127.16,127.21,127.26,127.3,127.35,127.4,127.45,127.49,127.54,127.59,127.63,127.68,127.72,127.76,127.81,127.85,127.89,127.93,127.97,128.02,128.06,128.1,128.13,128.17,128.21,128.25,128.29,128.32,128.36,128.39,128.43,128.46,128.49,128.53,128.56,128.59,128.62,128.65,128.68,128.71,128.74,128.77,128.79,128.82,128.84,128.87,128.89,128.92,128.94,128.96,128.98,129.0,129.02,129.04,129.06,129.07,129.09,129.1,129.12,129.13,129.15,129.16,129.17,129.18,129.19,129.2,129.21,129.22,129.22,129.23,129.23,129.24,129.24,129.25,129.25,129.25,129.25,129.25,129.25,129.25,129.25,129.24,129.24,129.24,129.23,129.22,129.22,129.21,129.2,129.19,129.18,129.17,129.16,129.15,129.13,129.12,129.11,129.09,129.08,129.06,129.04,129.02,129.0,128.98,128.96,128.94,128.92,128.9,128.87,128.85,128.82,128.8,128.77,128.74,128.71,128.68,128.65,128.62,128.59,128.56,128.53,128.49,128.46,128.43,128.39,128.35,128.32,128.28,128.24,128.2,128.16,128.12,128.08,128.04,128.0,127.95,127.91,127.87,127.82,127.78,127.73,127.68,127.64,127.59,127.54,127.49,127.44,127.39,127.34,127.29,127.24,127.18,127.13,127.08,127.02,126.97,126.91,126.86,126.8,126.74,126.69,126.63,126.57,126.51,126.45,126.39,126.33,126.27,126.21,126.14,126.08,126.02,125.95,125.89,125.83,125.76,125.69,125.63,125.56,125.49,125.43,125.36,125.29,125.22,125.15,125.08,125.01,124.94,124.87,124.8,124.72,124.65,124.58,124.51,124.43,124.36,124.29,124.21,124.14,124.06,123.99,123.91,123.84,123.76,123.69,123.61,123.53,123.46,123.38,123.3,123.23,123.15,123.07,122.99,122.92,122.84,122.76,122.68,122.6,122.52,122.45,122.37,122.29,122.21,122.13,122.05,121.97,121.89,121.81,121.73,121.65,121.57,121.49,121.41,121.33,121.25,121.17,121.09,121.01,120.93,120.85,120.77,120.69,120.61,120.53,120.45,120.37,120.29,120.21,120.13,120.05,119.97,119.89,119.81,119.73,119.65,119.58,119.5,119.42,119.34,119.26,119.18,119.1,119.02,118.95,118.87,118.79,118.71,118.63,118.56,118.48,118.4,118.33,118.25,118.17,118.09,118.02,117.94,117.87,117.79,117.71,117.64,117.56,117.49,117.41,117.34,117.26,117.19,117.11,117.04,116.96,116.89,116.82,116.74,116.67,116.6,116.52,116.45,116.38,116.31,116.23,116.16,116.09,116.02,115.95,115.88,115.81,115.74,115.66,115.59,115.52,115.45,115.39,115.32,115.25,115.18,115.11,115.04,114.97,114.9,114.84,114.77,114.7,114.63,114.57,114.5,11</t>
  </si>
  <si>
    <t>To_Avoid_Formula4.43,114.37,114.3,114.24,114.17,114.1,114.04,113.97,113.91,113.84,113.78,113.72,113.65,113.59,113.52,113.46,113.4,113.33,113.27,113.21,113.14,113.08,113.02,112.96,112.89,112.83,112.77,112.71,112.65,112.59,112.53,112.46,112.4,112.34,112.28,112.22,112.16,112.1,112.04,111.98,111.93,111.87,111.81,111.75,111.69,111.63,111.57,111.51,111.46,111.4,111.34,111.28,111.22,111.16,111.11,111.05,110.99,110.93,110.87,110.82,110.76,110.7,110.64,110.58,110.52,110.46,110.4,110.34,110.29,110.23,110.17,110.11,110.05,109.98,109.92,109.86,109.8,109.74,109.68,109.62,109.55,109.49,109.43,109.36,109.3,109.24,109.17,109.11,109.04,108.98,108.91,108.84,108.78,108.71,108.64,108.57,108.5,108.43,108.36,108.29,108.22,108.15,108.08,108.01,107.93,107.86,107.79,107.71,107.64,107.56,107.48,107.4,107.33,107.25,107.17,107.09,107.0,106.92,106.84,106.76,106.67,106.59,106.5,106.41,106.32,106.23,106.14,106.05,105.96,105.87,105.78,105.68,105.59,105.49,105.4,105.3,105.2,105.1,105.0,104.9,104.79,104.69,104.59,104.48,104.38,104.27,104.16,104.05,103.94,103.83,103.72,103.61,103.5,103.38,103.27,103.15,103.04,102.92,102.8,102.68,102.56,102.44,102.32,102.2,102.08,101.95,101.83,101.71,101.58,101.45,101.33,101.2,101.07,100.94,100.81,100.68,100.54,100.41,100.28,100.14,100.01,99.87,99.74,99.6,99.46,99.32,99.18,99.05,98.9,98.76,98.62,98.48,98.34,98.19,98.05,97.91,97.76,97.61,97.47,97.32,97.17,97.03,96.88,96.73,96.58,96.43,96.28,96.13,95.98,95.83,95.67,95.52,95.37,95.22,95.06,94.91,94.76,94.6,94.45,94.29,94.14,93.98,93.82,93.67,93.51,93.35,93.2,93.04,92.88,92.73,92.57,92.41,92.25,92.09,91.93,91.77,91.61,91.46,91.3,91.14,90.98,90.82,90.66,90.5,90.34,90.18,90.01,89.85,89.69,89.53,89.37,89.21,89.05,88.89,88.73,88.57,88.41,88.25,88.09,87.93,87.77,87.61,87.45,87.28,87.12,86.96,86.8,86.64,86.48,86.32,86.16,86.0,85.84,85.69,85.53,85.37,85.21,85.05,84.89,84.73,84.57,84.41,84.25,84.09,83.93,83.77,83.61,83.46,83.3,83.14,82.98,82.82,82.66,82.51,82.35,82.19,82.03,81.87,81.72,81.56,81.4,81.24,81.09,80.93,80.77,80.62,80.46,80.3,80.15,79.99,79.83,79.68,79.52,79.37,79.21,79.06,78.9,78.75,78.59,78.44,78.28,78.13,77.98,77.82,77.67,77.52,77.36,77.21,77.06,76.91,76.75,76.6,76.45,76.3,76.15,76.0,75.85,75.7,75.55,75.4,75.25,75.1,74.95,74.8,74.65,74.5,74.36,74.21,74.06,73.92,73.77,73.62,73.48,73.33,73.19,73.04,72.9,72.75,72.61,72.46,72.32,72.18,72.04,71.89,71.75,71.61,71.47,71.33,71.19,71.05,70.91,70.77,70.63,70.5,70.36,70.22,70.08,69.95,69.81,69.68,69.54,69.41,69.27,69.14,69.01,68.87,68.74,68.61,68.47,68.34,68.21,68.08,67.95,67.82,67.69,67.56,67.43,67.3,67.17,67.04,66.92,66.79,66.66,66.53,66.41,66.28,66.15,66.03,65.9,65.77,65.65,65.52,65.4,65.27,65.14,65.02,64.89,64.77,64.64,64.52,64.39,64.27,64.15,64.02,63.9,63.77,63.65,63.52,63.4,63.27,63.15,63.03,62.9,62.78,62.65,62.53,62.41,62.28,62.16,62.03,61.91,61.78,61.66,61.53,61.41,61.28,61.16,61.04,60.91,60.79,60.66,60.53,60.41,60.28,60.16,60.03,59.91,59.78,59.66,59.53,59.4,59.28,59.15,59.03,58.9,58.77,58.65,58.52,58.39,58.26,58.14,58.01,57.88,57.75,57.63,57.5,57.37,57.24,57.12,56.99,56.86,</t>
  </si>
  <si>
    <t>To_Avoid_Formula153.91,154.01,154.08,154.19,154.36,154.5,154.54,154.56,154.61,154.58,154.49,154.47,154.51,154.47,154.37,154.24,154.17,154.17,154.19,154.13,153.97,153.84,153.83,153.85,153.79,153.68,153.55,153.49,153.46,153.36,153.19,153.08,153.03,152.98,152.78,152.5,152.27,152.18,152.18,152.11,151.97,151.99,152.22,152.56,152.85,152.98,153.03,153.2,153.48,153.67,153.64,153.52,153.49,153.49,153.43,153.32,153.23,153.27,153.42,153.58,153.65,153.69,153.85,154.09,154.23,154.23,154.23,154.22,154.17,154.03,153.77,153.42,153.06,152.8,152.48,151.99,151.58,151.42,151.4,151.39,151.38,151.37,151.4,151.62,151.99,152.29,152.53,152.9,153.43,153.78,153.91,153.98,154.14,154.26,154.25,154.16,154.05,153.99,153.96,153.91,153.86,153.88,153.98,154.13,154.27,154.43,154.57,154.71,154.84,154.91,154.9,154.8,154.69,154.59,154.37,153.96,153.57,153.33,153.04,152.6,152.16,151.87,151.72,151.64,151.68,151.77,151.93,152.26,152.72,153.08,153.24,153.36,153.52,153.6,153.53,153.39,153.29,153.18,153.06,152.94,152.84,152.82,152.91,153.08,153.2,153.29,153.46,153.74,154.03,154.24,154.39,154.52,154.7,154.82,154.74,154.54,154.37,154.29,154.17,153.96,153.72,153.51,153.36,153.25,153.12,152.89,152.67,152.52,152.36,152.16,151.97,151.83,151.78,151.79,151.81,151.79,151.9,152.12,152.32,152.35,152.32,152.36,152.41,152.32,152.08,151.75,151.49,151.32,151.12,150.7,150.33,150.13,150.08,150.07,150.0,149.94,150.04,150.29,150.49,150.51,150.51,150.7,151.06,151.31,151.43,151.47,151.48,151.53,151.47,151.22,150.91,150.71,150.56,150.4,150.19,150.03,149.94,149.95,149.96,149.9,149.79,149.74,149.76,149.77,149.75,149.67,149.59,149.58,149.57,149.43,149.26,149.21,149.22,149.2,149.16,149.18,149.27,149.39,149.45,149.43,149.44,149.59,149.71,149.59,149.32,149.12,149.06,149.11,149.12,149.05,149.04,149.17,149.37,149.61,149.89,150.11,150.19,150.25,150.36,150.48,150.6,150.79,150.98,151.0,150.97,151.03,151.19,151.33,151.43,151.49,151.51,151.55,151.58,151.55,151.49,151.51,151.61,151.7,151.72,151.63,151.55,151.56,151.64,151.62,151.47,151.35,151.35,151.38,151.38,151.35,151.37,151.48,151.65,151.79,151.88,152.01,152.24,152.48,152.62,152.61,152.47,152.15,151.71,151.18,150.49,149.77,149.1,148.52,147.9,147.35,146.94,146.74,146.74,146.79,146.8,146.69,146.59,146.51,146.43,146.31,146.18,146.07,146.04,146.05,146.09,146.2,146.36,146.46,146.42,146.33,146.27,146.23,146.16,145.98,145.72,145.53,145.49,145.46,145.38,145.3,145.31,145.37,145.36,145.23,145.01,144.8,144.7,144.56,144.26,143.89,143.59,143.33,143.11,142.85,142.52,142.22,142.06,142.01,141.99,142.02,142.11,142.26,142.4,142.46,142.43,142.35,142.34,142.26,141.94,141.47,141.1,140.88,140.72,140.5,140.16,139.82,139.6,139.4,139.12,138.84,138.63,138.42,138.21,138.09,137.98,137.85,137.75,137.67,137.57,137.51,137.55,137.66,137.72,137.74,137.78,137.89,138.03,138.14,138.14,138.03,137.96,137.92,137.82,137.67,137.58,137.58,137.63,137.65,137.61,137.52,137.41,137.28,137.13,136.97,136.8,136.55,136.26,136.0,135.85,135.77,135.71,135.59,135.4,135.25,135.24,135.3,135.32,135.31,135.3,135.36,135.4,135.32,135.01,134.54,133.96,133.24,132.44,131.72,131.18,130.83,130.67,130.56,130.42,130.28,130.3,130.41,130.4,130.1,129.64,129.17,128.74,128.25,127.7,127.25,126.94,126.75,126.55,126.43,126.4,126.43,126.47,126.55,126.67,126.82,127.01,127.25,127.42,127.43,127.42,127.5,127.61,127.66,127.58,127.36,127.16,127.08,127.02,126.79,126.47,126.21,126.0,125.79,125.51,125.16,124.91,124.84,124.84,124.91,125.09,125.35,125.43,125.25,125.02,124.82,124.58,124.28,123.93,123.53,123.25,123.16,123.14,123.06,122.99,123.03,123.24,123.53,123.78,123.94,124.14,124.48,124.95,125.28,125.39,125.43,125.44,125.42,125.23,124.86,124.33,123.99,123.83,123.71,123.55,123.34,123.23,123.34,123.52,123.6,123.59,123.5,123.48,123.5,123.45,123.21,123.02,123.06,123.19,123.18,123.02,122.87,122.72,122.51,122.26,122.03,121.88,121.9,122.15,122.48,122.81,123.08,123.32,123.51,123.65,123.48,122.94,122.25,121.55,120.94,120.31,119.74,119.2,118.59,117.95,117.4,116.99,116.69,116.44,116.1</t>
  </si>
  <si>
    <t>To_Avoid_Formula1,115.75,115.49,115.32,115.08,114.7,114.32,114.03,113.75,113.38,112.95,112.5,112.11,111.75,111.36,111.01,110.81,110.74,110.75,110.8,110.93,111.14,111.44,111.76,111.96,112.08,112.28,112.61,112.76,112.7,112.6,112.55,112.56,112.5,112.3,111.99,111.77,111.63,111.47,111.26,111.04,110.92,110.97,111.02,110.96,110.81,110.71,110.7,110.63,110.41,110.06,109.71,109.48,109.31,109.07,108.79,108.62,108.55,108.42,108.21,107.99,107.79,107.64,107.51,107.36,107.22,107.2,107.3,107.31,107.19,107.08,107.08,107.14,107.16,107.1,106.97,106.87,106.81,106.69,106.51,106.36,106.27,106.18,106.06,105.88,105.67,105.55,105.53,105.45,105.25,105.03,104.92,104.82,104.6,104.27,103.93,103.69,103.56,103.44,103.23,103.02,102.88,102.77,102.62,102.46,102.3,102.2,102.19,102.23,102.22,102.22,102.32,102.47,102.57,102.57,102.52,102.51,102.52,102.52,102.43,102.29,102.21,102.21,102.17,102.07,101.98,101.96,102.02,102.06,102.04,102.0,101.98,101.98,101.88,101.64,101.36,101.1,100.85,100.54,100.14,99.71,99.36,99.05,98.72,98.37,98.09,97.83,97.58,97.36,97.11,96.88,96.78,96.81,96.75,96.59,96.43,96.32,96.26,96.24,96.2,96.15,96.17,96.23,96.25,96.2,96.13,96.03,95.9,95.72,95.45,95.08,94.72,94.44,94.18,93.9,93.66,93.52,93.4,93.28,93.16,93.05,92.98,92.92,92.73,92.43,92.2,92.1,92.0,91.83,91.68,91.61,91.62,91.69,91.75,91.75,91.74,91.78,91.81,91.79,91.73,91.67,91.59,91.5,91.38,91.22,91.04,90.85,90.64,90.36,90.07,89.83,89.63,89.45,89.28,89.08,88.91,88.85,88.83,88.78,88.73,88.71,88.66,88.55,88.42,88.28,88.15,88.05,87.93,87.74,87.49,87.26,87.1,86.99,86.89,86.7,86.46,86.28,86.16,85.96,85.69,85.44,85.24,85.07,84.9,84.7,84.48,84.38,84.34,84.28,84.22,84.25,84.28,84.23,84.12,84.02,83.93,83.82,83.65,83.41,83.12,82.86,82.59,82.25,81.93,81.69,81.54,81.48,81.45,81.39,81.35,81.39,81.45,81.43,81.32,81.2,81.1,81.02,80.88,80.66,80.42,80.3,80.24,80.17,80.06,79.97,79.9,79.76,79.55,79.3,79.05,78.9,78.81,78.71,78.59,78.51,78.46,78.42,78.41,78.37,78.27,78.15,78.07,77.91,77.66,77.44,77.3,77.15,76.96,76.78,76.65,76.56,76.49,76.37,76.19,76.02,75.84,75.6,75.31,75.03,74.77,74.58,74.44,74.32,74.14,73.94,73.78,73.64,73.47,73.31,73.15,73.02,72.93,72.85,72.7,72.52,72.38,72.3,72.22,72.16,72.15,72.09,71.99,71.93,71.94,71.95,71.9,71.82,71.72,71.62,71.56,71.5,71.36,71.13,70.95,70.84,70.73,70.59,70.43,70.28,70.2,70.21,70.21,70.12,70.0,69.91,69.85,69.8,69.7,69.53,69.4,69.36,69.32,69.23,69.14,69.12,69.13,69.08,68.93,68.71,68.49,68.31,68.14,67.88,67.58,67.34,67.15,66.96,66.78,66.63,66.5,66.43,66.38,66.32,66.27,66.24,66.18,66.06,65.9,65.72,65.57,65.45,65.33,65.11,64.81,64.53,64.32,64.12,63.92,63.71,63.5,63.32,63.18,63.0,62.75,62.51,62.34,62.21,62.04,61.83,61.64,61.53,61.48,61.43,61.35,61.32,61.34,61.33,61.25,61.15,61.02,60.83,60.64,60.49,60.37,60.3,60.28,60.21,60.05,59.91,59.79,59.65,59.47,59.24,59.03,58.87,58.77,58.69,58.63,58.64,58.65,58.61,58.51,58.39,58.28,58.18,58.1,57.97,57.81,57.66,57.53,57.4,57.25,57.06,56.86,56.68,56.52,56.32,56.07,55.86,55.72,55.62,55.48,55.31,55.18,55.16,55.2,55.2,55.13,55.05,55.02,</t>
  </si>
  <si>
    <t>To_Avoid_Formula28.97,28.97,28.97,28.97,28.98,28.98,28.98,28.99,28.99,29.0,29.01,29.02,29.02,29.03,29.04,29.06,29.07,29.08,29.09,29.1,29.11,29.12,29.13,29.14,29.14,29.15,29.16,29.17,29.18,29.19,29.2,29.21,29.22,29.22,29.23,29.24,29.24,29.25,29.26,29.27,29.27,29.28,29.29,29.3,29.31,29.31,29.32,29.33,29.33,29.33,29.34,29.34,29.34,29.34,29.34,29.34,29.34,29.34,29.33,29.32,29.31,29.31,29.3,29.29,29.28,29.27,29.26,29.25,29.23,29.22,29.21,29.2,29.19,29.18,29.17,29.16,29.15,29.14,29.13,29.12,29.11,29.1,29.09,29.09,29.08,29.08,29.08,29.08,29.07,29.07,29.07,29.07,29.06,29.06,29.06,29.06,29.06,29.06,29.06,29.06,29.06,29.06,29.07,29.07,29.07,29.07,29.07,29.08,29.08,29.09,29.1,29.1,29.11,29.11,29.12,29.13,29.13,29.14,29.15,29.16,29.18,29.19,29.2,29.21,29.23,29.24,29.26,29.28,29.29,29.31,29.32,29.34,29.35,29.36,29.37,29.38,29.39,29.4,29.4,29.41,29.42,29.42,29.43,29.44,29.44,29.44,29.44,29.44,29.44,29.44,29.44,29.44,29.44,29.45,29.45,29.45,29.45,29.45,29.46,29.46,29.46,29.46,29.47,29.47,29.48,29.48,29.49,29.49,29.5,29.5,29.5,29.5,29.5,29.49,29.49,29.48,29.48,29.47,29.46,29.46,29.45,29.44,29.44,29.43,29.42,29.42,29.41,29.41,29.41,29.4,29.4,29.4,29.39,29.39,29.39,29.39,29.39,29.39,29.4,29.4,29.4,29.4,29.41,29.41,29.41,29.41,29.4,29.4,29.4,29.39,29.39,29.38,29.37,29.36,29.36,29.35,29.34,29.33,29.32,29.31,29.3,29.3,29.29,29.28,29.28,29.28,29.27,29.27,29.26,29.26,29.25,29.25,29.24,29.23,29.22,29.21,29.2,29.19,29.18,29.17,29.16,29.15,29.14,29.13,29.11,29.1,29.09,29.07,29.06,29.05,29.03,29.02,29.01,29.0,28.99,28.98,28.96,28.95,28.94,28.93,28.92,28.91,28.9,28.89,28.88,28.87,28.86,28.85,28.84,28.82,28.81,28.79,28.77,28.75,28.73,28.71,28.69,28.67,28.65,28.64,28.62,28.6,28.58,28.56,28.54,28.52,28.5,28.48,28.46,28.44,28.43,28.41,28.39,28.37,28.35,28.34,28.32,28.3,28.28,28.26,28.23,28.21,28.19,28.17,28.14,28.12,28.09,28.07,28.04,28.02,27.99,27.97,27.94,27.92,27.89,27.87,27.84,27.82,27.79,27.76,27.74,27.71,27.69,27.66,27.64,27.61,27.59,27.56,27.54,27.51,27.48,27.46,27.43,27.4,27.38,27.35,27.33,27.3,27.28,27.25,27.22,27.2,27.17,27.15,27.12,27.1,27.08,27.06,27.04,27.01,26.99,26.97,26.95,26.93,26.91,26.89,26.87,26.86,26.84,26.82,26.8,26.78,26.76,26.75,26.73,26.71,26.69,26.67,26.65,26.63,26.62,26.6,26.59,26.57,26.56,26.54,26.53,26.51,26.5,26.49,26.47,26.46,26.45,26.44,26.43,26.41,26.4,26.39,26.38,26.37,26.36,26.35,26.34,26.32,26.31,26.3,26.28,26.27,26.25,26.24,26.22,26.21,26.19,26.18,26.17,26.15,26.14,26.13,26.12,26.1,26.09,26.08,26.07,26.06,26.05,26.04,26.03,26.03,26.02,26.01,26.0,25.99,25.98,25.97,25.95,25.94,25.93,25.91,25.9,25.89,25.88,25.86,25.85,25.84,25.83,25.81,25.8,25.79,25.77,25.76,25.75,25.73,25.72,25.7,25.69,25.68,25.66,25.65,25.64,25.63,25.61,25.6,25.59,25.57,25.56,25.54,25.52,25.5,25.49,25.47,25.45,25.43,25.41,25.39,25.37,25.35,25.33,25.31,25.29,25.27,25.25,25.23,25.21,25.2,25.18,25.17,25.15,25.14,25.13,25.11,25.1,25.08,25.07,25.05,25.04,25.02,25.01,24.99,24.97,24.95,24.93,24.91,24.89,24.87,24.85,24.83,24.81,24.79,24.76,24.74,24.72,24.69,24.67,24.65,24.63,24.61,24.59,24.57,24.55,24.53,24.51,24.49,24.47,24.45,24.43,24.41,24.4,24.38,24.36,24.34,24.32,24.3,24.28,24.26,24.24,24.22,24.2,24.17,24.14,24.12,24.09,24.06,24.04,24.01,23.99,23.96,23.94,23.91,23.89,23.87,23.85,23.82,23.8,23.78,23.75,23.73,23.71,23.68,23.66,23.64,23.61,23.59,23.57,23.54,23.52,23.49,23.47,23.44,23.42,23.39,23.37,23.34,23.31,23.29,23.26,23.23,23.21,23.18,23.15,23.12,23.1,23.07,23.04,23.01,22.98,22.95,22.92,22.9,22.87,22.85,22.82,22.79,22.77,22.74,22.71,22.68,22.65,22.61,22.58,22.55,22.52,22.49,22.46,22.43,22.4,22.37,22.34,22.31,22.28,22.25,22.22,22.19,22.16,22.13,22.1,22.07,22.04,22.0,21.97,21.94,21.9,21.87,21.83,21.8,21.76,21.73,21.69,21.65,21.61,21.57,21.53,21.48,21.44,21.41,21.37,21.33,21.29,21.25,21.22,21.18,21.15,21.11,21.07,21.04,21.01,20.97,20.94,20.91,20.88,20.84,20.81,20.78,20.74,20.71,20.67,20.64,20.61,20.57,20.53,20.5,20.46,20.42,20.39,20.35,20.32,20.28,20.25,20.22,20.18,20.15,20.12,20.09,20.06,20.03,19</t>
  </si>
  <si>
    <t>To_Avoid_Formula.99,19.97,19.94,19.91,19.89,19.87,19.85,19.82,19.8,19.78,19.75,19.73,19.7,19.67,19.64,19.61,19.58,19.55,19.51,19.48,19.45,19.42,19.39,19.37,19.34,19.31,19.28,19.26,19.23,19.21,19.18,19.16,19.14,19.12,19.1,19.08,19.06,19.04,19.02,19.0,18.98,18.96,18.94,18.92,18.9,18.87,18.85,18.83,18.81,18.79,18.77,18.74,18.72,18.69,18.66,18.64,18.61,18.58,18.55,18.53,18.5,18.48,18.45,18.43,18.41,18.39,18.37,18.35,18.32,18.3,18.28,18.25,18.23,18.2,18.18,18.15,18.13,18.1,18.07,18.05,18.02,17.99,17.96,17.93,17.9,17.87,17.83,17.8,17.77,17.73,17.7,17.67,17.63,17.6,17.57,17.53,17.5,17.46,17.43,17.39,17.36,17.33,17.3,17.27,17.24,17.21,17.18,17.14,17.11,17.08,17.05,17.02,16.99,16.96,16.93,16.9,16.87,16.84,16.81,16.78,16.75,16.72,16.69,16.66,16.63,16.6,16.57,16.54,16.51,16.48,16.45,16.42,16.39,16.36,16.33,16.3,16.27,16.24,16.22,16.19,16.16,16.13,16.11,16.08,16.05,16.03,16.0,15.98,15.95,15.93,15.91,15.88,15.86,15.84,15.82,15.8,15.78,15.75,15.73,15.71,15.68,15.66,15.63,15.61,15.58,15.55,15.53,15.5,15.46,15.43,15.4,15.37,15.34,15.31,15.28,15.25,15.22,15.2,15.17,15.15,15.12,15.09,15.07,15.05,15.02,15.0,14.98,14.95,14.93,14.91,14.89,14.87,14.85,14.83,14.81,14.79,14.77,14.75,14.72,14.7,14.68,14.65,14.62,14.59,14.57,14.53,14.5,14.47,14.44,14.42,14.39,14.36,14.34,14.31,14.29,14.26,14.24,14.22,14.2,14.18,14.16,14.14,14.12,14.1,14.07,14.05,14.03,14.0,13.98,13.95,13.93,13.9,13.88,13.85,13.82,13.79,13.76,13.73,13.7,13.66,13.63,13.6,13.57,13.53,13.5,13.47,13.44,13.41,13.38,13.35,13.32,13.29,13.26,13.23,13.21,13.18,13.16,13.13,13.1,13.08,13.05,13.02,12.99,12.96,12.93,12.9,12.87,12.84,12.81,12.78,12.75,12.71,12.68,12.65,12.62,12.59,12.55,12.52,12.49,12.45,12.42,12.39,12.36,12.33,12.3,12.27,12.24,12.21,12.18,12.15,12.12,12.09,12.06,12.03,12.0,11.97,11.94,11.91,11.87,11.84,11.8,11.77,11.73,11.7,11.66,11.63,11.59,11.56,11.53,11.49,11.46,11.43,11.4,11.36,11.33,11.3,11.27,11.24,11.21,11.18,11.15,11.12,11.09,11.06,11.03,11.0,10.98,10.95,10.92,10.9,10.87,10.85,10.82,10.8,10.77,10.74,10.71,10.69,10.66,10.63,10.6,10.57,10.55,10.52,10.49,10.47,10.44,10.42,10.4,10.37,10.35,10.32,10.3,10.27,10.25,10.23,10.2,10.17,10.15,10.13,10.1,10.08,10.05,10.03,10.0,9.98,9.96,9.93,9.91,9.89,9.86,9.84,9.82,9.8,9.77,9.75,9.72,9.7,9.67,9.64,9.62,9.59,9.56,</t>
  </si>
  <si>
    <t>To_Avoid_Formula0.0,0.0,0.0,0.0,0.0,0.0,0.0,0.0,0.0,0.0,0.0,0.0,0.0,0.0,0.0,0.0,0.0,0.0,0.0,0.0,0.0,0.0,0.0,0.0,0.0,0.0,0.0,0.0,0.0,0.0,0.0,0.0,0.0,0.0,0.0,0.0,0.0,0.0,0.0,0.0,0.0,0.0,0.0,0.0,0.0,0.0,0.0,0.0,0.0,0.0,0.0,0.0,0.0,0.0,0.0,0.0,0.0,0.0,0.0,0.0,0.0,0.0,0.0,0.0,0.0,0.0,0.0,</t>
  </si>
  <si>
    <t>To_Avoid_Formula-2.4,-2.46,-2.53,-2.61,-2.7,-2.79,-2.89,-2.99,-3.08,-3.15,-3.2,-3.23,-3.26,-3.29,-3.32,-3.36,-3.4,-3.45,-3.5,-3.54,-3.56,-3.56,-3.55,-3.52,-3.47,-3.4,-3.31,-3.22,-3.13,-3.05,-2.99,-2.96,-2.94,-2.95,-2.97,-3.01,-3.05,-3.09,-3.12,-3.13,-3.12,-3.1,-3.07,-3.05,-3.02,-2.99,-2.96,-2.91,-2.86,-2.79,-2.71,-2.63,-2.55,-2.46,-2.37,-2.27,-2.16,-2.04,-1.92,-1.79,-1.66,-1.52,-1.39,-1.25,-1.12,-1.0,-0.9,-0.84,-0.8,-0.78,-0.76,-0.75,-0.74,-0.72,-0.71,-0.72,-0.77,-0.85,-0.97,-1.12,-1.29,-1.48,-1.67,-1.87,-2.06,-2.26,-2.46,-2.66,-2.86,-3.06,-3.26,-3.47,-3.67,-3.89,-4.1,-4.28,-4.44,-4.54,-4.61,-4.62,-4.61,-4.56,-4.5,-4.44,-4.38,-4.34,-4.31,-4.32,-4.35,-4.41,-4.49,-4.59,-4.71,-4.83,-4.94,-5.04,-5.12,-5.19,-5.24,-5.26,-5.24,-5.21,-5.17,-5.15,-5.14,-5.15,-5.18,-5.24,-5.31,-5.4,-5.51,-5.62,-5.74,-5.86,-5.97,-6.06,-6.13,-6.17,-6.19,-6.19,-6.17,-6.14,-6.1,-6.05,-5.99,-5.92,-5.85,-5.77,-5.7,-5.62,-5.55,-5.48,-5.42,-5.38,-5.35,-5.32,-5.31,-5.32,-5.33,-5.35,-5.38,-5.42,-5.47,-5.53,-5.6,-5.69,-5.8,-5.93,-6.07,-6.22,-6.38,-6.56,-6.74,-6.92,-7.09,-7.25,-7.4,-7.54,-7.66,-7.76,-7.85,-7.92,-7.97,-7.99,-7.99,-7.96,-7.9,-7.82,-7.7,-7.55,-7.38,-7.18,-6.95,-6.71,-6.45,-6.17,-5.87,-5.56,-5.24,-4.9,-4.56,-4.22,-3.88,-3.55,-3.22,-2.88,-2.53,-2.17,-1.81,-1.44,-1.06,-0.66,-0.26,0.15,0.55,0.92,1.25,1.54,1.77,1.95,2.08,2.17,2.22,2.23,2.19,2.1,1.95,1.76,1.54,1.28,0.99,0.7,0.42,0.16,-0.06,-0.24,-0.38,-0.5,-0.6,-0.7,-0.8,-0.91,-1.03,-1.16,-1.27,-1.37,-1.44,-1.49,-1.53,-1.57,-1.6,-1.65,-1.7,-1.75,-1.8,-1.83,-1.85,-1.85,-1.82,-1.78,-1.71,-1.62,-1.52,-1.42,-1.32,-1.22,-1.13,-1.04,-0.95,-0.87,-0.79,-0.69,-0.59,-0.5,-0.42,-0.35,-0.29,-0.21,-0.11,0.01,0.15,0.32,0.51,0.73,0.96,1.2,1.42,1.62,1.79,1.93,2.03,2.11,2.16,2.18,2.19,2.18,2.17,2.15,2.11,2.07,2.02,1.97,1.92,1.87,1.83,1.82,1.82,1.84,1.88,1.93,1.98,2.02,2.05,2.06,2.04,2.0,1.92,1.82,1.7,1.54,1.34,1.12,0.86,0.57,0.28,-0.02,-0.31,-0.58,-0.83,-1.05,-1.23,-1.36,-1.46,-1.52,-1.56,-1.56,-1.56,-1.54,-1.51,-1.49,-1.48,-1.47,-1.48,-1.5,-1.53,-1.57,-1.63,-1.69,-1.77,-1.87,-1.97,-2.09,-2.21,-2.34,-2.46,-2.57,-2.65,-2.72,-2.75,-2.77,-2.77,-2.76,-2.75,-2.72,-2.68,-2.61,-2.52,-2.42,-2.32,-2.21,-2.11,-2.01,-1.91,-1.82,-1.72,-1.62,-1.53,-1.43,-1.35,-1.28,-1.22,-1.18,-1.15,-1.13,-1.11,-1.09,-1.09,-1.09,-1.09,-1.1,-1.1,-1.11,-1.12,-1.14,-1.18,-1.24,-1.3,-1.36,-1.43,-1.51,-1.59,-1.67,-1.75,-1.82,-1.89,-1.96,-2.03,-2.09,-2.15,-2.19,-2.21,-2.21,-2.18,-2.11,-2.02,-1.9,-1.76,-1.61,-1.45,-1.29,-1.12,-0.95,-0.77,-0.59,-0.4,-0.21,-0.02,0.17,0.35,0.52,0.67,0.8,0.91,1.0,1.08,1.15,1.2,1.26,1.31,1.36,1.41,1.47,1.53,1.59,1.66,1.72,1.78,1.83,1.86,1.89,1.91,1.93,1.94,1.96,1.98,2.02,2.06,2.12,2.18,2.26,2.33,2.4,2.46,2.52,2.57,2.61,2.63,2.65,2.67,2.69,2.71,2.72,2.72,2.69,2.65,2.59,2.52,2.44,2.35,2.26,2.15,2.04,1.91,1.76,1.59,1.39,1.17,0.93,0.68,0.44,0.21,0.01,-0.17,-0.34,-0.5,-0.66,-0.8,-0.94,-1.07,-1.18,-1.26,-1.32,-1.36,-1.39,-1.4,-1.41,-1.41,-1.41,-1.4,-1.39,-1.37,-1.34,-1.3,-1.28,-1.26,-1.28,-1.33,-1.42,-1.56,-1.74,-1.95,-2.18,-2.42,-2.66,-2.89,-3.09,-3.25,-3.38,-3.48,-3.55,-3.6,-3.61,-3.6,-3.56,-3.5,-3.41,-3.3,-3.19,-3.06,-2.92,-2.77,-2.61,-2.45,-2.28,-2.09,-1.9,-1.68,-1.46,-1.24,-1.02,-0.81,-0.61,-0.42,-0.23,-0.05,0.1,0.23,0.32,0.39,0.45,0.49,0.53,0.55,0.57,0.58,0.59,0.59,0.58,0.55,0.51,0.45,0.39,0.32,0.25,0.18,0.11,0.03,-0.05,-0.13,-0.2,-0.29,-0.37,-0.46,-0.55,-0.63,-0.7,-0.77,-0.82,-0.84,-0.85,-0.82,-0.75,-0.65,-0.52,-0.36,-0.18,0.01,0.21,0.39,0.57,0.73,0.86,0.97,1.05,1.11,1.13,1.13,1.09,1.01,0.9,0.76,0.58,0.39,0.18,-0.02,-0.21,-0.37,-0.5,-0.62,-0.72,-0.8,-0.86,-0.91,-0.95,-0.96,-0.96,-0.94,-0.89,-0.81,-0.7,-0.58,-0.46,-0.35,-0.27,-0.21,-0.17,-0.15,-0.15,-0.16,-0.16,-0.16,-0.15,-0.13,-0.11,-0.08,-0.07,-0.06,-0.06,-0.07,-0.1,-0.13,-0.16,-0.17,-0.16,-0.13,-0.08,-0.02,0.03,0.07,0.1,0.11,0.11,0.11,0.12,0.15,0.21,0.31,0.42,0.56,0.72,0.88,1.03,1.15,1.23,1.28,1.31,1.31,1.28,1.21,1.13,1.04,0.95,0.88,0.82,0.78,0.76,0.75,0.76,0.78,0.8,0.82,0.85,0.87,0.89,0.9,0.91,0.9,0.88,0.86,0.82,0</t>
  </si>
  <si>
    <t>To_Avoid_Formula.77,0.7,0.6,0.48,0.34,0.16,-0.05,-0.28,-0.54,-0.8,-1.04,-1.27,-1.46,-1.62,-1.75,-1.85,-1.91,-1.95,-1.95,-1.94,-1.9,-1.84,-1.76,-1.68,-1.6,-1.54,-1.48,-1.43,-1.4,-1.36,-1.33,-1.31,-1.31,-1.32,-1.33,-1.36,-1.39,-1.41,-1.44,-1.44,-1.43,-1.41,-1.36,-1.3,-1.23,-1.17,-1.1,-1.03,-0.95,-0.86,-0.77,-0.67,-0.57,-0.46,-0.35,-0.23,-0.12,-0.01,0.11,0.22,0.33,0.44,0.53,0.62,0.7,0.74,0.76,0.74,0.67,0.58,0.45,0.3,0.15,0.0,-0.14,-0.25,-0.33,-0.38,-0.4,-0.39,-0.34,-0.26,-0.16,-0.06,0.05,0.13,0.18,0.2,0.2,0.17,0.12,0.07,0.02,-0.02,-0.04,-0.05,-0.04,-0.04,-0.04,-0.06,-0.09,-0.15,-0.21,-0.28,-0.35,-0.42,-0.49,-0.56,-0.63,-0.71,-0.79,-0.87,-0.95,-1.02,-1.08,-1.13,-1.15,-1.13,-1.09,-1.02,-0.93,-0.85,-0.77,-0.72,-0.69,-0.68,-0.7,-0.73,-0.77,-0.81,-0.85,-0.88,-0.9,-0.92,-0.94,-0.96,-0.98,-1.02,-1.06,-1.09,-1.13,-1.15,-1.16,-1.16,-1.15,-1.13,-1.11,-1.08,-1.07,-1.05,-1.04,-1.03,-1.03,-1.03,-1.03,-1.04,-1.06,-1.08,-1.11,-1.14,-1.19,-1.24,-1.31,-1.4,-1.49,-1.59,-1.68,-1.77,-1.84,-1.9,-1.94,-1.98,-2.01,-2.02,-2.03,-2.01,-1.99,-1.96,-1.93,-1.9,-1.88,-1.88,-1.88,-1.9,-1.91,-1.93,-1.94,-1.94,-1.92,-1.89,-1.83,-1.75,-1.67,-1.57,-1.47,-1.37,-1.28,-1.22,-1.17,-1.15,-1.14,-1.15,-1.16,-1.17,-1.19,-1.22,-1.25,-1.28,-1.31,-1.34,-1.36,-1.37,-1.38,-1.38,-1.38,-1.38,-1.38,-1.38,-1.38,-1.38,-1.38,-1.38,-1.38,-1.37,-1.36,-1.35,-1.34,-1.32,-1.29,-1.24,-1.18,-1.09,-0.97,-0.84,-0.68,-0.53,-0.37,-0.24,-0.13,-0.05,0.0,0.02,0.0,-0.04,-0.09,-0.15,-0.2,-0.25,-0.29,-0.33,-0.35,-0.36,-0.37,-0.37,-0.38,-0.4,-0.43,-0.47,-0.52,-0.56,-0.6,-0.63,-0.64,-0.62,-0.56,-0.46,-0.31,-0.13,0.09,0.32,0.56,0.78,0.99,1.16,1.3,1.4,1.47,1.51,1.53,1.55,1.55,1.53,1.51,1.47,1.4,1.32,1.22,1.12,1.02,0.93,0.85,0.8,0.79,0.81,0.86,0.92,0.98,1.04,1.08,1.12,1.15,1.17,1.19,1.21,1.25,1.3,1.37,1.44,1.51,1.56,1.58,1.58,1.55,1.49,1.4,1.3,1.18,1.05,0.91,0.76,0.62,0.48,0.36,0.24,0.13,0.03,-0.07,-0.16,-0.24,-0.32,-0.39,-0.44,-0.49,-0.52,-0.54,-0.55,-0.55,-0.54,-0.52,-0.47,-0.4,-0.31,-0.2,-0.08,0.04,0.14,0.23,</t>
  </si>
  <si>
    <t>To_Avoid_Formula0.14,0.15,0.14,0.14,0.19,0.23,0.23,0.2,0.22,0.18,0.06,-0.02,-0.01,-0.04,-0.15,-0.22,-0.2,-0.12,-0.06,-0.11,-0.26,-0.33,-0.26,-0.19,-0.24,-0.34,-0.42,-0.42,-0.41,-0.47,-0.59,-0.68,-0.66,-0.62,-0.69,-0.79,-0.83,-0.78,-0.7,-0.72,-0.84,-0.82,-0.59,-0.29,-0.08,-0.02,-0.04,0.0,0.14,0.23,0.14,0.0,-0.03,0.02,0.0,-0.06,-0.07,0.03,0.21,0.38,0.41,0.34,0.37,0.49,0.56,0.5,0.46,0.51,0.55,0.5,0.37,0.19,-0.05,-0.23,-0.42,-0.76,-1.09,-1.16,-1.0,-0.8,-0.65,-0.49,-0.29,-0.04,0.28,0.57,0.75,1.0,1.37,1.61,1.62,1.55,1.59,1.68,1.66,1.53,1.42,1.38,1.32,1.22,1.13,1.05,0.99,0.96,0.92,0.82,0.71,0.64,0.57,0.44,0.25,0.01,-0.23,-0.43,-0.66,-1.0,-1.33,-1.52,-1.66,-1.92,-2.21,-2.33,-2.31,-2.28,-2.18,-2.0,-1.78,-1.48,-1.08,-0.7,-0.48,-0.31,-0.03,0.28,0.39,0.38,0.45,0.55,0.6,0.61,0.63,0.67,0.72,0.77,0.77,0.73,0.71,0.77,0.86,0.87,0.81,0.75,0.76,0.75,0.57,0.31,0.12,0.05,-0.09,-0.31,-0.48,-0.62,-0.76,-0.85,-0.93,-1.06,-1.2,-1.27,-1.31,-1.38,-1.43,-1.42,-1.32,-1.15,-0.96,-0.84,-0.66,-0.41,-0.18,-0.09,-0.05,0.08,0.25,0.31,0.26,0.16,0.08,0.05,-0.02,-0.29,-0.51,-0.54,-0.44,-0.34,-0.31,-0.27,-0.14,0.06,0.18,0.11,0.0,0.03,0.2,0.29,0.29,0.33,0.42,0.59,0.69,0.62,0.49,0.49,0.55,0.59,0.55,0.5,0.47,0.53,0.63,0.67,0.63,0.62,0.63,0.57,0.46,0.35,0.24,0.14,-0.01,-0.25,-0.48,-0.56,-0.57,-0.62,-0.72,-0.75,-0.71,-0.65,-0.66,-0.74,-0.77,-0.7,-0.65,-0.77,-0.89,-0.88,-0.74,-0.58,-0.48,-0.43,-0.37,-0.2,0.02,0.2,0.34,0.47,0.48,0.47,0.55,0.7,0.83,0.97,1.1,1.04,0.88,0.82,0.89,0.92,0.85,0.79,0.73,0.67,0.61,0.54,0.42,0.33,0.31,0.28,0.19,0.05,-0.05,-0.08,-0.07,-0.13,-0.29,-0.41,-0.4,-0.37,-0.42,-0.5,-0.58,-0.62,-0.63,-0.67,-0.78,-0.86,-0.84,-0.77,-0.75,-0.82,-0.99,-1.27,-1.59,-1.9,-2.25,-2.62,-2.87,-2.98,-3.04,-3.07,-3.02,-2.84,-2.55,-2.22,-1.92,-1.76,-1.64,-1.47,-1.25,-1.02,-0.84,-0.7,-0.53,-0.3,-0.04,0.25,0.52,0.71,0.76,0.8,0.89,0.99,1.06,1.06,0.96,0.89,0.94,1.01,1.0,1.02,1.14,1.29,1.34,1.31,1.21,1.12,1.12,1.11,0.97,0.79,0.71,0.69,0.67,0.62,0.52,0.45,0.46,0.52,0.56,0.57,0.57,0.55,0.5,0.46,0.37,0.26,0.24,0.29,0.27,0.21,0.24,0.35,0.44,0.46,0.49,0.56,0.68,0.79,0.84,0.86,0.94,1.0,0.99,0.99,1.05,1.13,1.21,1.27,1.29,1.36,1.51,1.69,1.77,1.78,1.84,1.95,2.02,2.04,2.04,2.05,2.09,2.12,2.01,1.79,1.61,1.55,1.54,1.49,1.37,1.22,1.08,0.95,0.76,0.5,0.27,0.05,-0.19,-0.46,-0.65,-0.72,-0.71,-0.7,-0.81,-0.98,-1.05,-1.02,-0.96,-0.91,-0.83,-0.69,-0.52,-0.39,-0.42,-0.59,-0.83,-1.17,-1.64,-2.08,-2.35,-2.44,-2.38,-2.23,-2.1,-2.06,-1.95,-1.72,-1.52,-1.55,-1.73,-1.88,-1.94,-1.98,-2.0,-1.95,-1.82,-1.62,-1.41,-1.21,-0.98,-0.72,-0.53,-0.32,-0.05,0.26,0.55,0.84,1.08,1.19,1.29,1.44,1.55,1.57,1.52,1.43,1.35,1.34,1.33,1.17,0.95,0.83,0.76,0.69,0.6,0.49,0.41,0.48,0.64,0.79,0.94,1.13,1.18,0.98,0.73,0.54,0.33,0.05,-0.18,-0.31,-0.35,-0.28,-0.15,-0.1,-0.15,-0.17,-0.08,0.0,0.0,-0.03,0.0,0.12,0.22,0.2,0.08,-0.08,-0.28,-0.51,-0.85,-1.33,-1.92,-2.31,-2.59,-2.87,-3.14,-3.38,-3.54,-3.47,-3.21,-2.88,-2.51,-2.13,-1.68,-1.26,-0.99,-0.92,-0.81,-0.52,-0.16,0.06,0.15,0.27,0.41,0.46,0.48,0.49,0.51,0.59,0.77,0.96,1.09,1.17,1.15,1.05,0.99,0.97,0.91,0.88,0.89,0.9,0.82,0.78,0.79,0.77,0.65,0.5,0.44,0.43,0.37,0.27,0.18,0.19,0.34,0.38,0.24,0.08,0.04,0.01,-0.09,-0.2,-0.26,-0.25,-0.17,-0.11,-0.12,-0.07,0.04,0.13,0.18,0.27,0.45,0.7,0.97,1.11,1.12,1.21,1.43,1.54,1.48,1.43,1.45,1.48,1.43,1.31,1.13,1.04,1.03,1.0,0.89,0.79,0.77,0.81,0.83,0.78,0.67,0.59,0.6,0.6,0.48,0.3,0.15,0.06,0.01,-0.08,-0.2,-0.24,-0.18,-0.21,-0.34,-0.46,-0.51,-0.55,-0.57,-0.57,-0.58,-0.57,-0.48,-0.42,-0.45,-0.43,-0.25,-0.11,-0.05,-0.02,-0.01,0.03,0.06,0.04,-0.06,-0.14,-0.15,-0.16,-0.2,-0.28,-0.38,-0.48,-0.52,-0.59,-0.75,-0.91,-0.97,-1.03,-1.19,-1.37,-1.49,-1.54,-1.53,-1.51,-1.54,-1.56,-1.52,-1.47,-1.5,-1.54,-1.52,-1.43,-1.28,-1.09,-0.93,-0.77,-0.53,-0.26,-0.05,0.09,0.25,0.44,0.59,0.69,0.76,0.8,0.87,1.0,1.1,1.11,1.11,1.14,1.18,1.2,1.18,1.13,1.1,1.1,1.02,0.84,0.66,0.53,0.38,0.22,0.05,-0.17,-0.37,-0.51,-0.63,-0.74,-0.78,-0.84,-0.95,-1.03,-1.06,-1.06,-1.0,-0.87,-0.78,-0.78,-0.8,-0.78,-0.72,-0.62,-0.52,-0.44,-0</t>
  </si>
  <si>
    <t>To_Avoid_Formula.32,-0.17,-0.07,-0.03,0.03,0.1,0.12,0.11,0.08,-0.01,-0.1,-0.07,0.02,0.08,0.16,0.29,0.37,0.38,0.41,0.51,0.62,0.72,0.75,0.68,0.66,0.73,0.79,0.77,0.73,0.75,0.77,0.77,0.77,0.73,0.69,0.68,0.68,0.65,0.62,0.61,0.58,0.56,0.56,0.54,0.47,0.41,0.36,0.23,0.1,0.05,0.01,-0.03,-0.02,-0.01,-0.02,0.01,0.1,0.16,0.21,0.29,0.35,0.3,0.24,0.2,0.14,0.1,0.1,0.08,0.04,0.02,0.04,0.02,-0.01,-0.05,-0.12,-0.18,-0.16,-0.17,-0.26,-0.31,-0.32,-0.35,-0.41,-0.46,-0.52,-0.52,-0.44,-0.37,-0.31,-0.2,-0.09,-0.08,-0.12,-0.09,-0.05,-0.06,-0.08,-0.11,-0.17,-0.21,-0.24,-0.33,-0.44,-0.45,-0.4,-0.36,-0.34,-0.32,-0.34,-0.32,-0.27,-0.3,-0.39,-0.42,-0.4,-0.4,-0.44,-0.52,-0.56,-0.52,-0.41,-0.34,-0.32,-0.27,-0.2,-0.21,-0.28,-0.34,-0.38,-0.38,-0.31,-0.24,-0.21,-0.12,0.0,0.07,0.11,0.16,0.19,0.2,0.25,0.29,0.22,0.17,0.2,0.24,0.2,0.17,0.21,0.25,0.27,0.26,0.23,0.18,0.14,0.06,-0.05,-0.17,-0.26,-0.31,-0.31,-0.28,-0.31,-0.34,-0.3,-0.26,-0.3,-0.31,-0.27,-0.25,-0.25,-0.18,-0.12,-0.1,-0.02,0.15,0.28,0.34,0.41,0.5,0.54,0.55,0.6,0.65,0.67,0.72,0.76,0.73,0.68,0.66,0.66,0.63,0.63,0.68,0.7,0.67,0.65,0.62,0.56,0.51,0.47,0.4,0.31,0.27,0.25,0.21,0.16,0.12,0.06,0.02,0.01,-0.02,-0.05,-0.02,0.03,0.03,0.04,0.06,0.06,0.04,0.03,-0.02,-0.13,-0.22,-0.27,-0.36,-0.44,-0.48,-0.5,-0.47,-0.42,-0.36,-0.33,-0.31,-0.31,-0.4,-0.54,-0.65,-0.76,-0.89,-1.0,-1.11,-1.21,-1.23,-1.15,-1.08,-1.03,-0.95,-0.87,-0.77,-0.63,-0.49,-0.45,-0.42,-0.32,-0.22,-0.14,-0.07,0.0,0.07,0.19,0.32,0.41,0.54,0.72,0.82,0.77,0.68,0.6,0.49,0.4,0.41,0.46,0.51,0.61,0.71,0.77,0.82,0.89,0.93,0.9,0.86,0.81,0.78,0.77,0.75,0.69,0.63,0.6,0.58,0.54,0.51,0.48,0.44,0.42,0.38,0.28,0.17,0.08,-0.01,-0.11,-0.18,-0.23,-0.25,-0.21,-0.17,-0.19,-0.2,-0.11,0.0,0.04,0.05,0.07,0.1,0.13,0.15,0.14,0.13,0.14,</t>
  </si>
  <si>
    <t>To_Avoid_Formula0.19,0.14,0.09,0.04,0.0,-0.02,-0.03,-0.05,-0.04,-0.05,-0.12,-0.18,-0.19,-0.2,-0.25,-0.27,-0.23,-0.15,-0.11,-0.14,-0.21,-0.24,-0.19,-0.15,-0.19,-0.25,-0.29,-0.3,-0.31,-0.35,-0.43,-0.51,-0.53,-0.53,-0.55,-0.58,-0.58,-0.56,-0.56,-0.61,-0.75,-0.83,-0.78,-0.71,-0.68,-0.71,-0.77,-0.83,-0.84,-0.84,-0.91,-0.99,-1.0,-0.96,-0.95,-0.96,-0.94,-0.87,-0.76,-0.66,-0.65,-0.71,-0.74,-0.7,-0.66,-0.68,-0.68,-0.58,-0.46,-0.41,-0.37,-0.36,-0.41,-0.48,-0.54,-0.68,-0.89,-0.97,-0.89,-0.77,-0.69,-0.59,-0.46,-0.37,-0.26,-0.12,-0.03,0.06,0.23,0.39,0.44,0.44,0.51,0.65,0.76,0.79,0.85,0.94,1.0,1.03,1.06,1.07,1.05,1.04,1.02,0.94,0.86,0.82,0.78,0.7,0.6,0.49,0.36,0.25,0.16,0.04,-0.11,-0.22,-0.27,-0.39,-0.56,-0.65,-0.69,-0.75,-0.8,-0.79,-0.76,-0.72,-0.63,-0.48,-0.37,-0.27,-0.07,0.2,0.38,0.46,0.59,0.78,0.92,1.01,1.1,1.17,1.2,1.21,1.19,1.14,1.07,1.05,1.05,1.02,0.96,0.91,0.91,0.92,0.85,0.75,0.69,0.7,0.64,0.54,0.48,0.44,0.35,0.27,0.23,0.16,0.06,-0.02,-0.06,-0.12,-0.18,-0.21,-0.19,-0.12,-0.05,0.01,0.05,0.13,0.2,0.24,0.26,0.34,0.46,0.54,0.59,0.62,0.64,0.65,0.63,0.5,0.38,0.34,0.37,0.37,0.35,0.33,0.32,0.33,0.29,0.16,-0.01,-0.12,-0.17,-0.24,-0.32,-0.32,-0.25,-0.1,0.03,0.09,0.11,0.19,0.31,0.41,0.46,0.47,0.45,0.48,0.56,0.61,0.61,0.61,0.6,0.52,0.41,0.32,0.22,0.09,-0.08,-0.29,-0.49,-0.62,-0.7,-0.81,-0.96,-1.07,-1.15,-1.22,-1.32,-1.45,-1.56,-1.62,-1.69,-1.81,-1.87,-1.83,-1.74,-1.67,-1.63,-1.61,-1.6,-1.54,-1.46,-1.42,-1.42,-1.4,-1.4,-1.42,-1.37,-1.25,-1.14,-1.04,-0.94,-0.94,-1.01,-1.04,-0.98,-0.95,-0.99,-1.0,-1.0,-1.01,-1.0,-1.0,-1.02,-1.06,-1.07,-1.09,-1.13,-1.17,-1.19,-1.19,-1.17,-1.19,-1.25,-1.28,-1.26,-1.23,-1.26,-1.32,-1.4,-1.49,-1.58,-1.68,-1.83,-1.98,-2.07,-2.11,-2.14,-2.21,-2.29,-2.43,-2.57,-2.68,-2.8,-2.94,-3.03,-3.04,-3.0,-2.99,-2.98,-2.95,-2.9,-2.81,-2.73,-2.72,-2.74,-2.72,-2.65,-2.54,-2.46,-2.42,-2.39,-2.31,-2.2,-2.07,-1.97,-1.92,-1.91,-1.89,-1.83,-1.77,-1.7,-1.66,-1.68,-1.72,-1.7,-1.66,-1.67,-1.67,-1.59,-1.49,-1.46,-1.44,-1.44,-1.45,-1.43,-1.39,-1.42,-1.46,-1.43,-1.38,-1.34,-1.34,-1.33,-1.33,-1.32,-1.31,-1.33,-1.4,-1.51,-1.65,-1.81,-1.93,-2.04,-2.16,-2.22,-2.17,-2.07,-1.95,-1.79,-1.62,-1.51,-1.43,-1.28,-1.09,-0.92,-0.75,-0.61,-0.49,-0.35,-0.22,-0.16,-0.13,-0.05,0.07,0.18,0.27,0.34,0.43,0.57,0.72,0.81,0.86,0.95,1.08,1.16,1.21,1.31,1.47,1.65,1.81,1.86,1.82,1.78,1.82,1.89,1.93,1.93,1.93,1.94,1.96,1.93,1.82,1.73,1.68,1.62,1.49,1.38,1.33,1.37,1.43,1.41,1.29,1.19,1.17,1.19,1.24,1.3,1.41,1.55,1.73,1.87,1.92,1.95,1.91,1.76,1.55,1.39,1.29,1.26,1.28,1.3,1.24,1.17,1.18,1.24,1.21,1.1,1.02,0.99,0.99,1.02,1.08,1.13,1.21,1.3,1.36,1.41,1.47,1.47,1.49,1.57,1.69,1.79,1.89,1.99,2.07,2.14,2.23,2.29,2.29,2.29,2.32,2.34,2.37,2.39,2.35,2.27,2.26,2.26,2.26,2.27,2.29,2.28,2.32,2.44,2.52,2.55,2.6,2.62,2.51,2.37,2.26,2.14,1.96,1.85,1.84,1.86,1.88,1.95,1.97,1.88,1.76,1.68,1.56,1.4,1.24,1.14,1.08,0.94,0.77,0.6,0.43,0.23,0.0,-0.26,-0.61,-1.01,-1.36,-1.7,-2.08,-2.44,-2.77,-3.09,-3.29,-3.32,-3.22,-3.02,-2.76,-2.45,-2.16,-1.97,-1.89,-1.79,-1.61,-1.4,-1.24,-1.12,-0.98,-0.82,-0.71,-0.61,-0.54,-0.49,-0.48,-0.45,-0.46,-0.5,-0.54,-0.65,-0.83,-0.93,-0.84,-0.61,-0.29,0.06,0.35,0.55,0.74,0.96,1.17,1.29,1.32,1.35,1.37,1.32,1.25,1.21,1.21,1.31,1.33,1.24,1.13,1.08,1.03,0.94,0.88,0.86,0.88,0.94,1.0,0.98,0.94,0.89,0.8,0.65,0.53,0.46,0.44,0.45,0.42,0.32,0.25,0.28,0.3,0.27,0.27,0.32,0.35,0.34,0.33,0.3,0.31,0.37,0.41,0.4,0.38,0.41,0.41,0.4,0.37,0.33,0.29,0.3,0.32,0.32,0.3,0.29,0.28,0.27,0.26,0.22,0.2,0.23,0.22,0.13,0.06,0.02,-0.01,-0.05,-0.05,-0.08,-0.14,-0.16,-0.18,-0.21,-0.2,-0.08,-0.01,0.0,0.02,0.07,0.12,0.16,0.17,0.14,0.09,0.08,0.08,0.06,0.04,-0.02,-0.11,-0.2,-0.29,-0.41,-0.54,-0.63,-0.73,-0.87,-0.99,-1.07,-1.13,-1.19,-1.24,-1.31,-1.37,-1.4,-1.45,-1.55,-1.65,-1.71,-1.73,-1.72,-1.68,-1.64,-1.6,-1.52,-1.41,-1.33,-1.24,-1.11,-0.95,-0.84,-0.75,-0.66,-0.57,-0.46,-0.33,-0.21,-0.14,-0.08,-0.03,0.0,0.02,0.04,0.04,0.05,0.08,0.09,0.06,0.03,0.02,-0.01,-0.03,-0.04,-0.09,-0.18,-0.24,-0.28,-0.32,-0.34,-0.38,-0.49,-0.59,-0.63,-0.66,-0.69,-0.7</t>
  </si>
  <si>
    <t>To_Avoid_Formula1,-0.72,-0.76,-0.83,-0.89,-0.93,-0.94,-0.93,-0.94,-0.93,-0.91,-0.9,-0.92,-0.89,-0.84,-0.82,-0.81,-0.78,-0.76,-0.75,-0.68,-0.55,-0.45,-0.34,-0.23,-0.17,-0.18,-0.16,-0.08,0.0,0.07,0.13,0.17,0.19,0.26,0.32,0.33,0.31,0.32,0.29,0.22,0.15,0.08,0.01,-0.04,-0.07,-0.11,-0.13,-0.12,-0.12,-0.11,-0.07,-0.02,-0.02,0.0,0.04,0.01,-0.01,0.01,0.03,0.02,0.05,0.12,0.13,0.13,0.18,0.23,0.26,0.31,0.36,0.35,0.32,0.31,0.29,0.27,0.28,0.33,0.37,0.42,0.47,0.46,0.43,0.44,0.43,0.41,0.42,0.45,0.44,0.43,0.45,0.42,0.37,0.33,0.29,0.25,0.26,0.28,0.28,0.31,0.34,0.31,0.26,0.28,0.31,0.3,0.31,0.34,0.36,0.38,0.41,0.4,0.36,0.37,0.39,0.36,0.31,0.26,0.17,0.09,0.02,-0.07,-0.19,-0.25,-0.26,-0.29,-0.36,-0.41,-0.43,-0.42,-0.37,-0.35,-0.36,-0.35,-0.32,-0.34,-0.39,-0.4,-0.42,-0.43,-0.41,-0.39,-0.37,-0.33,-0.27,-0.25,-0.27,-0.27,-0.24,-0.22,-0.19,-0.13,-0.12,-0.13,-0.08,-0.04,-0.04,-0.04,0.0,0.02,0.01,0.01,0.01,-0.02,-0.03,-0.05,-0.1,-0.16,-0.21,-0.27,-0.31,-0.31,-0.35,-0.39,-0.37,-0.36,-0.42,-0.46,-0.44,-0.46,-0.51,-0.51,-0.46,-0.45,-0.4,-0.26,-0.17,-0.16,-0.14,-0.08,-0.05,-0.06,-0.06,-0.04,-0.03,0.03,0.09,0.1,0.05,0.04,0.08,0.14,0.21,0.29,0.34,0.36,0.41,0.43,0.39,0.3,0.25,0.2,0.15,0.13,0.1,0.06,0.04,0.05,0.02,-0.03,-0.05,-0.07,-0.09,-0.09,-0.07,-0.06,0.0,0.1,0.17,0.22,0.26,0.3,0.3,0.28,0.26,0.2,0.14,0.1,0.07,0.05,0.06,0.08,0.07,0.04,0.01,-0.08,-0.21,-0.32,-0.43,-0.59,-0.75,-0.85,-0.92,-0.93,-0.87,-0.82,-0.8,-0.74,-0.68,-0.62,-0.52,-0.4,-0.35,-0.32,-0.25,-0.19,-0.13,-0.06,0.01,0.04,0.08,0.16,0.22,0.29,0.4,0.46,0.41,0.33,0.27,0.2,0.15,0.18,0.23,0.26,0.33,0.42,0.53,0.61,0.71,0.81,0.85,0.88,0.92,0.94,0.94,0.94,0.88,0.78,0.72,0.7,0.69,0.69,0.69,0.68,0.67,0.66,0.62,0.55,0.48,0.42,0.35,0.31,0.3,0.31,0.37,0.45,0.49,0.52,0.61,0.71,0.76,0.79,0.82,0.81,0.77,0.74,0.73,0.71,0.7,</t>
  </si>
  <si>
    <t>To_Avoid_Formula-0.07,-0.16,-0.23,-0.31,-0.4,-0.44,-0.43,-0.41,-0.38,-0.33,-0.31,-0.33,-0.31,-0.26,-0.22,-0.15,-0.05,0.05,0.1,0.11,0.13,0.18,0.23,0.27,0.26,0.25,0.26,0.28,0.27,0.27,0.26,0.22,0.21,0.22,0.28,0.36,0.44,0.46,0.42,0.35,0.24,0.12,0.02,-0.09,-0.21,-0.29,-0.37,-0.49,-0.6,-0.65,-0.66,-0.64,-0.59,-0.5,-0.43,-0.35,-0.27,-0.19,-0.14,-0.09,-0.09,-0.14,-0.23,-0.27,-0.25,-0.23,-0.18,-0.04,0.13,0.28,0.45,0.63,0.73,0.75,0.81,0.85,0.78,0.71,0.72,0.77,0.78,0.81,0.84,0.75,0.62,0.55,0.48,0.36,0.25,0.23,0.23,0.19,0.19,0.29,0.4,0.48,0.58,0.68,0.74,0.76,0.78,0.75,0.66,0.54,0.44,0.27,0.11,0.02,-0.07,-0.17,-0.23,-0.26,-0.31,-0.35,-0.3,-0.21,-0.18,-0.17,-0.1,-0.03,-0.01,-0.01,-0.03,-0.11,-0.23,-0.31,-0.39,-0.53,-0.67,-0.69,-0.65,-0.59,-0.45,-0.21,0.0,0.15,0.31,0.52,0.68,0.78,0.85,0.88,0.8,0.67,0.54,0.41,0.23,0.05,-0.09,-0.21,-0.33,-0.42,-0.47,-0.48,-0.46,-0.43,-0.37,-0.3,-0.28,-0.26,-0.19,-0.13,-0.14,-0.18,-0.17,-0.14,-0.14,-0.16,-0.15,-0.14,-0.13,-0.13,-0.11,-0.09,-0.07,-0.04,-0.08,-0.15,-0.18,-0.18,-0.15,-0.1,-0.03,0.08,0.22,0.37,0.47,0.5,0.51,0.52,0.51,0.48,0.45,0.38,0.31,0.24,0.12,-0.07,-0.25,-0.41,-0.6,-0.82,-1.03,-1.2,-1.29,-1.26,-1.14,-0.98,-0.78,-0.56,-0.38,-0.2,-0.02,0.14,0.26,0.31,0.29,0.27,0.31,0.35,0.36,0.34,0.28,0.16,0.03,-0.06,-0.13,-0.27,-0.44,-0.59,-0.7,-0.79,-0.86,-0.94,-1.05,-1.14,-1.22,-1.3,-1.38,-1.43,-1.47,-1.54,-1.58,-1.55,-1.4,-1.18,-1.01,-0.91,-0.82,-0.72,-0.65,-0.61,-0.58,-0.61,-0.67,-0.69,-0.65,-0.62,-0.55,-0.41,-0.28,-0.2,-0.12,-0.05,-0.03,-0.02,0.03,0.06,0.05,0.08,0.14,0.19,0.24,0.32,0.39,0.4,0.39,0.38,0.38,0.43,0.5,0.54,0.55,0.58,0.63,0.68,0.72,0.74,0.73,0.7,0.63,0.49,0.34,0.21,0.06,-0.1,-0.25,-0.34,-0.37,-0.35,-0.29,-0.21,-0.08,0.11,0.34,0.53,0.73,0.93,1.19,1.35,1.41,1.4,1.3,1.21,1.16,1.08,0.97,0.9,0.88,0.91,0.92,0.87,0.78,0.72,0.69,0.63,0.54,0.43,0.35,0.31,0.3,0.29,0.29,0.31,0.31,0.26,0.2,0.14,0.06,0.01,-0.01,-0.04,-0.09,-0.1,-0.08,-0.08,-0.1,-0.1,-0.07,-0.04,0.03,0.09,0.11,0.11,0.14,0.15,0.1,0.0,-0.15,-0.35,-0.61,-0.92,-1.2,-1.4,-1.53,-1.64,-1.71,-1.64,-1.4,-1.09,-0.79,-0.59,-0.49,-0.38,-0.16,0.08,0.24,0.37,0.51,0.62,0.7,0.77,0.76,0.69,0.66,0.67,0.68,0.64,0.61,0.57,0.53,0.49,0.42,0.33,0.27,0.23,0.14,0.04,0.05,0.17,0.3,0.38,0.38,0.32,0.24,0.18,0.14,0.1,0.04,0.01,0.01,0.02,0.0,-0.09,-0.17,-0.15,-0.14,-0.21,-0.31,-0.38,-0.37,-0.31,-0.3,-0.4,-0.55,-0.64,-0.66,-0.64,-0.6,-0.55,-0.45,-0.26,-0.02,0.22,0.46,0.68,0.81,0.81,0.77,0.69,0.58,0.51,0.45,0.32,0.11,-0.05,-0.08,-0.06,-0.06,-0.02,0.04,0.15,0.31,0.43,0.47,0.47,0.5,0.45,0.36,0.24,0.09,-0.07,-0.16,-0.21,-0.3,-0.4,-0.43,-0.42,-0.4,-0.39,-0.43,-0.49,-0.48,-0.37,-0.28,-0.25,-0.23,-0.2,-0.15,-0.08,-0.02,0.03,0.12,0.23,0.27,0.28,0.31,0.29,0.17,0.04,-0.02,-0.06,-0.12,-0.15,-0.19,-0.25,-0.22,-0.08,0.03,0.04,0.07,0.07,-0.03,-0.21,-0.42,-0.69,-0.96,-1.15,-1.29,-1.46,-1.74,-1.95,-2.03,-2.08,-2.14,-2.2,-2.21,-2.2,-2.2,-2.23,-2.33,-2.5,-2.62,-2.68,-2.77,-2.84,-2.77,-2.52,-2.14,-1.67,-1.2,-0.8,-0.48,-0.18,0.09,0.31,0.52,0.73,0.96,1.2,1.44,1.66,1.85,2.0,2.07,2.02,1.88,1.67,1.45,1.27,1.06,0.8,0.68,0.89,1.4,2.03,2.64,3.13,3.47,3.76,4.03,4.29,4.45,4.47,4.38,4.24,4.0,3.78,3.6,3.43,3.29,3.13,2.92,2.69,2.48,2.27,2.07,1.93,1.83,1.74,1.68,1.63,1.47,1.22,0.92,0.55,0.13,-0.29,-0.66,-0.99,-1.28,-1.53,-1.79,-2.03,-2.22,-2.31,-2.34,-2.3,-2.25,-2.24,-2.23,-2.16,-2.04,-1.94,-1.84,-1.75,-1.69,-1.62,-1.57,-1.62,-1.69,-1.69,-1.67,-1.67,-1.66,-1.6,-1.5,-1.36,-1.22,-1.15,-1.1,-1.02,-0.96,-0.93,-0.91,-0.89,-0.91,-0.91,-0.88,-0.88,-0.89,-0.85,-0.84,-0.92,-1.01,-1.04,-1.02,-0.95,-0.85,-0.81,-0.81,-0.76,-0.64,-0.54,-0.47,-0.42,-0.37,-0.35,-0.32,-0.29,-0.27,-0.21,-0.17,-0.22,-0.31,-0.36,-0.39,-0.42,-0.45,-0.5,-0.53,-0.49,-0.4,-0.35,-0.37,-0.37,-0.35,-0.32,-0.31,-0.32,-0.35,-0.39,-0.39,-0.36,-0.36,-0.36,-0.32,-0.27,-0.24,-0.21,-0.17,-0.07,0.09,0.25,0.35,0.42,0.55,0.69,0.81,0.9,1.01,1.09,1.14,1.15,1.11,1.06,1.05,1.03,1.01,1.0,1.02,1.05,1.11,1.17,1.2,1.25,1.35,1.41,1.38,1.35,1.35,1.36,1.34,1.29,1.16,1.03,0.97,0.92,0.8,0.63,0.53,0.45,0.34,</t>
  </si>
  <si>
    <t>To_Avoid_Formula0.22,0.11,0.01,-0.06,-0.12,-0.21,-0.29,-0.36,-0.41,-0.41,-0.37,-0.34,-0.31,-0.2,-0.08,0.02,0.13,0.28,0.41,0.5,0.55,0.54,0.46,0.41,0.41,0.4,0.38,0.41,0.47,0.47,0.45,0.43,0.39,0.32,0.23,0.08,-0.14,-0.32,-0.47,-0.61,-0.74,-0.83,-0.9,-0.93,-0.92,-0.91,-0.89,-0.82,-0.73,-0.67,-0.6,-0.51,-0.45,-0.39,-0.31,-0.26,-0.25,-0.21,-0.12,-0.1,-0.15,-0.17,-0.17,-0.18,-0.18,-0.17,-0.19,-0.22,-0.22,-0.23,-0.26,-0.24,-0.17,-0.06,0.03,0.08,0.05,0.0,0.03,0.06,0.05,0.05,0.09,0.13,0.16,0.18,0.15,0.09,0.07,0.04,-0.03,-0.09,-0.12,-0.16,-0.22,-0.26,-0.32,-0.36,-0.34,-0.32,-0.32,-0.28,-0.18,-0.08,0.0,0.09,0.17,0.2,0.24,0.24,0.15,0.02,-0.08,-0.21,-0.38,-0.52,-0.63,-0.72,-0.75,-0.73,-0.74,-0.76,-0.72,-0.65,-0.6,-0.55,-0.52,-0.5,-0.47,-0.43,-0.41,-0.37,-0.3,-0.22,-0.2,-0.18,-0.15,-0.11,-0.08,-0.03,-0.04,-0.09,-0.1,-0.05,-0.01,0.03,0.12,0.21,0.26,0.32,0.38,0.41,0.44,0.47,0.47,0.43,0.42,0.43,0.43,0.43,0.46,0.47,0.47,0.46,0.41,0.36,0.33,0.3,0.27,0.28,0.28,0.22,0.18,0.19,0.16,0.07,0.04,0.08,0.1,0.15,0.24,0.29,0.24,0.19,0.2,0.21,0.15,0.08,0.03,0.0,0.04,0.1,0.1,0.02,-0.02,0.04,0.16,0.26,0.32,0.35,0.36,0.41,0.43,0.34,0.18,0.06,0.0,-0.04,-0.07,-0.12,-0.18,-0.19,-0.15,-0.16,-0.23,-0.28,-0.28,-0.29,-0.31,-0.33,-0.32,-0.22,-0.05,0.09,0.16,0.24,0.34,0.41,0.43,0.42,0.37,0.31,0.26,0.22,0.15,0.11,0.09,0.04,-0.05,-0.11,-0.19,-0.29,-0.36,-0.44,-0.58,-0.71,-0.74,-0.69,-0.6,-0.48,-0.38,-0.32,-0.22,-0.12,-0.04,0.04,0.17,0.25,0.3,0.36,0.39,0.42,0.49,0.55,0.51,0.47,0.46,0.45,0.43,0.43,0.39,0.29,0.17,0.1,0.05,0.01,0.03,0.06,0.05,0.04,0.1,0.2,0.27,0.35,0.41,0.45,0.5,0.54,0.52,0.48,0.41,0.28,0.1,-0.05,-0.12,-0.15,-0.15,-0.15,-0.18,-0.2,-0.21,-0.23,-0.28,-0.34,-0.38,-0.43,-0.42,-0.38,-0.33,-0.25,-0.13,-0.03,0.03,0.1,0.17,0.21,0.24,0.24,0.16,0.02,-0.06,-0.11,-0.15,-0.2,</t>
  </si>
  <si>
    <t>To_Avoid_Formula-0.48,-0.25,-0.23,-0.25,-0.11,0.17,0.44,0.67,0.8,0.76,0.75,0.87,0.96,0.84,0.59,0.33,0.16,0.08,0.0,-0.24,-0.54,-0.7,-0.73,-0.76,-0.79,-0.82,-0.92,-1.02,-1.02,-1.01,-1.05,-1.1,-1.13,-1.2,-1.35,-1.46,-1.57,-1.66,-1.67,-1.68,-1.7,-1.56,-1.26,-0.9,-0.51,-0.21,-0.04,0.16,0.5,0.89,1.14,1.26,1.31,1.31,1.32,1.35,1.24,1.04,0.86,0.74,0.67,0.65,0.66,0.61,0.56,0.59,0.7,0.73,0.67,0.61,0.45,0.19,-0.21,-0.62,-1.11,-1.66,-2.1,-2.44,-2.69,-2.84,-2.85,-2.85,-2.82,-2.54,-2.05,-1.48,-0.9,-0.15,0.63,1.3,1.92,2.4,2.72,2.85,2.86,2.77,2.67,2.59,2.33,1.93,1.57,1.35,1.07,0.7,0.49,0.52,0.59,0.56,0.58,0.66,0.75,0.75,0.69,0.64,0.45,0.09,-0.3,-0.65,-1.09,-1.67,-2.27,-2.71,-2.99,-3.19,-3.24,-3.13,-2.87,-2.43,-1.88,-1.29,-0.72,-0.21,0.19,0.57,0.92,1.23,1.43,1.47,1.41,1.26,1.07,0.89,0.66,0.36,0.12,0.05,0.1,0.23,0.43,0.72,1.0,1.23,1.51,1.77,1.8,1.69,1.55,1.38,1.09,0.76,0.44,0.05,-0.39,-0.78,-1.13,-1.5,-1.85,-2.18,-2.47,-2.58,-2.56,-2.53,-2.52,-2.38,-2.14,-1.93,-1.61,-1.23,-0.94,-0.77,-0.57,-0.32,-0.11,-0.04,-0.08,-0.22,-0.34,-0.45,-0.68,-1.11,-1.47,-1.76,-2.05,-2.25,-2.35,-2.38,-2.32,-2.11,-1.83,-1.57,-1.24,-0.79,-0.27,0.19,0.72,1.15,1.35,1.46,1.4,1.22,0.97,0.67,0.27,-0.09,-0.32,-0.49,-0.76,-1.11,-1.35,-1.53,-1.68,-1.74,-1.77,-1.7,-1.47,-1.24,-1.11,-0.98,-0.83,-0.76,-0.77,-0.73,-0.73,-0.76,-0.74,-0.61,-0.47,-0.37,-0.32,-0.32,-0.23,0.0,0.13,0.02,-0.11,-0.14,-0.15,-0.12,-0.08,-0.11,-0.14,-0.11,-0.02,0.16,0.46,0.67,0.6,0.54,0.77,1.15,1.48,1.73,1.87,1.88,1.92,1.99,2.02,1.95,1.82,1.6,1.4,1.36,1.33,1.19,1.02,0.91,0.82,0.73,0.72,0.66,0.52,0.37,0.31,0.18,-0.02,-0.16,-0.2,-0.2,-0.18,-0.14,-0.14,-0.14,-0.06,0.07,0.24,0.46,0.68,0.84,1.0,1.15,1.12,0.8,0.33,-0.2,-0.86,-1.59,-2.37,-3.12,-3.89,-4.53,-5.06,-5.5,-5.73,-5.82,-5.82,-5.78,-5.56,-5.2,-4.75,-4.18,-3.59,-3.03,-2.48,-1.84,-1.26,-0.74,-0.38,-0.28,-0.38,-0.46,-0.42,-0.36,-0.35,-0.45,-0.59,-0.64,-0.59,-0.58,-0.68,-0.79,-0.89,-0.99,-1.1,-1.18,-1.33,-1.48,-1.53,-1.59,-1.72,-1.83,-1.94,-2.15,-2.35,-2.52,-2.78,-3.09,-3.31,-3.35,-3.24,-2.99,-2.69,-2.44,-2.17,-1.79,-1.47,-1.24,-0.99,-0.85,-0.91,-1.05,-1.12,-1.18,-1.29,-1.49,-1.86,-2.29,-2.66,-2.99,-3.34,-3.59,-3.72,-3.91,-4.05,-3.86,-3.49,-3.24,-3.13,-3.05,-2.93,-2.65,-2.27,-1.94,-1.68,-1.39,-1.06,-0.74,-0.4,-0.08,0.05,0.05,0.1,0.18,0.15,0.1,0.07,0.03,-0.03,-0.07,-0.13,-0.26,-0.48,-0.74,-1.0,-1.17,-1.23,-1.4,-1.66,-1.82,-1.82,-1.81,-1.88,-2.04,-2.25,-2.36,-2.27,-2.11,-1.96,-1.83,-1.66,-1.44,-1.15,-0.94,-0.99,-1.31,-1.81,-2.46,-3.15,-3.68,-4.08,-4.41,-4.63,-4.76,-4.88,-5.02,-5.06,-4.99,-4.92,-4.92,-4.89,-4.79,-4.51,-4.18,-4.02,-3.92,-3.89,-3.92,-4.01,-3.99,-3.88,-3.87,-3.94,-3.84,-3.43,-2.82,-2.16,-1.48,-0.84,-0.27,0.16,0.55,0.86,1.11,1.15,0.96,0.73,0.61,0.47,0.13,-0.35,-0.81,-1.25,-1.63,-1.92,-2.25,-2.58,-2.77,-2.81,-2.67,-2.27,-1.81,-1.65,-1.77,-1.78,-1.66,-1.63,-1.72,-1.86,-1.98,-1.91,-1.75,-1.7,-1.79,-1.92,-2.06,-2.11,-1.9,-1.48,-1.08,-0.68,-0.09,0.67,1.35,1.85,2.18,2.28,2.29,2.17,1.87,1.3,0.75,0.3,-0.06,-0.39,-0.8,-1.26,-1.61,-1.75,-1.79,-1.84,-1.94,-1.94,-1.73,-1.41,-1.12,-0.97,-0.77,-0.52,-0.37,-0.31,-0.36,-0.62,-1.01,-1.33,-1.56,-1.63,-1.57,-1.36,-0.96,-0.4,0.06,0.26,0.32,0.47,0.46,0.07,-0.48,-0.96,-1.33,-1.72,-2.14,-2.71,-3.55,-4.53,-5.41,-6.09,-6.63,-7.07,-7.54,-7.74,-7.46,-6.93,-6.48,-6.23,-5.99,-5.71,-5.45,-5.21,-5.01,-4.9,-4.88,-4.94,-5.08,-5.11,-4.94,-4.74,-4.58,-4.28,-3.77,-3.18,-2.59,-1.99,-1.42,-0.87,-0.21,0.5,1.01,1.34,1.59,1.74,1.82,1.76,1.5,1.06,0.62,0.19,-0.29,-0.7,-1.04,-1.37,-1.64,-1.74,-1.74,-1.79,-1.84,-1.87,-1.87,-1.89,-1.93,-2.05,-2.14,-2.16,-2.19,-2.25,-2.3,-2.41,-2.6,-2.75,-2.83,-2.92,-3.06,-3.12,-3.04,-2.83,-2.51,-2.18,-2.0,-1.88,-1.71,-1.54,-1.42,-1.26,-1.1,-1.01,-0.92,-0.83,-0.82,-0.85,-0.86,-0.93,-1.12,-1.25,-1.31,-1.41,-1.53,-1.61,-1.71,-1.85,-1.94,-1.95,-1.99,-2.1,-2.24,-2.43,-2.58,-2.62,-2.63,-2.65,-2.65,-2.67,-2.76,-2.83,-2.79,-2.73,-2.71,-2.62,-2.37,-2.05,-1.71,-1.37,-1.09,-0.87,-0.66,-0.49,-0.38,-0.25,-0.11,-0.03,-0.01,0.01,0.02,-0.06,-0.15,-0.24,-0.35,-0.46,-0</t>
  </si>
  <si>
    <t>To_Avoid_Formula.51,-0.52,-0.53,-0.52,-0.54,-0.64,-0.79,-0.94,-1.11,-1.36,-1.63,-1.93,-2.27,-2.6,-2.97,-3.35,-3.67,-3.91,-4.15,-4.41,-4.52,-4.53,-4.48,-4.32,-4.04,-3.79,-3.56,-3.29,-3.04,-2.79,-2.48,-2.17,-1.94,-1.66,-1.34,-1.1,-0.91,-0.75,-0.74,-0.91,-1.03,-1.14,-1.35,-1.6,-1.82,-2.06,-2.31,-2.49,-2.65,-2.83,-2.98,-3.04,-3.08,-3.05,-2.98,-2.99,-3.02,-2.88,-2.62,-2.45,-2.35,-2.22,-2.06,-1.89,-1.71,-1.53,-1.41,-1.31,-1.2,-1.11,-0.94,-0.69,-0.53,-0.51,-0.5,-0.45,-0.46,-0.57,-0.77,-1.05,-1.39,-1.67,-1.91,-2.16,-2.36,-2.51,-2.66,-2.76,-2.74,-2.67,-2.6,-2.49,-2.33,-2.19,-2.08,-1.94,-1.79,-1.68,-1.58,-1.52,-1.54,-1.59,-1.65,-1.75,-1.84,-1.9,-2.03,-2.25,-2.38,-2.4,-2.46,-2.6,-2.71,-2.81,-2.86,-2.84,-2.79,-2.78,-2.72,-2.65,-2.61,-2.47,-2.21,-2.0,-1.93,-1.84,-1.66,-1.51,-1.42,-1.42,-1.49,-1.58,-1.63,-1.78,-2.08,-2.35,-2.54,-2.71,-2.8,-2.79,-2.73,-2.67,-2.54,-2.36,-2.23,-2.09,-1.92,-1.75,-1.58,-1.37,-1.27,-1.26,-1.24,-1.23,-1.28,-1.33,-1.38,-1.5,-1.69,-1.88,-2.02,-2.15,-2.21,-2.21,-2.18,-2.07,-1.92,-1.84,-1.82,-1.76,-1.69,-1.7,-1.75,-1.69,-1.63,-1.64,-1.61,-1.6,-1.66,-1.75,-1.8,-1.86,-1.9,-1.93,-2.04,-2.18,-2.25,-2.31,-2.47,-2.6,-2.64,-2.67,-2.72,-2.71,-2.64,-2.65,-2.7,-2.78,-2.86,-2.9,-2.88,-2.87,-2.82,-2.67,-2.47,-2.32,-2.25,-2.19,-2.15,-2.1,-1.97,-1.79,-1.69,-1.64,-1.54,-1.37,-1.21,-1.12,-1.1,-1.12,-1.08,-0.96,-0.88,-0.93,-1.09,-1.22,-1.32,-1.36,-1.4,-1.51,-1.67,-1.75,-1.69,-1.62,-1.6,-1.62,-1.65,-1.65,-1.56,-1.43,-1.41,-1.43,-1.37,-1.27,-1.2,-1.14,-1.08,-1.08,-1.13,-1.19,-1.29,-1.42,-1.54,-1.67,-1.82,-1.95,-2.07,-2.21,-2.37,-2.45,-2.51,-2.62,-2.7,-2.69,-2.6,-2.45,-2.25,-2.13,-2.08,-1.98,-1.86,-1.77,-1.7,-1.63,-1.67,-1.82,-1.97,-2.11,-2.26,-2.41,-2.56,-2.75,-2.86,-2.87,-2.9,-2.97,-3.06,-3.11,-3.12,-3.07,-2.98,-2.9,-2.8,-2.64,-2.49,-2.36,-2.18,-1.98,-1.85,-1.74,-1.6,-1.49,-1.51,-1.57,-1.55,-1.46,-1.33,-1.24,-1.28,-1.37,-1.44,-1.53,-1.69,-1.87,-2.01,-2.12,-2.14,-2.06,-1.95,-1.86,-1.73,-1.65,-1.67,-1.69,-1.66,-1.63,-1.61,-1.56,-1.49,-1.43,-1.37,-1.34,-1.37,-1.45,-1.58,-1.78,-1.97,-2.09,-2.19,-2.32,-2.42,-2.46,-2.48,-2.49,-2.5,-2.48,-2.37,-2.21,-2.05,-1.93,-1.81,-1.66,</t>
  </si>
  <si>
    <t>To_Avoid_Formula48.81,48.81,48.81,48.81,48.81,48.81,48.81,48.81,48.81,48.81,48.81,48.81,48.81,48.81,48.81,48.81,48.81,48.81,48.81,48.81,48.81,48.81,48.81,48.81,48.81,48.81,48.81,48.81,48.81,48.81,48.81,48.81,48.81,48.81,48.81,48.81,48.81,48.81,48.81,48.81,48.81,48.81,48.81,48.81,48.81,48.81,48.81,48.81,48.81,48.81,48.81,48.81,48.81,48.81,48.81,48.81,48.81,48.81,48.81,48.81,48.81,48.81,48.81,48.81,48.81,48.81,48.81,48.81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48.82,48.83,48.83,48.83,48.83,48.83,48.83,48.83,48.83,48.83,48.83,48.83,48.83,48.83,48.83,48.83,48.83,48.83,48.83,48.83,48.83,48.83,48.83,48.83,48.83,48.83,48.83,48.83,48.83,48.83,48.83,48.83,48.83,48.83,48.83,48.83,48.83,48.83,48.83,48.83,48.83,48.83,48.83,48.83,48.83,48.83,48.83,48.83,48.83,48.83,48.83,48.83,48.83,48.83,48.83,48.83,48.83,48.83,48.83,48.83,48.83,48.83,48.83,48.83,48.83,48.83,48.83,48.84,48.84,48.84,48.84,48.84,48.84,48.84,48.84,48.84,48.84,48.84,48.84,48.84,48.84,48.84,48.84,48.84,48.84,48.84,48.84,48.84,48.84,48.84,48.84,48.84,48.84,48.84,48.84,48.84,48.84,48.84,48.84,48.84,48.84,48.84,48.84,48.84,48.84,48.84,48.84,48.84,48.84,48.84,48.84,48.84,48.84,48.84,48.84,48.84,48.84,48.84,48.84,48.84,48.84,48.84,48.84,48.84,48.84,48.85,48.85,48.85,48.85,48.85,48.85,48.85,48.85,48.85,48.85,48.85,48.85,48.85,48.85,48.85,48.85,48.85,48.85,48.85,48.85,48.85,48.85,48.85,48.85,48.85,48.85,48.85,48.85,48.85,48.85,48.85,48.85,48.85,48.85,48.85,48.85,48.85,48.85,48.85,48.85,48.85,48.85,48.85,48.85,48.85,48.85,48.85,48.85,48.85,48.85,48.85,48.85,48.85,48.85,48.85,48.86,48.86,48.86,48.86,48.86,48.86,48.86,48.86,48.86,48.86,48.86,48.86,48.86,48.86,48.86,48.86,48.86,48.86,48.86,48.86,48.86,48.86,48.86,48.86,48.86,48.86,48.86,48.86,48.86,48.86,48.86,48.86,48.86,48.86,48.86,48.86,48.86,48.86,48.86,48.86,48.86,48.86,48.86,48.86,48.86,48.86,48.86,48.86,48.86,48.86,48.86,48.86,48.86,48.86,48.86,48.86,48.87,48.87,48.87,48.87,48.87,48.87,48.87,48.87,48.87,48.87,48.87,48.87,48.87,48.87,48.87,48.87,48.87,48.87,48.87,48.87,48.87,48.87,48.87,48.87,48.87,48.87,48.87,48.87,48.87,48.87,48.87,48.87,48.87,48.87,48.87,48.87,48.87,48.87,48.87,48.87,48.87,48.87,48.87,48.87,48.87,48.87,48.87,48.87,48.87,48.87,48.87,48.88,48.88,48.88,48.88,48.88,48.88,48.88,48.88,48.88,48.88,48.88,48.88,48.88,48.88,48.88,48.88,48.88,48.88,48.88,48.88,48.88,48.88,48.88,48.88,48.88,48.88,48.88,48.88,48.88,48.88,48.88,48.88,48.88,48.88,48.88,48.88,48.88,48.88,48.88,48.88,48.88,48.88,48.88,48.88,48.88,48.88,48.89,48.89,48.89,48.89,48.89,48.89,48.89,48.89,48.89,48.89,48.89,48.89,48.89,48.89,48.89,48.89,48.89,48.89,48.89,48.89,48.89,48.89,48.89,48.89,48.89,48.89,48.89,48.89,48.89,48.89,48.89,48.89,48.89,48.89,48.89,48.89,48.89,48.9,48.9,48.9,48.9,48.9,48.9,48.9,48.9,48.9,48.9,48.9,48.9,48.9,48.9,48.9,48.9,48.9,48.9,48.9,48.9,48.9,48.9,48.9,48.9,48.9,48.9,48.9,48.9,48.9,48.9,48.9,48.91,48.91,48.91,48.91,48.91,48.91,48.91,48.91,48.91,48.91,48.91,48.91,48.91,48.91,48.91,48.91,48.91,48.91,48.91,48.91,48.91,48.91,48.91,48.91,48.91,48.91,48.91,48.92,48.92,48.92,48.92,48.92,48.92,48.92,48.92,48.92,48.92,48.92,48.92,48.92,48.92,48.92,48.92,48.92,48.92,48.92,48.92,48.92,48.92,48.92,48.92,48.93,48.93,48.93,48.93,48.93,48.93,48.93,48.93,48.93,48.93,48.93,48.93,48.93,48.93,48.93,48.93,48.93,48.93,48.93,48.93,48.93,48.93,48.94,48.94,48.94,48.94,48.94,48.94,48.94,48.94,48.94,48.94,48.94,48.94,48.94,48.94,48.94,48.94,48.94,48.94,48.94,48.94,48.95,48.95,48.95,48.95,48.95,48.95,48.95,48.95,48.95,48.95,48.95,48.95,48.95,48.95,48.95,48.95,48.</t>
  </si>
  <si>
    <t>To_Avoid_Formula95,48.95,48.95,48.96,48.96,48.96,48.96,48.96,48.96,48.96,48.96,48.96,48.96,48.96,48.96,48.96,48.96,48.96,48.96,48.96,48.96,48.97,48.97,48.97,48.97,48.97,48.97,48.97,48.97,48.97,48.97,48.97,48.97,48.97,48.97,48.97,48.97,48.97,48.97,48.97,48.98,48.98,48.98,48.98,48.98,48.98,48.98,48.98,48.98,48.98,48.98,48.98,48.98,48.98,48.98,48.98,48.98,48.98,48.99,48.99,48.99,48.99,48.99,48.99,48.99,48.99,48.99,48.99,48.99,48.99,48.99,48.99,48.99,48.99,48.99,48.99,49.0,49.0,49.0,49.0,49.0,49.0,49.0,49.0,49.0,49.0,49.0,49.0,49.0,49.0,49.0,49.0,49.0,49.01,49.01,49.01,49.01,49.01,49.01,49.01,49.01,49.01,49.01,49.01,49.01,49.01,49.01,49.01,49.01,49.01,49.01,49.01,49.02,49.02,49.02,49.02,49.02,49.02,49.02,49.02,49.02,49.02,49.02,49.02,49.02,49.02,49.02,49.02,49.02,49.02,49.02,49.03,49.03,49.03,49.03,49.03,49.03,49.03,49.03,49.03,49.03,49.03,49.03,49.03,49.03,49.03,49.03,49.03,49.03,49.03,49.04,49.04,49.04,49.04,49.04,49.04,49.04,49.04,49.04,49.04,49.04,49.04,49.04,49.04,49.04,49.04,49.04,49.04,49.04,49.04,49.05,49.05,49.05,49.05,49.05,49.05,49.05,49.05,49.05,49.05,49.05,49.05,49.05,49.05,49.05,49.05,49.05,49.05,49.05,49.05,49.05,49.06,49.06,49.06,49.06,49.06,49.06,49.06,49.06,49.06,49.06,49.06,49.06,49.06,49.06,49.06,49.06,49.06,49.06,49.06,49.06,49.06,49.06,49.07,49.07,49.07,49.07,49.07,49.07,49.07,49.07,49.07,49.07,49.07,49.07,49.07,49.07,49.07,49.07,49.07,49.07,49.07,49.07,49.07,49.07,49.07,49.08,49.08,49.08,49.08,49.08,49.08,49.08,49.08,49.08,49.08,49.08,49.08,49.08,49.08,49.08,49.08,49.08,49.08,49.08,49.08,49.08,49.08,49.08,49.08,49.09,49.09,49.09,49.09,49.09,49.09,49.09,49.09,49.09,49.09,49.09,49.09,49.09,49.09,49.09,49.09,49.09,49.09,49.09,49.09,49.09,49.09,49.09,49.09,49.09,49.09,49.1,49.1,49.1,49.1,49.1,49.1,49.1,49.1,49.1,49.1,49.1,49.1,49.1,49.1,49.1,49.1,49.1,49.1,49.1,49.1,49.1,49.1,49.1,49.1,49.1,49.1,49.1,49.11,49.11,49.11,49.11,49.11,49.11,49.11,49.11,49.11,49.11,49.11,49.11,49.11,49.11,49.11,49.11,49.11,49.11,49.11,49.11,49.11,49.11,49.11,49.11,49.11,49.11,49.11,49.12,49.12,49.12,49.12,49.12,49.12,49.12,49.12,49.12,49.12,49.12,49.12,49.12,49.12,49.12,49.12,49.12,49.12,49.12,49.12,49.12,49.12,49.12,49.12,49.12,49.12,49.12,49.12,49.13,49.13,49.13,49.13,49.13,49.13,49.13,49.13,49.13,49.13,49.13,49.13,49.13,49.13,49.13,49.13,49.13,49.13,49.13,49.13,49.13,</t>
  </si>
  <si>
    <t>To_Avoid_Formula0.38,0.32,0.24,0.15,0.08,0.04,0.04,0.07,0.11,0.15,0.17,0.21,0.26,0.3,0.3,0.27,0.24,0.22,0.2,0.19,0.19,0.14,0.05,-0.05,-0.14,-0.22,-0.3,-0.38,-0.45,-0.51,-0.56,-0.64,-0.71,-0.76,-0.79,-0.81,-0.84,-0.86,-0.87,-0.86,-0.86,-0.87,-0.87,-0.86,-0.83,-0.83,-0.83,-0.8,-0.76,-0.72,-0.7,-0.69,-0.7,-0.72,-0.75,-0.77,-0.8,-0.82,-0.84,-0.88,-0.91,-0.95,-0.99,-1.04,-1.09,-1.12,-1.14,-1.12,-1.07,-0.99,-0.89,-0.8,-0.71,-0.65,-0.6,-0.56,-0.5,-0.44,-0.39,-0.33,-0.25,-0.16,-0.09,-0.03,0.04,0.1,0.13,0.17,0.21,0.21,0.21,0.23,0.26,0.3,0.32,0.31,0.31,0.34,0.34,0.26,0.12,0.01,-0.07,-0.13,-0.19,-0.2,-0.17,-0.11,-0.03,0.04,0.09,0.11,0.12,0.09,0.05,0.01,-0.08,-0.16,-0.21,-0.18,-0.12,-0.06,-0.03,-0.01,0.01,0.06,0.11,0.14,0.17,0.22,0.25,0.28,0.32,0.38,0.45,0.54,0.63,0.66,0.64,0.56,0.5,0.44,0.41,0.38,0.35,0.36,0.39,0.41,0.4,0.38,0.33,0.28,0.24,0.21,0.18,0.17,0.17,0.19,0.23,0.26,0.27,0.26,0.25,0.23,0.2,0.18,0.21,0.28,0.37,0.43,0.46,0.46,0.47,0.47,0.48,0.49,0.52,0.55,0.58,0.58,0.54,0.52,0.54,0.59,0.64,0.68,0.71,0.74,0.76,0.74,0.7,0.68,0.69,0.68,0.58,0.43,0.32,0.27,0.26,0.32,0.4,0.48,0.56,0.61,0.64,0.65,0.63,0.6,0.53,0.5,0.49,0.46,0.47,0.5,0.53,0.56,0.6,0.67,0.72,0.72,0.73,0.73,0.69,0.66,0.66,0.67,0.69,0.71,0.74,0.75,0.74,0.75,0.75,0.71,0.63,0.55,0.48,0.42,0.3,0.2,0.13,0.09,0.04,-0.02,-0.09,-0.14,-0.2,-0.27,-0.39,-0.49,-0.57,-0.65,-0.68,-0.71,-0.71,-0.69,-0.68,-0.67,-0.66,-0.64,-0.61,-0.58,-0.55,-0.53,-0.48,-0.41,-0.34,-0.29,-0.22,-0.19,-0.17,-0.16,-0.19,-0.21,-0.23,-0.24,-0.26,-0.28,-0.3,-0.28,-0.28,-0.31,-0.36,-0.42,-0.47,-0.53,-0.56,-0.52,-0.44,-0.44,-0.49,-0.49,-0.47,-0.48,-0.5,-0.52,-0.58,-0.64,-0.71,-0.8,-0.9,-0.98,-1.03,-1.06,-1.06,-1.04,-0.99,-0.93,-0.88,-0.84,-0.81,-0.75,-0.68,-0.62,-0.55,-0.46,-0.38,-0.31,-0.24,-0.17,-0.08,-0.01,0.05,0.09,0.12,0.12,0.1,0.06,0.02,0.01,0.02,0.04,0.04,0.04,0.03,0.01,-0.03,-0.07,-0.12,-0.15,-0.16,-0.15,-0.14,-0.12,-0.08,-0.04,-0.01,0.02,0.07,0.15,0.2,0.25,0.33,0.38,0.4,0.39,0.36,0.36,0.38,0.43,0.47,0.52,0.58,0.67,0.73,0.77,0.78,0.76,0.73,0.68,0.62,0.54,0.48,0.44,0.4,0.36,0.34,0.3,0.22,0.17,0.19,0.21,0.21,0.21,0.21,0.24,0.3,0.39,0.5,0.65,0.82,0.96,1.02,0.98,0.92,0.82,0.78,0.77,0.78,0.83,0.83,0.81,0.75,0.69,0.58,0.46,0.26,0.1,-0.01,-0.09,-0.13,-0.17,-0.18,-0.18,-0.16,-0.18,-0.24,-0.32,-0.37,-0.43,-0.48,-0.48,-0.42,-0.31,-0.18,-0.06,-0.01,0.0,-0.01,0.0,0.02,0.05,0.1,0.16,0.23,0.32,0.4,0.47,0.55,0.63,0.73,0.81,0.86,0.94,1.02,1.1,1.17,1.25,1.3,1.32,1.32,1.33,1.37,1.43,1.47,1.54,1.65,1.79,1.88,1.9,1.87,1.84,1.78,1.74,1.72,1.73,1.79,1.89,2.0,2.08,2.17,2.29,2.37,2.36,2.35,2.41,2.49,2.54,2.56,2.61,2.66,2.67,2.69,2.73,2.77,2.77,2.77,2.74,2.62,2.48,2.37,2.23,2.04,1.89,1.8,1.69,1.54,1.41,1.26,1.07,0.86,0.63,0.45,0.31,0.2,0.09,0.02,0.05,0.2,0.34,0.38,0.32,0.22,0.19,0.2,0.2,0.18,0.22,0.32,0.52,0.64,0.69,0.76,0.79,0.86,0.94,1.03,1.1,1.2,1.29,1.3,1.19,1.05,0.92,0.75,0.59,0.5,0.46,0.41,0.32,0.22,0.16,0.12,0.09,0.04,-0.02,-0.04,-0.03,0.0,0.0,-0.01,0.02,0.13,0.25,0.35,0.43,0.53,0.68,0.88,1.06,1.21,1.31,1.4,1.5,1.55,1.59,1.65,1.74,1.81,1.85,1.89,1.97,2.09,2.22,2.35,2.48,2.63,2.78,2.9,2.94,2.92,2.92,2.96,3.04,3.16,3.32,3.53,3.78,4.02,4.21,4.4,4.58,4.76,4.92,5.09,5.29,5.46,5.61,5.71,5.78,5.78,5.64,5.44,5.31,5.22,5.22,5.31,5.54,5.89,6.1,6.12,6.08,6.07,6.05,6.0,5.91,5.76,5.57,5.33,5.03,4.69,4.43,4.39,4.49,4.49,4.24,3.87,3.5,3.17,3.0,3.07,3.23,3.06,2.39,1.44,0.62,-0.07,-0.67,-1.19,-1.52,-1.68,-1.76,-1.96,-2.06,-2.09,-2.07,-1.94,-1.76,-1.5,-1.22,-0.99,-0.89,-1.04,-1.33,-1.74,-2.14,-2.57,-3.09,-3.55,-3.97,-4.28,-4.51,-4.64,-4.76,-4.84,-4.9,-4.92,-4.94,-4.94,-4.97,-5.04,-5.08,-5.01,-4.9,-4.82,-4.77,-4.77,-4.8,-4.87,-5.02,-5.21,-5.35,-5.39,-5.42,-5.47,-5.42,-5.17,-4.84,-4.55,-4.34,-4.16,-4.01,-3.83,-3.57,-3.31,-3.16,-3.04,-2.97,-2.97,-3.01,-3.08,-3.21,-3.42,-3.63,-3.76,-3.81,-3.82,-3.79,-3.73,-3.69,-3.71,-3.76,-3.77,-3.74,-3.68,-3.64,-3.6,-3.51,-3.39,-3.31,-3.25,-3.13,-2.98,-2.84,-2.67,-2.45,-2.21,-1.97,-1.71,-1.38,-1.01,-0.7,-0.52,-0.46,-0.46,-0.52,-0.65,-0.8,-0.83,-0.6</t>
  </si>
  <si>
    <t>To_Avoid_Formula9,-0.42,-0.14,0.09,0.24,0.32,0.34,0.27,0.08,-0.2,-0.4,-0.45,-0.47,-0.49,-0.56,-0.63,-0.67,-0.68,-0.8,-1.05,-1.44,-1.82,-2.06,-2.22,-2.47,-2.63,-2.69,-2.72,-2.58,-2.3,-1.89,-1.46,-1.04,-0.75,-0.63,-0.61,-0.49,-0.37,-0.36,-0.55,-0.71,-0.69,-0.57,-0.3,0.09,0.57,1.04,1.49,1.94,2.41,2.83,3.17,3.44,3.73,3.97,4.16,4.32,4.47,4.6,4.59,4.46,4.33,4.34,4.41,4.4,4.26,4.07,3.9,3.78,3.71,3.69,3.71,3.72,3.67,3.58,3.51,3.48,3.41,3.29,3.17,3.19,3.23,3.12,2.79,2.65,2.46,1.85,0.97,0.09,-0.46,-0.75,-0.87,-0.84,-0.72,-0.5,-0.18,0.06,0.04,-0.3,-0.89,-1.59,-2.08,-2.22,-2.1,-1.92,-1.71,-1.51,-1.59,-2.1,-2.81,-3.16,-3.0,-2.72,-2.42,-2.09,-1.77,-1.54,-1.38,-1.26,-1.23,-1.27,-1.26,-1.15,-0.97,-0.84,-0.81,-0.8,-0.76,-0.7,-0.7,-0.74,-0.74,-0.72,-0.71,-0.75,-0.8,-0.85,-0.87,-0.86,-0.82,-0.75,-0.68,-0.58,-0.49,-0.41,-0.33,-0.23,-0.05,0.24,0.53,0.61,0.49,0.39,0.37,0.37,0.35,0.32,0.26,0.19,0.14,0.14,0.13,0.03,-0.05,-0.07,-0.12,-0.2,-0.26,-0.28,-0.33,-0.4,-0.45,-0.53,-0.68,-0.89,-1.07,-1.2,-1.32,-1.51,-1.68,-1.83,-2.0,-2.15,-2.33,-2.49,-2.56,-2.51,-2.43,-2.35,-2.29,-2.21,-2.14,-2.11,-2.14,-2.22,-2.35,-2.5,-2.63,-2.74,-2.81,-2.84,-2.81,-2.75,-2.65,-2.55,-2.53,-2.54,-2.5,-2.36,-2.21,-2.05,-1.91,-1.71,-1.52,-1.3,-1.1,-1.05,-1.03,-1.03,-1.04,-1.05,-1.07,-1.07,-1.02,-0.94,-0.86,-0.83,-0.82,-0.81,-0.8,-0.85,-0.92,-0.99,-1.0,-0.96,-0.91,-0.85,-0.76,-0.67,-0.61,-0.52,-0.41,-0.33,-0.3,-0.26,-0.19,-0.09,0.04,0.17,0.3,0.45,0.59,0.7,0.71,0.67,0.62,0.58,0.56,0.56,0.55,0.51,0.49,0.52,0.54,0.54,0.52,0.53,0.57,0.61,0.62,0.64,0.68,0.74,0.8,0.86,0.91,0.98,1.08,1.2,1.31,1.42,1.55,1.67,1.78,1.84,1.91,1.98,2.03,2.06,2.09,2.15,2.21,2.25,2.25,2.26,2.31,2.36,2.34,2.28,2.23,2.24,2.31,2.36,2.32,2.29,2.31,2.32,</t>
  </si>
  <si>
    <t>To_Avoid_Formula0.06,-0.02,-0.11,-0.2,-0.28,-0.31,-0.31,-0.28,-0.23,-0.2,-0.18,-0.14,-0.1,-0.07,-0.07,-0.1,-0.13,-0.16,-0.18,-0.19,-0.2,-0.24,-0.32,-0.42,-0.49,-0.56,-0.61,-0.67,-0.71,-0.73,-0.75,-0.79,-0.83,-0.84,-0.83,-0.81,-0.8,-0.78,-0.74,-0.69,-0.65,-0.62,-0.59,-0.53,-0.48,-0.44,-0.41,-0.35,-0.28,-0.22,-0.17,-0.15,-0.13,-0.14,-0.12,-0.12,-0.13,-0.13,-0.13,-0.14,-0.15,-0.16,-0.19,-0.21,-0.23,-0.24,-0.23,-0.18,-0.1,0.0,0.11,0.21,0.3,0.36,0.41,0.45,0.49,0.55,0.59,0.63,0.69,0.75,0.8,0.83,0.86,0.89,0.89,0.88,0.88,0.85,0.81,0.79,0.79,0.78,0.77,0.72,0.68,0.67,0.63,0.51,0.34,0.21,0.12,0.04,-0.03,-0.05,-0.03,0.02,0.09,0.14,0.17,0.17,0.16,0.11,0.05,-0.01,-0.1,-0.19,-0.24,-0.22,-0.15,-0.11,-0.08,-0.07,-0.06,-0.02,0.01,0.03,0.05,0.08,0.1,0.1,0.13,0.17,0.21,0.28,0.34,0.35,0.29,0.19,0.1,0.03,-0.02,-0.06,-0.1,-0.1,-0.08,-0.07,-0.09,-0.12,-0.18,-0.23,-0.27,-0.31,-0.33,-0.33,-0.33,-0.3,-0.26,-0.23,-0.22,-0.23,-0.24,-0.26,-0.28,-0.29,-0.25,-0.18,-0.09,-0.03,-0.01,-0.01,-0.01,-0.01,-0.01,0.0,0.02,0.05,0.07,0.06,0.02,-0.01,0.01,0.05,0.1,0.13,0.15,0.17,0.17,0.15,0.1,0.07,0.07,0.05,-0.05,-0.2,-0.3,-0.33,-0.33,-0.25,-0.16,-0.07,0.0,0.05,0.08,0.09,0.07,0.03,-0.03,-0.06,-0.07,-0.09,-0.08,-0.05,-0.01,0.02,0.07,0.13,0.17,0.17,0.17,0.17,0.13,0.1,0.09,0.1,0.11,0.13,0.16,0.16,0.15,0.15,0.14,0.1,0.02,-0.06,-0.12,-0.17,-0.28,-0.36,-0.41,-0.43,-0.45,-0.48,-0.52,-0.54,-0.56,-0.6,-0.68,-0.74,-0.77,-0.8,-0.79,-0.77,-0.72,-0.66,-0.6,-0.54,-0.49,-0.44,-0.36,-0.3,-0.24,-0.19,-0.11,-0.02,0.06,0.13,0.21,0.25,0.28,0.29,0.27,0.25,0.24,0.23,0.22,0.2,0.19,0.22,0.22,0.2,0.15,0.1,0.07,0.01,0.0,0.05,0.14,0.14,0.1,0.11,0.13,0.13,0.12,0.1,0.05,0.0,-0.06,-0.13,-0.22,-0.27,-0.3,-0.3,-0.28,-0.24,-0.16,-0.09,-0.03,0.02,0.06,0.12,0.19,0.26,0.32,0.4,0.47,0.52,0.57,0.62,0.68,0.72,0.75,0.76,0.75,0.71,0.66,0.58,0.52,0.48,0.46,0.45,0.43,0.4,0.36,0.31,0.26,0.19,0.12,0.08,0.06,0.05,0.05,0.06,0.08,0.11,0.11,0.12,0.16,0.21,0.24,0.27,0.32,0.34,0.32,0.28,0.23,0.2,0.2,0.22,0.23,0.25,0.28,0.34,0.36,0.37,0.34,0.28,0.22,0.14,0.06,-0.04,-0.12,-0.17,-0.22,-0.27,-0.3,-0.34,-0.42,-0.47,-0.45,-0.42,-0.42,-0.42,-0.41,-0.38,-0.31,-0.22,-0.11,0.02,0.18,0.3,0.33,0.26,0.17,0.06,0.0,-0.01,-0.02,0.02,0.01,-0.03,-0.09,-0.16,-0.26,-0.38,-0.57,-0.71,-0.79,-0.84,-0.84,-0.85,-0.82,-0.79,-0.74,-0.72,-0.74,-0.78,-0.79,-0.81,-0.81,-0.77,-0.67,-0.52,-0.36,-0.22,-0.14,-0.12,-0.12,-0.09,-0.05,-0.01,0.06,0.12,0.2,0.29,0.37,0.43,0.51,0.56,0.65,0.71,0.74,0.79,0.83,0.88,0.92,0.96,0.97,0.95,0.91,0.88,0.88,0.89,0.9,0.92,0.98,1.07,1.11,1.06,0.98,0.89,0.79,0.7,0.64,0.61,0.63,0.68,0.74,0.78,0.82,0.87,0.9,0.83,0.76,0.77,0.79,0.78,0.75,0.74,0.73,0.68,0.64,0.63,0.61,0.56,0.51,0.43,0.27,0.09,-0.05,-0.21,-0.41,-0.56,-0.65,-0.75,-0.88,-0.99,-1.11,-1.26,-1.44,-1.6,-1.72,-1.79,-1.82,-1.85,-1.84,-1.73,-1.5,-1.29,-1.18,-1.19,-1.22,-1.18,-1.11,-1.05,-1.0,-0.9,-0.74,-0.49,-0.34,-0.25,-0.15,-0.09,0.0,0.1,0.21,0.29,0.4,0.49,0.49,0.39,0.25,0.14,-0.02,-0.15,-0.21,-0.21,-0.23,-0.29,-0.34,-0.37,-0.36,-0.35,-0.36,-0.37,-0.35,-0.3,-0.23,-0.18,-0.16,-0.09,0.04,0.19,0.31,0.4,0.5,0.66,0.84,1.01,1.13,1.2,1.26,1.31,1.32,1.31,1.32,1.37,1.39,1.37,1.36,1.39,1.44,1.5,1.56,1.62,1.69,1.76,1.79,1.74,1.63,1.54,1.5,1.49,1.53,1.6,1.7,1.84,1.97,2.04,2.1,2.15,2.2,2.21,2.24,2.29,2.31,2.3,2.24,2.16,2.01,1.72,1.39,1.14,0.95,0.84,0.83,0.96,1.18,1.27,1.17,1.01,0.89,0.77,0.62,0.43,0.19,-0.07,-0.36,-0.7,-1.06,-1.34,-1.38,-1.27,-1.27,-1.5,-1.85,-2.18,-2.45,-2.55,-2.39,-2.16,-2.26,-2.84,-3.67,-4.32,-4.8,-5.18,-5.46,-5.52,-5.41,-5.22,-5.15,-4.98,-4.74,-4.46,-4.08,-3.66,-3.17,-2.69,-2.27,-2.0,-1.97,-2.09,-2.31,-2.52,-2.73,-3.02,-3.23,-3.4,-3.45,-3.4,-3.26,-3.11,-2.92,-2.72,-2.5,-2.27,-2.03,-1.84,-1.68,-1.5,-1.22,-0.92,-0.65,-0.43,-0.27,-0.14,-0.06,-0.06,-0.1,-0.09,0.02,0.13,0.21,0.4,0.76,1.18,1.54,1.82,2.03,2.22,2.41,2.68,2.92,3.04,3.12,3.15,3.1,3.01,2.89,2.72,2.46,2.22,2.06,1.98,1.94,1.94,1.96,1.96,1.9,1.81,1.75,1.74,1.75,1.74,1.72,1.75,1.81,1.81,1.8,1.84,1.91,1.96,2.03,2.14,2.27,2.37,2.5,2.69,2.89,3.03,3</t>
  </si>
  <si>
    <t>To_Avoid_Formula.03,2.9,2.72,2.49,2.18,1.88,1.7,1.69,1.8,1.92,1.98,1.96,1.86,1.71,1.47,1.13,0.7,0.38,0.22,0.09,-0.03,-0.2,-0.36,-0.49,-0.57,-0.76,-1.08,-1.51,-1.91,-2.15,-2.31,-2.54,-2.67,-2.69,-2.68,-2.5,-2.2,-1.77,-1.34,-0.95,-0.69,-0.61,-0.63,-0.56,-0.48,-0.52,-0.75,-0.93,-0.94,-0.84,-0.6,-0.25,0.17,0.56,0.92,1.25,1.59,1.87,2.05,2.16,2.28,2.34,2.34,2.32,2.29,2.24,2.04,1.74,1.46,1.32,1.25,1.1,0.82,0.52,0.25,0.04,-0.11,-0.21,-0.25,-0.31,-0.42,-0.56,-0.68,-0.75,-0.85,-1.0,-1.14,-1.12,-1.09,-1.2,-1.52,-1.65,-1.81,-2.37,-3.15,-3.91,-4.3,-4.41,-4.34,-4.13,-3.83,-3.45,-2.98,-2.6,-2.48,-2.69,-3.12,-3.64,-3.93,-3.84,-3.51,-3.14,-2.73,-2.36,-2.28,-2.61,-3.12,-3.25,-2.87,-2.38,-1.9,-1.41,-0.95,-0.59,-0.32,-0.1,0.03,0.08,0.17,0.37,0.62,0.81,0.9,0.95,1.04,1.14,1.17,1.17,1.2,1.26,1.29,1.27,1.24,1.22,1.22,1.25,1.31,1.39,1.47,1.56,1.64,1.72,1.78,1.85,2.0,2.25,2.48,2.5,2.31,2.14,2.07,2.01,1.93,1.84,1.73,1.6,1.51,1.46,1.4,1.25,1.13,1.07,0.98,0.87,0.78,0.73,0.65,0.55,0.48,0.38,0.21,0.0,-0.18,-0.31,-0.41,-0.59,-0.73,-0.85,-0.98,-1.09,-1.21,-1.32,-1.33,-1.23,-1.09,-0.96,-0.86,-0.74,-0.63,-0.58,-0.58,-0.62,-0.72,-0.84,-0.92,-0.98,-1.01,-0.98,-0.91,-0.8,-0.66,-0.53,-0.47,-0.46,-0.39,-0.23,-0.07,0.09,0.23,0.42,0.59,0.78,0.94,0.95,0.92,0.87,0.82,0.76,0.7,0.66,0.67,0.71,0.74,0.73,0.69,0.65,0.61,0.52,0.41,0.31,0.26,0.27,0.28,0.3,0.35,0.4,0.42,0.46,0.52,0.55,0.54,0.52,0.54,0.57,0.65,0.72,0.78,0.86,0.93,0.95,0.88,0.76,0.65,0.54,0.45,0.39,0.32,0.23,0.16,0.14,0.12,0.06,0.0,-0.03,-0.03,-0.03,-0.06,-0.08,-0.08,-0.05,-0.03,-0.02,0.0,0.03,0.09,0.16,0.22,0.28,0.35,0.42,0.47,0.47,0.47,0.49,0.47,0.44,0.41,0.41,0.41,0.39,0.33,0.29,0.29,0.28,0.21,0.1,0.01,-0.01,0.01,0.02,-0.05,-0.12,-0.12,-0.14,</t>
  </si>
  <si>
    <t>To_Avoid_Formula56.73,56.6,56.47,56.34,56.22,56.09,55.96,55.83,55.7,55.57,55.44,55.31,55.18,55.05,54.92,54.79,54.66,54.53,54.4,54.27,54.14,54.0,53.87,53.74,53.61,53.48,53.35,53.21,53.08,52.95,52.82,52.69,52.55,52.42,52.29,52.15,52.02,51.89,51.76,51.62,51.49,51.36,51.22,51.09,50.95,50.82,50.69,50.55,50.42,50.29,50.15,50.02,49.88,49.75,49.48,49.35,49.21,49.08,48.94,48.81,48.68,48.54,48.41,48.27,48.14,48.01,47.87,47.74,47.6,47.47,47.34,47.2,47.07,46.93,46.8,46.67,46.53,46.4,46.27,46.13,46.0,45.87,45.74,45.6,45.47,45.34,45.2,45.07,44.94,44.81,44.68,44.54,44.41,44.28,44.15,44.02,43.89,43.75,43.62,43.49,43.36,43.23,43.1,42.97,42.84,42.71,42.58,42.45,42.32,42.19,42.06,41.93,41.8,41.67,41.54,41.42,41.29,41.16,41.03,40.9,40.78,40.65,40.52,40.39,40.27,40.14,40.01,39.89,39.76,39.64,39.51,39.38,39.26,39.13,39.01,38.88,38.75,38.63,38.5,38.38,38.25,38.13,38.0,37.88,37.75,37.63,37.5,37.38,37.25,37.13,37.0,36.88,36.75,36.63,36.5,36.38,36.26,36.13,36.01,35.88,35.76,35.63,35.51,35.39,35.26,35.14,35.01,34.89,34.77,34.64,34.52,34.39,34.27,34.15,34.02,33.9,33.78,33.65,33.53,33.41,33.28,33.16,33.04,32.91,32.79,32.67,32.54,32.42,32.3,32.18,32.05,31.93,31.81,31.68,31.56,31.44,31.32,31.19,31.07,30.95,30.83,30.7,30.58,30.46,30.34,30.22,30.09,29.97,29.85,29.73,29.61,29.49,29.36,29.24,29.12,29.0,28.88,28.76,28.64,28.52,28.4,28.27,28.15,28.03,27.91,27.79,27.67,27.55,27.43,27.31,27.19,27.07,26.95,26.83,26.71,26.59,26.47,26.35,26.23,26.11,25.99,25.87,25.75,25.63,25.51,25.39,25.27,25.15,25.03,24.91,24.79,24.67,24.55,24.43,24.31,24.19,24.08,23.96,23.84,23.72,23.6,23.48,23.37,23.25,23.13,23.01,22.89,22.78,22.66,22.54,22.42,22.3,22.19,22.07,21.95,21.84,21.72,21.6,21.49,21.37,21.25,21.14,21.02,20.9,20.79,20.67,20.55,20.44,20.32,20.21,20.09,19.98,19.86,19.75,19.63,19.51,19.4,19.28,19.17,19.05,18.94,18.82,18.71,18.59,18.48,18.36,18.25,18.13,18.02,17.9,17.79,17.67,17.56,17.45,17.33,17.22,17.1,16.99,16.87,16.76,16.64,16.53,16.41,16.3,16.18,16.07,15.95,15.84,15.72,15.61,15.49,15.38,15.26,15.15,15.04,14.92,14.81,14.69,14.58,14.46,14.35,14.24,14.12,14.01,13.89,13.78,13.67,13.55,13.44,13.33,13.21,13.1,12.99,12.88,12.76,12.65,12.54,12.43,12.32,12.21,12.09,11.98,11.87,11.76,11.65,11.54,11.43,11.32,11.21,11.11,11.0,10.89,10.78,10.67,10.57,10.46,10.35,10.25,10.14,10.04,9.93,9.83,9.72,9.62,9.51,9.41,9.31,9.2,9.1,9.0,8.9,8.8,8.7,8.6,8.5,8.4,8.3,8.2,8.1,8.0,7.9,7.81,7.71,7.61,7.52,7.42,7.32,7.23,7.13,7.04,6.95,6.85,6.76,6.67,6.57,6.48,6.39,6.3,6.21,6.12,6.03,5.94,5.85,5.76,5.68,5.59,5.5,5.41,5.33,5.24,5.16,5.07,4.99,4.9,4.82,4.74,4.65,4.57,4.49,4.41,4.33,4.25,4.17,4.09,4.01,3.94,3.86,3.78,3.71,3.63,3.56,3.48,3.41,3.33,3.26,3.19,3.12,3.05,2.98,2.91,2.84,2.78,2.71,2.64,2.58,2.51,2.45,2.39,2.33,2.26,2.2,2.15,2.09,2.03,1.97,1.92,1.87,1.81,1.76,1.71,1.66,1.61,1.57,1.52,1.47,1.43,1.39,1.35,1.31,1.27,1.23,1.2,1.17,1.13,1.1,1.07,1.05,1.02,0.99,0.97,0.95,0.93,0.91,0.89,0.88,0.87,0.85,0.84,0.84,0.83,0.82,0.82,0.82,0.82,0.82,0.82,0.83,0.84,0.84,0.85,0.86,0.88,0.89,0.91,0.93,0.94,0.97,0.99,1.01,1.04,1.06,1.09,1.12,1.15,1.18,1.22,1.25,1.29,1.32,1.36,1.4,1.44,1.49,1.53,1.57,1.62,1.67,1.71,1.76,1.81,1.86,1.92,1.97,2.02,2.08,2.13,2.19,2.25,2.31,2.37,2.43,2.49,2.55,2.61,2.67,2.73,2.8,2.86,2.93,2.99,3.06,3.13,3.19,3.26,3.33,3.4,3.46,3.53,3.6,3.67,3.74,3.81,3.88,3.95,4.03,4.1,4.17,4.24,4.31,4.38,4.45,4.53,4.6,4.67,4.74,4.81,4.88,4.95,5.02,5.1,5.17,5.24,5.31,5.38,5.45,5.52,5.58,5.65,5.72,5.79,5.86,5.92,5.99,6.06,6.12,6.19,6.25,6.32,6.38,6.45,6.51,6.57,6.63,6.69,6.76,6.82,6.88,6.94,7.0,7.05,7.11,7.17,7.23,7.28,7.34,7.4,7.45,7.5,7.56,7.61,7.67,7.72,7.77,7.82,7.87,7.92,7.97,8.02,8.07,8.11,8.16,8.21,8.25,8.3,8.34,8.39,8.43,8.47,8.51,8.55,8.59,8.63,8.67,8.71,8.75,8.79,8.82,8.86,8.9,8.93,8.97,9.0,9.03,9.07,9.1,9.13,9.16,9.2,9.23,9.26,9.29,9.32,9.35,9.38,9.41,9.44,9.47,9.5,9.53,9.56,9.59,9.62,9.65,9.68,9.71,9.74,9.77,9.8,9.83,9.86,9.89,9.92,9.95,9.98,10.01,10.04,10.07,10.1,10.13,10.16,10.19,10.22,10.25,10.28,10.31,10.34,10.37,10.4,10.42,10.</t>
  </si>
  <si>
    <t>To_Avoid_Formula45,10.48,10.51,10.54,10.56,10.59,10.62,10.64,10.67,10.69,10.71,10.74,10.76,10.78,10.8,10.82,10.84,10.86,10.88,10.89,10.91,10.93,10.94,10.95,10.96,10.97,10.98,10.99,11.0,11.01,11.01,11.02,11.02,11.02,11.02,11.02,11.02,11.01,11.01,11.0,10.99,10.98,10.97,10.96,10.95,10.93,10.92,10.9,10.88,10.86,10.84,10.81,10.79,10.76,10.74,10.71,10.68,10.65,10.62,10.59,10.55,10.52,10.48,10.44,10.41,10.37,10.33,10.28,10.24,10.2,10.15,10.11,10.06,10.01,9.96,9.91,9.86,9.81,9.76,9.7,9.65,9.59,9.54,9.48,9.42,9.36,9.3,9.24,9.18,9.12,9.06,8.99,8.93,8.87,8.8,8.74,8.67,8.6,8.53,8.47,8.4,8.33,8.26,8.19,8.12,8.04,7.97,7.9,7.82,7.75,7.68,7.6,7.52,7.45,7.37,7.29,7.22,7.14,7.06,6.98,6.9,6.82,6.74,6.66,6.58,6.5,6.42,6.33,6.25,6.17,6.09,6.0,5.92,5.83,5.75,5.67,5.58,5.5,5.41,5.33,5.24,5.16,5.07,4.98,4.9,4.81,4.72,4.64,4.55,4.46,4.37,4.29,4.2,4.11,4.02,3.93,3.85,3.76,3.67,3.58,3.49,3.4,3.31,3.22,3.13,3.04,2.95,2.86,2.77,2.68,2.59,2.5,2.4,2.31,2.22,2.13,2.04,1.95,1.86,1.77,1.68,1.59,1.5,1.41,1.32,1.23,1.14,1.05,0.96,0.87,0.78,0.69,0.6,0.51,0.42,0.33,0.25,0.16,0.07,-0.02,-0.1,-0.19,-0.28,-0.36,-0.45,-0.54,-0.62,-0.71,-0.79,-0.88,-0.96,-1.05,-1.13,-1.22,-1.31,-1.39,-1.48,-1.56,-1.65,-1.73,-1.82,-1.9,-1.99,-2.07,-2.16,-2.24,-2.33,-2.41,-2.5,-2.58,-2.67,-2.75,-2.84,-2.93,-3.01,-3.1,-3.18,-3.27,-3.35,-3.44,-3.52,-3.61,-3.69,-3.78,-3.86,-3.95,-4.03,-4.12,-4.2,-4.29,-4.37,-4.46,-4.54,-4.62,-4.71,-4.79,-4.87,-4.95,-5.03,-5.12,-5.2,-5.28,-5.36,-5.44,-5.52,-5.59,-5.67,-5.75,-5.83,-5.9,-5.98,-6.05,-6.13,-6.2,-6.27,-6.34,-6.41,-6.49,-6.55,-6.62,-6.69,-6.76,-6.83,-6.89,-6.96,-7.02,-7.08,-7.14,-7.2,-7.26,-7.32,-7.38,-7.44,-7.49,-7.55,-7.6,-7.66,-7.71,-7.76,-7.81,-7.86,-7.9,-7.95,-8.0,-8.04,-8.08,-8.13,-8.17,-8.21,-8.25,-8.29,-8.32,-8.36,-8.39,-8.43,-8.46,-8.49,-8.52,-8.55,-8.58,-8.61,-8.63,-8.66,-8.68,-8.71,-8.73,-8.75,</t>
  </si>
  <si>
    <t>To_Avoid_Formula54.99,54.9,54.79,54.68,54.62,54.62,54.6,54.46,54.25,54.08,53.94,53.77,53.53,53.24,52.94,52.63,52.29,51.9,51.52,51.2,50.92,50.66,50.41,50.18,49.98,49.82,49.68,49.51,49.39,49.34,49.3,49.18,49.05,48.94,48.83,48.68,48.5,48.26,48.02,47.81,47.6,47.32,46.99,46.68,46.39,46.09,45.74,45.43,45.22,45.1,45.05,44.98,44.93,44.95,45.08,45.06,44.95,44.82,44.69,44.6,44.45,44.26,44.08,43.97,43.88,43.78,43.68,43.58,43.49,43.4,43.3,43.21,43.16,43.13,43.01,42.84,42.66,42.49,42.32,42.12,41.82,41.47,41.14,40.89,40.65,40.36,40.11,39.95,39.93,40.01,40.03,39.94,39.82,39.75,39.65,39.47,39.23,38.97,38.68,38.38,38.08,37.77,37.53,37.33,37.13,36.91,36.7,36.51,36.3,36.1,35.89,35.71,35.62,35.65,35.73,35.81,35.95,36.24,36.56,36.76,36.74,36.62,36.56,36.57,36.54,36.33,35.97,35.67,35.49,35.36,35.19,34.93,34.63,34.35,34.12,33.89,33.68,33.52,33.38,33.21,33.06,32.97,32.86,32.72,32.57,32.4,32.25,32.18,32.14,32.05,31.95,31.89,31.88,31.89,31.87,31.81,31.73,31.66,31.56,31.38,31.14,30.89,30.69,30.52,30.34,30.12,29.87,29.66,29.5,29.33,29.13,28.93,28.73,28.54,28.33,28.08,27.84,27.69,27.63,27.58,27.52,27.45,27.43,27.5,27.6,27.67,27.71,27.73,27.74,27.67,27.53,27.41,27.34,27.31,27.28,27.25,27.24,27.23,27.21,27.09,26.84,26.56,26.26,25.91,25.47,24.94,24.51,24.22,24.01,23.88,23.77,23.73,23.78,23.87,23.88,23.85,23.83,23.84,23.86,23.82,23.73,23.65,23.62,23.6,23.52,23.45,23.37,23.25,23.08,22.85,22.6,22.35,22.13,21.92,21.71,21.54,21.46,21.41,21.37,21.34,21.28,21.22,21.19,21.21,21.18,21.15,21.12,21.08,21.02,20.9,20.73,20.54,20.39,20.24,20.03,19.75,19.47,19.23,19.04,18.89,18.74,18.61,18.51,18.37,18.15,17.89,17.64,17.41,17.19,16.98,16.77,16.58,16.46,16.39,16.3,16.19,16.1,16.0,15.87,15.71,15.54,15.37,15.21,15.04,14.81,14.57,14.37,14.22,14.07,13.92,13.77,13.63,13.53,13.46,13.38,13.29,13.21,13.17,13.16,13.16,13.12,13.05,12.98,12.94,12.88,12.77,12.64,12.51,12.36,12.16,11.93,11.69,11.46,11.27,11.07,10.83,10.58,10.35,10.13,9.88,9.61,9.38,9.18,8.99,8.81,8.65,8.52,8.43,8.33,8.18,7.99,7.84,7.71,7.61,7.49,7.33,7.02,6.63,6.17,5.8,5.54,5.29,5.09,4.91,4.83,4.84,4.93,5.02,5.07,5.06,5.05,5.08,5.13,5.13,5.07,4.97,4.92,4.89,4.83,4.73,4.65,4.61,4.53,4.32,4.01,3.67,3.38,3.13,2.89,2.61,2.34,2.18,2.15,2.2,2.36,2.65,3.05,3.65,4.48,5.4,6.23,7.18,8.15,8.92,9.39,9.47,9.18,8.57,7.81,7.03,6.42,5.88,5.31,4.67,4.02,3.46,3.06,2.72,2.41,2.16,1.98,1.83,1.7,1.68,1.73,1.78,1.75,1.62,1.48,1.31,1.03,0.62,0.15,-0.29,-0.62,-0.88,-1.15,-1.48,-1.83,-2.1,-2.26,-2.35,-2.42,-2.35,-2.06,-1.5,-0.9,-0.34,0.22,0.65,0.91,1.02,1.07,1.07,1.03,0.94,0.81,0.68,0.61,0.6,0.6,0.57,0.54,0.59,0.78,1.08,1.36,1.49,1.57,1.83,2.19,2.45,2.58,2.68,2.79,2.91,2.96,2.93,2.88,2.93,3.04,3.15,3.23,3.32,3.45,3.65,3.87,4.05,4.21,4.37,4.58,4.78,4.96,5.07,5.05,4.98,4.94,4.91,4.83,4.69,4.51,4.23,3.92,3.74,3.7,3.72,3.75,3.85,4.04,4.27,4.48,4.63,4.73,4.79,4.81,4.84,4.87,4.87,4.96,5.2,5.48,5.6,5.6,5.58,5.49,5.2,4.74,4.16,3.45,2.66,1.72,0.59,-0.69,-1.94,-3.15,-4.32,-5.59,-6.51,-7.02,-7.24,-7.15,-6.98,-6.66,-6.14,-5.36,-4.5,-3.65,-2.92,-2.37,-1.92,-1.41,-0.96,-0.8,-0.84,-0.81,-0.63,-0.42,-0.25,-0.1,0.13,0.51,0.94,1.35,1.75,2.12,2.52,2.91,3.17,3.21,3.1,2.89,2.67,2.55,2.5,2.29,1.91,1.49,1.22,1.17,1.16,1.16,1.22,1.42,1.71,2.08,2.46,2.8,3.12,3.48,3.87,4.19,4.43,4.65,4.86,5.02,5.24,5.66,6.04,6.17,6.1,5.95,5.8,5.57,5.27,4.99,4.85,4.74,4.58,4.59,4.92,5.35,5.6,5.74,5.96,6.36,6.78,7.02,7.07,7.04,7.03,7.09,7.03,6.68,6.28,6.02,5.71,5.22,4.84,4.77,4.6,4.06,3.45,3.22,3.24,3.12,2.88,2.72,2.71,2.63,2.17,1.35,0.42,-0.62,-1.97,-3.53,-4.71,-4.8,-3.94,-2.42,-1.04,-0.38,0.04,0.46,0.83,1.26,2.14,3.17,3.78,3.79,3.22,2.88,3.04,3.35,3.63,3.8,3.93,3.89,3.72,3.49,3.24,3.01,2.93,3.05,3.19,3.24,3.41,3.79,4.11,4.1,3.78,3.48,3.34,3.17,2.9,2.58,2.45,2.4,2.33,2.29,2.16,1.98,1.93,2.08,2.31,2.55,2.8,3.19,3.71,4.09,4.14,4.03,3.91,3.72,3.26,2.5,1.82,1.81,2.33,2.8,2.89,2.71,2.77,3.23,3.86,4.25,4.28,4.14,4.09,4.03,3.75,3.3,2.93,2.72,2.56,2.42,2.4,2.54,2.79,3.17,3.7,4.27,4.68,4.91,5.06,5.18,5.14,4.84,4.34,3.94,3.77,3.58,3.26</t>
  </si>
  <si>
    <t>To_Avoid_Formula,2.96,2.87,2.88,2.79,2.51,2.08,1.7,1.51,1.43,1.35,1.4,1.81,2.56,3.41,4.1,4.57,5.04,5.55,5.88,5.87,5.63,5.33,5.14,5.03,4.88,4.72,4.7,4.92,5.21,5.43,5.52,5.57,5.71,5.96,6.18,6.2,6.08,6.03,6.09,5.97,5.52,4.83,4.02,3.3,2.64,1.97,1.39,1.16,1.36,1.71,2.02,2.37,2.95,3.49,3.85,4.05,4.15,4.25,4.26,3.97,3.31,2.51,1.83,1.34,0.79,0.28,0.09,0.44,1.19,2.1,2.75,3.22,4.13,5.54,6.54,6.45,5.68,5.02,4.59,3.81,2.42,0.72,-0.39,-0.79,-0.88,-0.82,-0.62,-0.04,0.91,1.91,2.61,3.02,3.14,2.84,2.29,1.6,0.8,0.03,-0.35,-0.35,-0.08,0.3,0.65,0.98,1.31,1.75,2.29,2.87,3.28,3.49,3.54,3.63,3.78,3.83,3.76,3.66,3.5,3.23,2.9,2.59,2.31,1.97,1.69,1.68,1.9,2.09,2.14,2.21,2.24,2.08,1.56,0.75,-0.01,-0.54,-0.85,-1.11,-1.42,-1.71,-1.73,-1.42,-1.07,-1.01,-1.11,-1.05,-0.72,-0.18,0.52,1.29,1.85,2.26,2.63,2.98,3.19,3.27,3.29,3.19,2.91,2.56,2.41,2.49,2.63,2.73,2.92,3.24,3.62,3.92,4.02,3.96,3.99,4.3,4.62,4.63,4.24,3.77,3.33,2.87,2.08,0.98,-0.11,-0.9,-1.44,-2.0,-2.48,-2.7,-2.53,-2.04,-1.44,-0.96,-0.44,0.31,1.16,1.84,2.3,2.46,2.46,2.42,2.51,2.61,2.39,1.78,1.14,0.71,0.35,-0.11,-0.66,-1.06,-1.21,-1.26,-1.38,-1.47,-1.45,-1.33,-1.16,-1.0,-0.97,-1.06,-1.14,-1.12,-1.05,-1.01,-1.01,-1.0,-0.96,-0.87,-0.66,-0.37,-0.15,-0.12,-0.14,-0.04,0.19,0.43,0.58,0.64,0.69,0.83,1.03,1.13,1.08,0.96,0.83,0.64,0.38,0.11,-0.05,-0.14,-0.23,-0.3,-0.34,-0.36,-0.4,-0.39,-0.35,-0.32,-0.36,-0.39,-0.32,-0.21,-0.16,-0.22,-0.27,-0.21,-0.13,-0.13,-0.26,-0.4,-0.46,-0.45,-0.44,-0.47,-0.46,-0.41,-0.35,-0.3,-0.24,-0.19,-0.07,0.1,0.24,0.31,0.31,0.29,0.25,0.23,0.2,0.13,0.03,-0.05,-0.05,-0.01,0.02,0.0,-0.03,0.01,0.09,0.13,0.1,0.07,0.09,0.19,0.29,0.33,0.26,0.16,0.06,-0.08,-0.3,-0.57,-0.89,-1.25,-1.58,-1.84,-2.04,-2.23,-2.38,-2.43,-2.36,-2.28,-2.22,-2.17,-2.1,-2.03,-2.03,-2.1,</t>
  </si>
  <si>
    <t>To_Avoid_Formula9.53,9.51,9.48,9.45,9.43,9.4,9.37,9.35,9.32,9.29,9.26,9.23,9.2,9.16,9.13,9.1,9.07,9.05,9.02,8.99,8.97,8.94,8.92,8.89,8.86,8.84,8.81,8.78,8.76,8.73,8.7,8.67,8.64,8.61,8.58,8.55,8.52,8.49,8.45,8.42,8.39,8.36,8.33,8.29,8.26,8.23,8.2,8.17,8.14,8.11,8.08,8.05,8.02,7.99,7.94,7.91,7.88,7.86,7.83,7.81,7.78,7.76,7.73,7.71,7.68,7.65,7.63,7.6,7.57,7.54,7.51,7.48,7.45,7.42,7.4,7.37,7.34,7.32,7.29,7.27,7.24,7.21,7.19,7.17,7.14,7.12,7.1,7.07,7.05,7.03,7.01,6.98,6.96,6.94,6.92,6.9,6.88,6.86,6.84,6.82,6.8,6.77,6.75,6.72,6.7,6.67,6.65,6.62,6.6,6.57,6.55,6.53,6.5,6.48,6.46,6.44,6.42,6.39,6.37,6.35,6.33,6.31,6.29,6.27,6.24,6.22,6.2,6.17,6.15,6.12,6.09,6.07,6.04,6.01,5.98,5.95,5.92,5.89,5.86,5.83,5.8,5.77,5.74,5.71,5.68,5.65,5.62,5.59,5.56,5.52,5.49,5.47,5.44,5.41,5.38,5.35,5.32,5.29,5.27,5.24,5.21,5.17,5.14,5.11,5.08,5.04,5.01,4.98,4.94,4.91,4.88,4.85,4.81,4.78,4.75,4.72,4.69,4.66,4.63,4.6,4.57,4.54,4.52,4.49,4.46,4.43,4.41,4.38,4.35,4.33,4.3,4.27,4.25,4.22,4.2,4.17,4.14,4.12,4.09,4.07,4.05,4.02,4.0,3.97,3.95,3.93,3.9,3.88,3.86,3.83,3.81,3.79,3.77,3.75,3.72,3.7,3.68,3.66,3.64,3.62,3.59,3.57,3.54,3.52,3.49,3.47,3.44,3.42,3.39,3.37,3.34,3.32,3.29,3.27,3.24,3.22,3.19,3.17,3.15,3.13,3.1,3.08,3.06,3.04,3.01,2.99,2.97,2.95,2.92,2.9,2.88,2.85,2.83,2.8,2.77,2.75,2.72,2.69,2.66,2.63,2.6,2.57,2.55,2.51,2.48,2.45,2.42,2.39,2.36,2.33,2.3,2.27,2.24,2.21,2.18,2.15,2.12,2.1,2.07,2.04,2.01,1.99,1.96,1.93,1.9,1.87,1.85,1.82,1.79,1.76,1.73,1.7,1.67,1.64,1.62,1.59,1.56,1.53,1.5,1.48,1.45,1.42,1.4,1.38,1.35,1.33,1.31,1.3,1.28,1.26,1.25,1.23,1.22,1.2,1.19,1.18,1.17,1.16,1.15,1.14,1.13,1.12,1.12,1.11,1.1,1.1,1.09,1.09,1.08,1.08,1.08,1.08,1.07,1.07,1.07,1.07,1.07,1.07,1.08,1.07,1.07,1.07,1.07,1.07,1.07,1.07,1.07,1.07,1.06,1.06,1.06,1.05,1.05,1.04,1.03,1.03,1.02,1.01,1.0,0.99,0.98,0.97,0.96,0.95,0.94,0.93,0.92,0.9,0.89,0.88,0.87,0.85,0.84,0.82,0.81,0.8,0.78,0.77,0.75,0.73,0.72,0.7,0.68,0.66,0.64,0.62,0.6,0.58,0.56,0.54,0.52,0.5,0.48,0.46,0.44,0.42,0.41,0.39,0.37,0.36,0.34,0.33,0.31,0.3,0.29,0.28,0.27,0.26,0.25,0.24,0.23,0.22,0.21,0.2,0.19,0.19,0.18,0.18,0.17,0.16,0.16,0.16,0.15,0.15,0.15,0.15,0.15,0.15,0.15,0.15,0.15,0.16,0.16,0.16,0.17,0.18,0.19,0.21,0.22,0.23,0.25,0.26,0.28,0.3,0.32,0.34,0.36,0.39,0.41,0.44,0.47,0.49,0.52,0.55,0.58,0.61,0.65,0.68,0.71,0.75,0.79,0.83,0.86,0.9,0.94,0.99,1.03,1.07,1.11,1.16,1.2,1.25,1.29,1.33,1.38,1.42,1.47,1.51,1.55,1.59,1.63,1.67,1.72,1.76,1.8,1.83,1.86,1.89,1.92,1.95,1.97,2.0,2.02,2.04,2.06,2.08,2.09,2.1,2.12,2.13,2.14,2.15,2.16,2.17,2.18,2.19,2.19,2.19,2.18,2.17,2.15,2.14,2.12,2.1,2.08,2.05,2.03,2.0,1.97,1.94,1.91,1.88,1.84,1.81,1.77,1.73,1.7,1.66,1.63,1.59,1.55,1.51,1.46,1.42,1.38,1.34,1.31,1.27,1.25,1.22,1.2,1.17,1.15,1.13,1.11,1.09,1.07,1.05,1.03,1.01,0.99,0.97,0.94,0.92,0.9,0.88,0.87,0.86,0.85,0.85,0.85,0.85,0.85,0.85,0.86,0.86,0.87,0.88,0.88,0.89,0.9,0.91,0.93,0.94,0.95,0.97,0.98,1.0,1.02,1.04,1.06,1.09,1.12,1.15,1.18,1.21,1.23,1.26,1.28,1.3,1.33,1.35,1.37,1.39,1.41,1.43,1.45,1.47,1.49,1.5,1.52,1.54,1.56,1.58,1.6,1.62,1.64,1.65,1.66,1.67,1.68,1.69,1.69,1.7,1.7,1.7,1.71,1.71,1.71,1.71,1.71,1.72,1.72,1.72,1.72,1.72,1.72,1.72,1.72,1.71,1.7,1.69,1.67,1.66,1.64,1.63,1.61,1.6,1.58,1.57,1.55,1.54,1.52,1.5,1.48,1.46,1.44,1.42,1.4,1.38,1.36,1.34,1.32,1.3,1.28,1.26,1.24,1.22,1.2,1.18,1.17,1.15,1.14,1.13,1.11,1.1,1.09,1.08,1.07,1.06,1.05,1.04,1.02,1.0,0.99,0.97,0.95,0.93,0.92,0.9,0.88,0.87,0.85,0.83,0.82,0.8,0.79,0.77,0.76,0.74,0.72,0.71,0.69,0.68,0.66,0.65,0.63,0.62,0.6,0.58,0.56,0.54,0.53,0.51,0.49,0.47,0.45,0.44,0.43,0.42,0.41,0.4,0.4,0.39,0.39,0.38,0.38,0.37,0.37,0.36,0.36,0.36,0.35,0.35,0.35,0.36,0.37,0.38,0.39,0.4,0.42,0.43,0.45,0.47,0.49,0.51,0.52,0.53,0.54,0.56,0.57,0.59,0.61,0.62,0.64,0.65,0.66,0.68,0.7,0.73,0.76,0.78,0.81,0.84,0.87,0.89,0.92,0.94,0.95,0.97,0.98,0.99,0.99,1.0,1.0,1.01,1.01,1.01,1.01,1.01,1.01,1.0,1.0,1.0,0.99,0.98,0.97,0.96,0.95,0.93,0.91,0.89,0.87,0.84,0.81,0.78,0.76,0.73,0.7,0.67,0.64,0.61,0.58,0.55,0.52,0.49,0.46,0.43,0.4,0.37,0.33</t>
  </si>
  <si>
    <t>To_Avoid_Formula,0.3,0.26,0.22,0.19,0.15,0.12,0.08,0.05,0.01,-0.02,-0.05,-0.08,-0.1,-0.13,-0.15,-0.18,-0.2,-0.22,-0.24,-0.26,-0.28,-0.3,-0.32,-0.34,-0.36,-0.38,-0.4,-0.42,-0.44,-0.45,-0.46,-0.47,-0.47,-0.48,-0.48,-0.48,-0.49,-0.49,-0.5,-0.5,-0.51,-0.52,-0.52,-0.53,-0.53,-0.54,-0.55,-0.56,-0.57,-0.59,-0.6,-0.62,-0.63,-0.65,-0.67,-0.69,-0.7,-0.72,-0.74,-0.76,-0.79,-0.81,-0.84,-0.87,-0.9,-0.94,-0.97,-1.0,-1.04,-1.07,-1.1,-1.13,-1.15,-1.18,-1.21,-1.23,-1.26,-1.28,-1.31,-1.33,-1.36,-1.38,-1.41,-1.43,-1.46,-1.48,-1.51,-1.53,-1.54,-1.56,-1.57,-1.58,-1.59,-1.59,-1.6,-1.6,-1.6,-1.6,-1.59,-1.59,-1.58,-1.57,-1.55,-1.54,-1.53,-1.51,-1.5,-1.49,-1.47,-1.45,-1.43,-1.41,-1.38,-1.36,-1.33,-1.31,-1.28,-1.25,-1.22,-1.19,-1.17,-1.14,-1.12,-1.09,-1.06,-1.04,-1.02,-1.01,-0.99,-0.98,-0.97,-0.95,-0.94,-0.93,-0.91,-0.9,-0.89,-0.87,-0.87,-0.87,-0.87,-0.87,-0.87,-0.87,-0.88,-0.88,-0.88,-0.89,-0.9,-0.91,-0.92,-0.93,-0.94,-0.95,-0.95,-0.96,-0.96,-0.97,-0.97,-0.98,-0.98,-0.99,-0.99,-0.99,-0.99,-0.99,-0.99,-0.99,-0.99,-0.99,-0.99,-0.99,-0.98,-0.98,-0.97,-0.96,-0.95,-0.94,-0.92,-0.91,-0.89,-0.87,-0.85,-0.83,-0.81,-0.79,-0.77,-0.75,-0.72,-0.69,-0.66,-0.62,-0.59,-0.56,-0.53,-0.5,-0.47,-0.43,-0.4,-0.37,-0.33,-0.3,-0.27,-0.24,-0.21,-0.18,-0.16,-0.13,-0.11,-0.08,-0.06,-0.03,-0.01,0.01,0.03,0.05,0.07,0.09,0.1,0.12,0.13,0.15,0.16,0.17,0.18,0.19,0.2,0.21,0.21,0.22,0.23,0.23,0.24,0.24,0.24,0.25,0.24,0.24,0.23,0.23,0.22,0.21,0.2,0.19,0.18,</t>
  </si>
  <si>
    <t>To_Avoid_Formula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11.56,16.21,18.55,19.02,18.07,17.17,16.31,15.49,14.72,13.98,13.28,12.62,11.99,11.39,10.82,10.28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</t>
  </si>
  <si>
    <t>To_Avoid_Formula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</t>
  </si>
  <si>
    <t>To_Avoid_Formula0.0,0.0,0.0,0.0,0.0,0.0,0.0,0.0,0.0,0.0,0.0,0.0,0.0,0.0,0.0,0.0,0.0,0.0,0.0,0.0,0.0,0.0,0.0,0.0,0.0,0.0,0.0,0.0,0.0,0.0,0.0,0.0,0.0,0.0,0.0,0.0,0.0,0.0,0.0,0.0,0.0,0.0,0.0,0.0,0.0,0.0,0.0,0.0,0.0,0.0,0.0,0.0,0.0,0.0,0.0,0.0,0.0,0.0,0.0,0.0,0.0,0.0,0.0,0.0,0.0,0.0,</t>
  </si>
  <si>
    <t>To_Avoid_Formula0.29,0.33,0.33,0.31,0.27,0.2,0.11,0.02,-0.06,-0.13,-0.19,-0.22,-0.22,-0.2,-0.17,-0.12,-0.06,0.0,0.06,0.12,0.17,0.21,0.24,0.26,0.26,0.26,0.26,0.25,0.23,0.22,0.2,0.18,0.16,0.13,0.1,0.07,0.03,0.0,-0.04,-0.07,-0.09,-0.12,-0.13,-0.15,-0.15,-0.15,-0.14,-0.12,-0.08,-0.03,0.02,0.09,0.16,0.24,0.42,0.5,0.58,0.66,0.72,0.78,0.84,0.88,0.92,0.95,0.97,0.98,0.98,0.97,0.94,0.91,0.87,0.83,0.79,0.76,0.74,0.73,0.72,0.73,0.74,0.76,0.79,0.82,0.86,0.91,0.96,1.01,1.06,1.12,1.17,1.22,1.27,1.31,1.34,1.37,1.4,1.41,1.43,1.43,1.43,1.41,1.39,1.34,1.27,1.18,1.08,0.96,0.85,0.73,0.61,0.51,0.41,0.32,0.24,0.17,0.1,0.03,-0.04,-0.11,-0.19,-0.27,-0.35,-0.42,-0.49,-0.56,-0.63,-0.71,-0.77,-0.82,-0.86,-0.87,-0.87,-0.85,-0.81,-0.76,-0.7,-0.64,-0.57,-0.49,-0.41,-0.33,-0.26,-0.19,-0.12,-0.05,0.02,0.1,0.17,0.25,0.33,0.4,0.46,0.52,0.58,0.63,0.67,0.71,0.75,0.78,0.8,0.83,0.85,0.88,0.9,0.93,0.95,0.98,1.02,1.07,1.14,1.22,1.32,1.42,1.53,1.64,1.74,1.85,1.95,2.05,2.15,2.23,2.31,2.38,2.44,2.49,2.55,2.61,2.67,2.74,2.82,2.89,2.97,3.04,3.11,3.19,3.26,3.34,3.4,3.44,3.48,3.51,3.54,3.58,3.61,3.65,3.68,3.71,3.74,3.77,3.79,3.81,3.82,3.82,3.8,3.77,3.73,3.66,3.57,3.46,3.33,3.18,3.01,2.84,2.66,2.48,2.3,2.14,1.98,1.83,1.7,1.58,1.47,1.38,1.29,1.22,1.16,1.12,1.09,1.08,1.09,1.13,1.19,1.27,1.37,1.47,1.57,1.68,1.77,1.86,1.94,2.01,2.07,2.11,2.13,2.13,2.12,2.1,2.07,2.04,2.0,1.96,1.92,1.88,1.84,1.8,1.76,1.72,1.69,1.66,1.64,1.63,1.63,1.65,1.68,1.71,1.76,1.8,1.84,1.88,1.92,1.94,1.95,1.95,1.95,1.93,1.92,1.9,1.87,1.86,1.85,1.86,1.88,1.9,1.91,1.92,1.93,1.92,1.92,1.91,1.9,1.9,1.9,1.91,1.91,1.92,1.94,1.95,1.96,1.98,1.99,1.99,1.99,1.99,1.97,1.94,1.9,1.84,1.78,1.71,1.64,1.56,1.49,1.42,1.35,1.29,1.24,1.18,1.13,1.08,1.03,0.97,0.9,0.82,0.75,0.69,0.64,0.6,0.57,0.57,0.58,0.6,0.63,0.66,0.7,0.75,0.8,0.87,0.95,1.03,1.13,1.22,1.31,1.38,1.44,1.48,1.51,1.52,1.51,1.5,1.48,1.46,1.43,1.39,1.34,1.28,1.2,1.12,1.03,0.93,0.82,0.69,0.54,0.39,0.23,0.06,-0.12,-0.31,-0.5,-0.7,-0.91,-1.12,-1.34,-1.55,-1.76,-1.97,-2.17,-2.36,-2.55,-2.73,-2.88,-3.02,-3.12,-3.17,-3.18,-3.11,-2.99,-2.8,-2.55,-2.24,-1.88,-1.5,-1.11,-0.71,-0.33,0.03,0.34,0.62,0.84,1.02,1.15,1.23,1.28,1.31,1.31,1.31,1.28,1.25,1.2,1.14,1.07,1.0,0.93,0.85,0.76,0.69,0.62,0.56,0.49,0.42,0.33,0.22,0.11,-0.01,-0.12,-0.23,-0.32,-0.4,-0.47,-0.52,-0.56,-0.59,-0.58,-0.56,-0.51,-0.44,-0.35,-0.27,-0.18,-0.09,-0.01,0.06,0.12,0.15,0.15,0.12,0.04,-0.07,-0.21,-0.38,-0.55,-0.73,-0.91,-1.09,-1.28,-1.46,-1.64,-1.81,-1.96,-2.11,-2.25,-2.37,-2.48,-2.57,-2.65,-2.71,-2.74,-2.75,-2.74,-2.71,-2.68,-2.65,-2.6,-2.53,-2.44,-2.33,-2.19,-2.05,-1.9,-1.75,-1.62,-1.5,-1.4,-1.32,-1.26,-1.22,-1.21,-1.2,-1.21,-1.21,-1.2,-1.18,-1.14,-1.07,-0.97,-0.83,-0.65,-0.4,-0.07,0.34,0.82,1.36,1.92,2.49,3.03,3.52,3.95,4.32,4.63,4.88,5.07,5.22,5.33,5.42,5.49,5.55,5.6,5.63,5.63,5.62,5.58,5.54,5.49,5.45,5.42,5.42,5.44,5.48,5.55,5.63,5.72,5.81,5.89,5.95,5.98,6.0,5.99,5.97,5.95,5.92,5.89,5.86,5.83,5.81,5.78,5.73,5.66,5.57,5.46,5.33,5.19,5.04,4.88,4.72,4.54,4.34,4.13,3.91,3.68,3.46,3.25,3.08,2.93,2.83,2.78,2.78,2.82,2.91,3.03,3.18,3.37,3.58,3.81,4.06,4.32,4.58,4.83,5.05,5.21,5.34,5.44,5.52,5.58,5.61,5.62,5.58,5.49,5.35,5.18,4.97,4.74,4.5,4.27,4.07,3.92,3.81,3.77,3.79,3.85,3.94,4.03,4.09,4.12,4.12,4.1,4.06,4.02,3.97,3.91,3.83,3.73,3.6,3.43,3.22,2.96,2.66,2.32,1.96,1.61,1.27,0.97,0.69,0.45,0.22,0.0,-0.24,-0.47,-0.68,-0.82,-0.86,-0.76,-0.53,-0.2,0.19,0.62,1.06,1.5,1.92,2.32,2.7,3.05,3.35,3.61,3.83,4.01,4.15,4.26,4.34,4.42,4.49,4.55,4.58,4.6,4.6,4.58,4.55,4.51,4.48,4.46,4.45,4.45,4.44,4.42,4.39,4.33,4.26,4.18,4.1,4.01,3.94,3.88,3.82,3.78,3.76,3.77,3.82,3.93,4.09,4.31,4.54,4.77,4.97,5.13,5.24,5.29,5.28,5.21,5.09,4.92,4.72,4.49,4.25,4.0,3.76,3.52,3.32,3.16,3.06,3.02,3.05,3.11,3.2,3.28,3.36,3.42,3.47,3.49,3.47,3.41,3.32,3.2,3.05,2.89,2.74,2.58,2.41,2.25,2.1,1.96,1.84,1.75,1.67,1.62,1.61,1.63,1.66,1.71,1.76,1.79,1.8,1.8,1.79,1.78,1.77,1.77,1.79,1.84,1.9,1.95,1.99,2.0,1.96,1.89,1.79,1.67,1.55,1.44,1.35,1.27,1.23,1.21,1.21,1.25,1.32,1.44,1.6,1.84,2.18,2.65</t>
  </si>
  <si>
    <t>To_Avoid_Formula,3.28,4.06,4.97,5.97,7.03,8.13,9.21,10.22,11.11,11.81,12.32,12.62,12.72,12.63,12.37,11.96,11.4,10.68,9.81,8.81,7.68,6.46,5.19,3.89,2.62,1.4,0.28,-0.72,-1.58,-2.29,-2.86,-3.28,-3.56,-3.7,-3.72,-3.65,-3.5,-3.3,-3.06,-2.8,-2.53,-2.25,-1.96,-1.67,-1.37,-1.07,-0.76,-0.46,-0.16,0.13,0.43,0.75,1.1,1.45,1.78,2.06,2.31,2.51,2.67,2.79,2.88,2.98,3.09,3.24,3.41,3.58,3.75,3.89,4.01,4.11,4.19,4.26,4.31,4.35,4.4,4.47,4.54,4.63,4.73,4.84,4.97,5.11,5.23,5.34,5.45,5.56,5.69,5.83,5.97,6.07,6.11,6.03,5.84,5.55,5.17,4.74,4.27,3.79,3.34,2.94,2.57,2.24,1.95,1.7,1.5,1.32,1.17,1.03,0.91,0.83,0.79,0.8,0.86,0.98,1.16,1.37,1.6,1.85,2.11,2.35,2.57,2.76,2.92,3.03,3.09,3.1,3.07,2.98,2.84,2.67,2.48,2.26,2.02,1.78,1.55,1.34,1.18,1.04,0.95,0.88,0.83,0.81,0.79,0.78,0.79,0.81,0.84,0.88,0.9,0.9,0.9,0.88,0.85,0.79,0.72,0.65,0.57,0.48,0.39,0.3,0.21,0.13,0.06,0.02,-0.01,-0.01,0.03,0.1,0.19,0.31,0.44,0.59,0.75,0.91,1.07,1.23,1.39,1.55,1.69,1.81,1.92,2.01,2.07,2.12,2.14,2.15,2.15,2.15,2.14,2.13,2.12,2.1,2.07,2.04,2.0,1.96,1.92,1.87,1.82,1.77,1.71,1.64,1.57,1.51,1.45,1.41,1.37,1.35,1.35,1.37,1.4,1.44,1.48,1.54,1.6,1.67,1.73,1.81,1.89,1.98,2.07,2.16,2.26,2.35,2.44,2.52,2.59,2.63,2.64,2.63,2.59,2.53,2.46,2.37,2.27,2.17,2.07,1.97,1.88,1.81,1.75,1.71,1.67,1.64,1.61,1.59,1.57,1.56,1.55,1.54,1.54,1.54,1.56,1.58,1.6,1.64,1.68,1.73,1.78,1.85,1.92,2.01,2.09,2.18,2.28,2.37,2.47,2.56,2.65,2.74,2.83,2.91,2.98,3.05,3.13,3.19,3.26,3.32,3.37,</t>
  </si>
  <si>
    <t>To_Avoid_Formula0.14,0.09,0.05,0.05,0.05,0.05,0.04,-0.05,-0.21,-0.31,-0.31,-0.31,-0.34,-0.39,-0.46,-0.52,-0.55,-0.59,-0.62,-0.63,-0.61,-0.59,-0.58,-0.59,-0.61,-0.61,-0.55,-0.49,-0.47,-0.42,-0.34,-0.3,-0.31,-0.28,-0.23,-0.21,-0.21,-0.2,-0.21,-0.21,-0.18,-0.17,-0.21,-0.25,-0.26,-0.3,-0.36,-0.35,-0.3,-0.25,-0.13,0.02,0.15,0.3,0.64,0.72,0.74,0.72,0.67,0.66,0.66,0.63,0.57,0.56,0.57,0.58,0.61,0.62,0.59,0.54,0.51,0.5,0.52,0.56,0.53,0.46,0.43,0.4,0.36,0.31,0.25,0.15,0.03,-0.03,-0.1,-0.22,-0.28,-0.26,-0.18,-0.03,0.11,0.17,0.22,0.36,0.48,0.48,0.42,0.36,0.28,0.17,0.06,-0.07,-0.21,-0.29,-0.34,-0.4,-0.44,-0.47,-0.55,-0.69,-0.83,-0.93,-1.01,-1.02,-0.99,-0.98,-0.93,-0.76,-0.54,-0.33,-0.22,-0.13,-0.04,0.04,0.15,0.23,0.27,0.32,0.41,0.46,0.49,0.51,0.5,0.49,0.54,0.61,0.68,0.73,0.73,0.67,0.61,0.6,0.58,0.49,0.38,0.32,0.32,0.35,0.38,0.37,0.36,0.39,0.45,0.47,0.44,0.39,0.34,0.28,0.21,0.07,-0.15,-0.36,-0.52,-0.66,-0.79,-0.93,-1.09,-1.26,-1.36,-1.43,-1.48,-1.47,-1.43,-1.39,-1.37,-1.38,-1.39,-1.31,-1.16,-1.0,-0.87,-0.76,-0.66,-0.5,-0.31,-0.12,0.0,0.09,0.18,0.21,0.18,0.13,0.12,0.12,0.11,0.12,0.13,0.13,0.13,0.09,-0.02,-0.15,-0.26,-0.37,-0.51,-0.66,-0.73,-0.73,-0.65,-0.51,-0.39,-0.26,-0.07,0.12,0.26,0.35,0.45,0.54,0.63,0.7,0.74,0.76,0.82,0.9,0.93,0.94,0.97,0.99,0.96,0.92,0.88,0.82,0.76,0.75,0.74,0.73,0.75,0.79,0.82,0.88,0.94,0.98,1.03,1.1,1.15,1.15,1.09,1.02,0.93,0.84,0.73,0.61,0.5,0.42,0.33,0.17,0.04,-0.06,-0.17,-0.27,-0.36,-0.43,-0.47,-0.51,-0.6,-0.69,-0.76,-0.82,-0.87,-0.86,-0.82,-0.78,-0.72,-0.63,-0.56,-0.55,-0.53,-0.48,-0.46,-0.44,-0.39,-0.34,-0.35,-0.37,-0.39,-0.43,-0.46,-0.44,-0.38,-0.31,-0.21,-0.14,-0.09,-0.05,-0.02,-0.04,-0.07,-0.05,0.02,0.08,0.09,0.05,-0.01,-0.06,-0.09,-0.15,-0.25,-0.34,-0.42,-0.53,-0.66,-0.75,-0.82,-0.86,-0.87,-0.88,-0.9,-0.88,-0.81,-0.79,-0.81,-0.79,-0.73,-0.67,-0.6,-0.49,-0.38,-0.26,-0.14,-0.06,-0.02,0.05,0.13,0.22,0.29,0.33,0.27,0.15,0.07,0.12,0.21,0.31,0.45,0.6,0.78,0.97,1.17,1.32,1.44,1.48,1.5,1.52,1.55,1.52,1.43,1.3,1.2,1.13,1.06,0.95,0.8,0.67,0.52,0.31,0.08,-0.11,-0.27,-0.4,-0.49,-0.57,-0.7,-0.82,-0.83,-0.8,-0.76,-0.68,-0.55,-0.31,0.02,0.37,0.62,1.01,1.52,1.94,2.19,2.32,2.49,2.71,2.89,2.95,2.9,2.87,2.86,2.89,2.87,2.8,2.74,2.64,2.5,2.29,1.98,1.62,1.32,1.09,0.87,0.59,0.25,-0.1,-0.43,-0.74,-1.14,-1.61,-2.07,-2.41,-2.68,-2.93,-3.13,-3.25,-3.3,-3.27,-3.2,-3.08,-2.9,-2.62,-2.32,-1.99,-1.62,-1.2,-0.75,-0.41,-0.23,-0.1,0.13,0.45,0.79,1.09,1.43,1.77,2.16,2.56,2.88,3.08,3.18,3.28,3.45,3.66,3.79,3.72,3.58,3.55,3.56,3.46,3.24,2.98,2.72,2.42,2.07,1.68,1.29,0.91,0.62,0.34,0.01,-0.31,-0.6,-0.86,-1.09,-1.31,-1.58,-1.88,-2.18,-2.38,-2.57,-2.83,-3.2,-3.6,-3.93,-4.15,-4.39,-4.66,-4.9,-5.18,-5.46,-5.6,-5.59,-5.53,-5.48,-5.37,-5.19,-5.0,-4.76,-4.45,-4.14,-3.94,-3.79,-3.59,-3.35,-3.08,-2.8,-2.5,-2.15,-1.93,-1.97,-2.17,-2.29,-2.43,-2.69,-3.02,-3.37,-3.73,-4.14,-4.54,-4.93,-5.27,-5.55,-5.81,-6.04,-5.95,-5.6,-5.12,-4.46,-3.72,-2.95,-2.15,-1.23,-0.28,0.62,1.38,1.96,2.42,2.9,3.36,3.61,3.66,3.71,3.84,4.0,4.08,4.08,4.14,4.28,4.39,4.42,4.43,4.44,4.4,4.32,4.12,3.76,3.34,2.89,2.4,2.02,1.87,1.67,1.29,0.92,0.76,0.77,0.78,0.79,0.84,0.95,1.09,1.24,1.33,1.42,1.52,1.57,1.6,1.68,1.75,1.74,1.7,1.72,1.79,1.92,2.04,2.05,1.97,1.85,1.8,1.74,1.59,1.47,1.52,1.61,1.53,1.34,1.23,1.23,1.16,1.08,1.11,1.26,1.34,1.26,1.01,0.7,0.48,0.37,0.16,-0.21,-0.55,-0.8,-1.17,-1.64,-1.96,-2.09,-2.42,-3.06,-3.66,-3.99,-4.32,-4.74,-5.02,-5.1,-5.01,-4.95,-5.27,-5.93,-6.64,-7.31,-8.39,-9.8,-10.57,-9.71,-7.93,-5.65,-3.23,-1.26,0.37,1.52,2.36,3.15,4.23,5.46,6.47,7.21,7.63,8.02,8.4,8.84,9.33,9.63,9.67,9.5,9.33,9.17,9.02,8.76,8.47,8.17,7.87,7.53,7.11,6.74,6.38,5.84,4.95,3.98,3.22,2.59,1.91,1.22,0.67,0.16,-0.34,-0.74,-1.08,-1.41,-1.64,-1.75,-1.84,-1.94,-1.99,-1.98,-1.92,-1.87,-2.04,-2.45,-2.86,-3.08,-3.27,-3.66,-3.98,-3.75,-3.06,-2.41,-2.02,-1.8,-1.5,-1.1,-0.65,-0.28,-0.13,-0.19,-0.19,-0.16,-0.27,-0.47,-0.62,-0.67,-0.65,-0.61,-0.58,-0.54,-0.46,-0.31,-0.11,0.1,0.15,0.01,-0.19,-0.32,-0.55,-1.02,-1.65,-2.06,-2.17,-2.3,-2.51,-2.61,-2.5</t>
  </si>
  <si>
    <t>To_Avoid_Formula,-2.31,-2.2,-2.17,-2.2,-2.18,-2.04,-1.86,-1.79,-1.76,-1.62,-1.33,-0.87,-0.41,-0.22,-0.18,-0.13,-0.17,-0.52,-1.06,-1.5,-1.8,-2.06,-2.27,-2.34,-2.35,-2.26,-2.03,-1.82,-1.79,-1.86,-1.76,-1.5,-1.25,-1.1,-1.0,-0.85,-0.59,-0.43,-0.47,-0.67,-0.95,-1.16,-1.3,-1.41,-1.39,-1.11,-0.59,0.03,0.61,1.15,1.66,2.05,2.37,2.56,2.64,2.8,2.97,2.87,2.42,1.93,1.61,1.44,1.18,0.89,0.81,1.12,1.67,2.31,2.65,2.69,2.95,3.65,4.08,3.66,2.71,1.89,1.33,0.6,-0.51,-1.8,-2.54,-2.66,-2.53,-2.32,-2.04,-1.58,-0.89,-0.11,0.48,0.64,0.41,-0.05,-0.52,-1.17,-2.02,-2.81,-3.11,-3.11,-2.94,-2.63,-2.41,-2.38,-2.42,-2.32,-2.12,-1.93,-1.84,-1.78,-1.74,-1.7,-1.64,-1.44,-1.04,-0.58,-0.19,0.01,0.09,0.21,0.39,0.54,0.66,0.88,1.21,1.49,1.62,1.65,1.62,1.39,0.85,0.2,-0.33,-0.63,-0.67,-0.53,-0.26,0.18,0.88,1.8,2.68,3.28,3.65,3.94,4.22,4.66,5.21,5.69,6.02,6.24,6.37,6.41,6.42,6.36,6.16,5.82,5.46,5.05,4.63,4.3,4.0,3.55,3.05,2.7,2.45,2.03,1.36,0.62,0.17,0.21,0.44,0.54,0.44,0.33,0.18,-0.03,-0.27,-0.64,-1.2,-1.61,-1.7,-1.68,-1.7,-1.67,-1.43,-1.01,-0.53,-0.21,-0.07,0.08,0.3,0.43,0.38,0.28,0.21,0.1,0.0,-0.12,-0.41,-0.81,-1.01,-1.07,-1.3,-1.59,-1.63,-1.51,-1.48,-1.5,-1.45,-1.34,-1.24,-1.21,-1.31,-1.45,-1.53,-1.58,-1.72,-1.85,-1.9,-1.87,-1.81,-1.84,-2.03,-2.27,-2.34,-2.28,-2.37,-2.64,-2.9,-3.03,-3.01,-2.97,-3.03,-3.23,-3.43,-3.53,-3.57,-3.65,-3.78,-3.88,-3.92,-3.88,-3.86,-3.91,-3.93,-3.84,-3.72,-3.58,-3.43,-3.33,-3.28,-3.13,-2.88,-2.65,-2.53,-2.41,-2.19,-1.92,-1.66,-1.48,-1.34,-1.16,-0.93,-0.73,-0.61,-0.53,-0.46,-0.39,-0.32,-0.28,-0.26,-0.2,-0.09,0.02,0.1,0.14,0.2,0.3,0.43,0.49,0.49,0.49,0.51,0.49,0.44,0.39,0.38,0.4,0.44,0.46,0.44,0.39,0.37,0.35,0.3,0.21,0.11,0.03,-0.03,-0.09,-0.14,-0.15,-0.14,-0.11,-0.11,-0.12,-0.12,-0.09,-0.04,-0.01,0.02,0.08,0.18,0.28,0.4,0.59,0.86,1.1,1.36,1.66,1.92,2.14,2.31,2.48,</t>
  </si>
  <si>
    <t>To_Avoid_Formula0.67,0.63,0.61,0.62,0.61,0.58,0.54,0.48,0.39,0.32,0.33,0.36,0.39,0.42,0.42,0.43,0.48,0.55,0.59,0.63,0.68,0.71,0.72,0.7,0.65,0.61,0.62,0.64,0.6,0.54,0.53,0.51,0.47,0.45,0.44,0.42,0.41,0.44,0.44,0.43,0.45,0.49,0.5,0.5,0.5,0.48,0.46,0.48,0.48,0.45,0.46,0.52,0.57,0.59,0.7,0.72,0.73,0.72,0.67,0.65,0.66,0.66,0.63,0.61,0.6,0.61,0.64,0.65,0.61,0.56,0.53,0.51,0.51,0.52,0.51,0.49,0.5,0.52,0.51,0.51,0.54,0.55,0.53,0.52,0.48,0.42,0.38,0.38,0.38,0.4,0.46,0.5,0.55,0.66,0.78,0.83,0.84,0.86,0.87,0.85,0.82,0.75,0.65,0.57,0.52,0.46,0.41,0.37,0.27,0.12,-0.05,-0.2,-0.37,-0.53,-0.68,-0.84,-0.99,-1.07,-1.11,-1.07,-1.01,-0.93,-0.86,-0.83,-0.74,-0.59,-0.41,-0.24,-0.11,-0.02,0.07,0.18,0.29,0.38,0.5,0.65,0.78,0.88,0.92,0.91,0.88,0.89,0.89,0.82,0.75,0.74,0.76,0.78,0.79,0.78,0.78,0.81,0.85,0.83,0.79,0.75,0.71,0.67,0.62,0.54,0.4,0.25,0.13,0.0,-0.13,-0.24,-0.39,-0.57,-0.71,-0.82,-0.91,-0.94,-0.95,-0.95,-0.97,-1.01,-1.04,-1.05,-1.02,-0.97,-0.94,-0.93,-0.93,-0.92,-0.88,-0.81,-0.78,-0.76,-0.74,-0.72,-0.74,-0.78,-0.82,-0.86,-0.9,-0.93,-0.96,-1.01,-1.04,-1.06,-1.1,-1.15,-1.18,-1.19,-1.2,-1.19,-1.18,-1.15,-1.1,-1.03,-0.97,-0.93,-0.88,-0.81,-0.76,-0.73,-0.68,-0.65,-0.61,-0.56,-0.51,-0.48,-0.43,-0.36,-0.3,-0.27,-0.21,-0.14,-0.08,-0.02,0.05,0.1,0.13,0.2,0.27,0.32,0.35,0.39,0.43,0.49,0.57,0.64,0.7,0.78,0.86,0.89,0.88,0.85,0.81,0.79,0.79,0.78,0.75,0.74,0.73,0.71,0.69,0.67,0.62,0.54,0.47,0.41,0.36,0.32,0.27,0.23,0.2,0.16,0.13,0.14,0.19,0.22,0.24,0.27,0.29,0.26,0.25,0.25,0.25,0.26,0.31,0.36,0.35,0.33,0.32,0.31,0.29,0.28,0.31,0.37,0.44,0.5,0.51,0.51,0.5,0.44,0.37,0.33,0.34,0.33,0.3,0.24,0.14,0.05,-0.01,-0.08,-0.19,-0.29,-0.37,-0.47,-0.58,-0.65,-0.71,-0.77,-0.8,-0.81,-0.84,-0.83,-0.78,-0.77,-0.78,-0.79,-0.77,-0.76,-0.73,-0.68,-0.62,-0.58,-0.53,-0.49,-0.46,-0.42,-0.37,-0.33,-0.3,-0.26,-0.26,-0.28,-0.24,-0.13,-0.02,0.1,0.22,0.36,0.49,0.6,0.69,0.76,0.81,0.84,0.84,0.84,0.84,0.81,0.75,0.68,0.6,0.55,0.5,0.44,0.33,0.21,0.09,-0.04,-0.15,-0.22,-0.29,-0.38,-0.42,-0.45,-0.54,-0.68,-0.78,-0.88,-1.02,-1.17,-1.31,-1.42,-1.51,-1.6,-1.7,-1.69,-1.52,-1.3,-1.07,-0.75,-0.19,0.57,1.37,2.04,2.52,2.95,3.43,3.95,4.43,4.8,5.09,5.3,5.46,5.49,5.39,5.19,5.04,4.9,4.72,4.47,4.18,3.93,3.69,3.45,3.17,2.85,2.54,2.3,2.06,1.78,1.54,1.4,1.32,1.27,1.2,1.15,1.16,1.2,1.18,1.07,1.0,1.05,1.15,1.24,1.28,1.36,1.57,1.91,2.31,2.71,3.18,3.67,4.2,4.72,5.17,5.54,5.82,6.07,6.33,6.6,6.8,6.91,6.96,7.04,7.12,7.14,7.1,7.05,6.97,6.85,6.7,6.53,6.34,6.11,5.91,5.72,5.48,5.23,4.97,4.7,4.44,4.19,3.91,3.57,3.2,2.91,2.64,2.31,1.93,1.51,1.13,0.82,0.51,0.17,-0.14,-0.46,-0.81,-1.1,-1.32,-1.54,-1.77,-1.97,-2.15,-2.34,-2.46,-2.47,-2.45,-2.51,-2.59,-2.62,-2.61,-2.56,-2.53,-2.54,-2.51,-2.51,-2.7,-3.07,-3.34,-3.52,-3.78,-4.07,-4.35,-4.65,-4.96,-5.21,-5.43,-5.66,-5.91,-6.2,-6.44,-6.58,-6.66,-6.75,-6.8,-6.76,-6.73,-6.72,-6.66,-6.54,-6.4,-6.28,-6.2,-6.15,-6.07,-5.94,-5.85,-5.83,-5.85,-5.85,-5.82,-5.83,-5.88,-5.93,-5.93,-5.97,-6.07,-6.15,-6.22,-6.32,-6.46,-6.63,-6.87,-7.1,-7.33,-7.62,-7.86,-7.94,-7.98,-8.13,-8.28,-8.31,-8.28,-8.27,-8.26,-8.24,-8.22,-8.19,-8.18,-8.21,-8.21,-8.17,-8.19,-8.23,-8.18,-8.08,-8.03,-8.01,-7.9,-7.76,-7.63,-7.5,-7.32,-7.14,-6.96,-6.72,-6.46,-6.25,-6.04,-5.74,-5.4,-5.21,-5.22,-5.32,-5.34,-5.34,-5.3,-5.16,-5.01,-4.9,-4.86,-4.89,-4.97,-4.97,-4.91,-4.89,-4.91,-4.9,-4.9,-5.0,-5.15,-5.24,-5.31,-5.55,-5.93,-6.3,-6.62,-7.09,-7.59,-7.93,-8.12,-8.21,-8.32,-8.63,-9.13,-9.69,-10.23,-11.08,-12.27,-13.09,-12.84,-12.09,-11.05,-9.66,-8.23,-6.92,-6.02,-5.34,-4.7,-3.92,-2.99,-1.99,-0.9,0.19,1.14,1.86,2.59,3.44,4.18,4.7,5.12,5.58,6.1,6.62,7.02,7.32,7.49,7.66,7.82,7.85,7.8,7.8,7.78,7.51,7.12,6.82,6.63,6.41,6.16,5.93,5.66,5.39,5.19,5.07,4.96,4.87,4.8,4.69,4.58,4.51,4.43,4.34,4.32,4.25,3.99,3.71,3.64,3.71,3.69,3.67,3.84,4.23,4.65,5.02,5.37,5.68,5.9,6.13,6.43,6.69,6.83,6.97,7.15,7.3,7.41,7.51,7.63,7.77,7.92,8.0,8.01,8.01,8.02,8.03,8.04,7.99,7.84,7.67,7.56,7.44,7.17,6.81,6.57,6.49,6.4,6.26,6.2,6.25,6.32,6.37,6.42,6.47,6.54,6.63,6.7,6.66,6.52,6.31,6.1,6.04,6.1,6.0</t>
  </si>
  <si>
    <t>To_Avoid_Formula3,5.81,5.61,5.41,5.05,4.59,4.23,3.94,3.61,3.34,3.2,3.03,2.85,2.78,2.74,2.58,2.35,2.23,2.23,2.26,2.28,2.32,2.39,2.51,2.63,2.71,2.72,2.69,2.65,2.62,2.61,2.66,2.79,2.97,3.2,3.46,3.68,3.8,3.86,3.96,4.05,4.07,4.18,4.37,4.44,4.32,4.19,4.15,4.13,4.03,3.87,3.74,3.74,3.81,3.95,3.96,3.79,3.65,3.74,3.83,3.64,3.22,2.8,2.5,2.16,1.66,1.07,0.64,0.44,0.33,0.23,0.14,0.08,0.1,0.25,0.42,0.33,0.0,-0.37,-0.65,-1.08,-1.71,-2.36,-2.74,-3.02,-3.27,-3.41,-3.61,-3.96,-4.39,-4.72,-4.99,-5.26,-5.54,-5.73,-5.85,-6.0,-6.14,-6.1,-5.79,-5.37,-4.98,-4.72,-4.54,-4.35,-4.09,-3.84,-3.65,-3.48,-3.3,-3.14,-3.03,-3.04,-3.07,-3.21,-3.51,-3.81,-4.07,-4.24,-4.27,-4.15,-3.87,-3.42,-2.81,-2.11,-1.41,-0.79,-0.31,0.05,0.29,0.61,1.0,1.35,1.69,2.03,2.33,2.56,2.85,3.15,3.33,3.44,3.6,3.72,3.72,3.67,3.62,3.43,3.14,2.92,2.76,2.48,2.02,1.53,1.27,1.36,1.63,1.95,2.26,2.59,2.84,3.03,3.32,3.6,3.65,3.64,3.8,4.07,4.25,4.34,4.45,4.6,4.79,4.92,4.87,4.73,4.65,4.58,4.46,4.44,4.53,4.6,4.6,4.57,4.52,4.53,4.73,4.93,4.91,4.86,5.08,5.38,5.46,5.43,5.51,5.63,5.69,5.63,5.42,5.16,5.03,4.98,4.84,4.63,4.48,4.43,4.41,4.31,4.02,3.65,3.38,3.19,2.9,2.52,2.15,1.83,1.61,1.4,1.13,0.76,0.37,0.04,-0.27,-0.58,-0.87,-1.11,-1.29,-1.39,-1.47,-1.63,-1.82,-1.95,-2.05,-2.15,-2.24,-2.39,-2.59,-2.71,-2.74,-2.79,-2.9,-3.01,-3.07,-3.08,-3.07,-3.07,-3.11,-3.17,-3.17,-3.15,-3.15,-3.18,-3.25,-3.36,-3.46,-3.58,-3.73,-3.87,-3.95,-4.02,-4.11,-4.24,-4.38,-4.49,-4.56,-4.63,-4.75,-4.84,-4.92,-5.03,-5.17,-5.29,-5.37,-5.43,-5.49,-5.6,-5.75,-5.88,-6.0,-6.14,-6.34,-6.55,-6.74,-6.91,-7.09,-7.31,-7.52,-7.67,-7.72,-7.75,-7.81,-7.86,-7.86,-7.81,-7.72,-7.62,-7.55,-7.49,-7.42,-7.34,-7.27,-7.17,-7.03,-6.9,-6.73,-6.5,-6.29,-6.11,-5.93,-5.7,</t>
  </si>
  <si>
    <t>To_Avoid_Formula-0.25,-0.3,-0.31,-0.28,-0.3,-0.37,-0.43,-0.45,-0.47,-0.48,-0.43,-0.34,-0.23,-0.11,-0.01,0.1,0.23,0.41,0.55,0.64,0.7,0.74,0.74,0.71,0.63,0.54,0.5,0.47,0.38,0.23,0.14,0.08,0.01,-0.05,-0.09,-0.12,-0.13,-0.07,-0.03,-0.04,0.0,0.08,0.16,0.19,0.22,0.24,0.26,0.3,0.29,0.19,0.09,0.07,0.03,-0.06,-0.2,-0.24,-0.26,-0.27,-0.33,-0.37,-0.35,-0.31,-0.32,-0.36,-0.38,-0.38,-0.36,-0.35,-0.4,-0.46,-0.48,-0.49,-0.51,-0.52,-0.51,-0.47,-0.41,-0.34,-0.3,-0.24,-0.12,0.01,0.09,0.12,0.12,0.12,0.13,0.13,0.05,-0.04,-0.06,-0.03,0.01,0.1,0.2,0.27,0.32,0.4,0.46,0.5,0.52,0.5,0.42,0.34,0.29,0.25,0.2,0.16,0.08,-0.07,-0.21,-0.35,-0.55,-0.77,-1.0,-1.22,-1.44,-1.65,-1.8,-1.82,-1.68,-1.49,-1.34,-1.27,-1.12,-0.82,-0.45,-0.13,0.08,0.2,0.34,0.54,0.74,0.9,1.05,1.22,1.36,1.42,1.42,1.38,1.31,1.25,1.19,1.09,0.99,0.95,0.95,0.9,0.83,0.77,0.72,0.69,0.64,0.54,0.42,0.34,0.28,0.21,0.16,0.1,0.03,-0.05,-0.13,-0.22,-0.31,-0.37,-0.44,-0.55,-0.66,-0.72,-0.74,-0.71,-0.66,-0.61,-0.57,-0.53,-0.49,-0.48,-0.47,-0.45,-0.44,-0.44,-0.48,-0.54,-0.58,-0.57,-0.57,-0.59,-0.58,-0.53,-0.49,-0.48,-0.5,-0.53,-0.57,-0.58,-0.61,-0.64,-0.65,-0.6,-0.51,-0.42,-0.32,-0.17,0.01,0.22,0.38,0.47,0.53,0.58,0.6,0.56,0.5,0.44,0.41,0.38,0.37,0.33,0.29,0.31,0.34,0.35,0.35,0.38,0.4,0.41,0.45,0.52,0.58,0.68,0.79,0.87,0.91,0.97,1.04,1.05,1.0,0.95,0.9,0.86,0.86,0.85,0.82,0.78,0.77,0.72,0.62,0.52,0.43,0.38,0.39,0.38,0.34,0.31,0.32,0.35,0.37,0.37,0.3,0.19,0.1,0.01,-0.08,-0.13,-0.15,-0.15,-0.15,-0.17,-0.18,-0.17,-0.11,-0.08,-0.1,-0.14,-0.18,-0.24,-0.3,-0.33,-0.35,-0.35,-0.29,-0.25,-0.27,-0.28,-0.26,-0.24,-0.26,-0.28,-0.27,-0.22,-0.17,-0.14,-0.17,-0.23,-0.28,-0.37,-0.48,-0.56,-0.61,-0.67,-0.73,-0.79,-0.88,-0.98,-1.04,-1.07,-1.12,-1.16,-1.17,-1.18,-1.17,-1.13,-1.09,-1.06,-1.01,-0.92,-0.84,-0.75,-0.62,-0.52,-0.45,-0.39,-0.33,-0.27,-0.22,-0.14,-0.09,-0.07,-0.03,0.02,0.08,0.12,0.16,0.17,0.19,0.24,0.31,0.4,0.58,0.75,0.87,0.97,1.06,1.14,1.17,1.13,1.03,0.92,0.84,0.75,0.65,0.54,0.42,0.32,0.22,0.13,0.02,-0.08,-0.14,-0.19,-0.3,-0.44,-0.54,-0.59,-0.56,-0.49,-0.45,-0.45,-0.42,-0.36,-0.36,-0.46,-0.59,-0.75,-0.97,-1.27,-1.57,-1.92,-2.32,-2.72,-3.06,-3.29,-3.35,-3.23,-2.94,-2.38,-1.43,-0.19,1.09,2.18,2.93,3.55,4.19,4.86,5.43,5.81,6.01,6.08,6.06,5.88,5.53,5.09,4.7,4.26,3.79,3.25,2.75,2.35,1.98,1.64,1.32,1.04,0.8,0.61,0.38,0.07,-0.18,-0.3,-0.34,-0.4,-0.53,-0.67,-0.75,-0.85,-1.12,-1.57,-1.97,-2.2,-2.34,-2.42,-2.44,-2.34,-2.09,-1.69,-1.22,-0.76,-0.23,0.3,0.81,1.26,1.61,1.89,2.06,2.16,2.19,2.18,2.12,2.05,1.95,1.8,1.61,1.43,1.27,1.11,0.94,0.73,0.53,0.36,0.18,-0.06,-0.3,-0.51,-0.75,-0.99,-1.25,-1.52,-1.79,-2.0,-2.22,-2.49,-2.78,-2.97,-3.12,-3.28,-3.41,-3.55,-3.66,-3.7,-3.7,-3.71,-3.67,-3.6,-3.54,-3.5,-3.45,-3.43,-3.43,-3.43,-3.44,-3.48,-3.42,-3.21,-2.97,-2.79,-2.61,-2.4,-2.16,-1.87,-1.65,-1.55,-1.43,-1.26,-1.23,-1.36,-1.35,-1.18,-0.99,-0.81,-0.59,-0.36,-0.1,0.27,0.7,1.06,1.34,1.53,1.77,1.91,1.88,1.69,1.41,1.19,0.91,0.54,0.12,-0.23,-0.54,-0.75,-0.9,-1.01,-1.09,-1.09,-0.97,-0.83,-0.77,-0.75,-0.72,-0.7,-0.72,-0.77,-0.83,-0.94,-1.09,-1.2,-1.27,-1.38,-1.49,-1.57,-1.6,-1.56,-1.46,-1.43,-1.42,-1.27,-1.03,-0.82,-0.61,-0.39,-0.22,-0.11,0.0,0.08,0.08,0.06,-0.01,-0.12,-0.18,-0.17,-0.23,-0.32,-0.29,-0.16,-0.08,-0.02,0.15,0.32,0.36,0.43,0.67,0.99,1.33,1.71,2.1,2.46,2.78,3.1,3.41,3.57,3.44,3.08,2.75,2.55,2.46,2.41,2.3,2.15,2.02,1.91,1.81,1.75,1.74,1.73,1.81,1.93,1.95,1.89,1.85,1.81,1.63,1.33,1.07,0.86,0.51,-0.11,-0.66,-0.96,-1.16,-1.32,-1.46,-1.6,-1.77,-1.95,-2.07,-2.36,-2.89,-3.25,-3.08,-2.89,-2.72,-2.09,-1.08,-0.1,0.44,0.78,1.04,1.22,1.49,2.04,2.94,4.08,4.9,5.2,5.43,5.78,6.05,6.12,6.15,6.29,6.49,6.68,6.73,6.58,6.22,5.85,5.54,5.04,4.4,3.86,3.48,3.03,2.46,1.91,1.51,1.14,0.77,0.34,-0.13,-0.59,-0.97,-1.21,-1.4,-1.63,-1.92,-2.27,-2.6,-2.87,-3.19,-3.55,-3.75,-3.81,-3.98,-4.14,-4.06,-3.72,-3.33,-3.02,-2.86,-2.75,-2.56,-2.24,-1.82,-1.56,-1.6,-1.69,-1.58,-1.32,-1.11,-0.94,-0.75,-0.48,-0.19,0.03,0.18,0.32,0.45,0.45,0.31,0.11,-0.12,-0.4,-0.67,-0.9,-1.12,-1.3,-1.38,-1.4,-1.44,-1.47,-1.43,</t>
  </si>
  <si>
    <t>To_Avoid_Formula-1.36,-1.29,-1.21,-1.07,-0.93,-0.82,-0.7,-0.48,-0.2,0.05,0.22,0.3,0.27,0.08,-0.33,-0.88,-1.27,-1.43,-1.59,-1.88,-2.14,-2.29,-2.42,-2.51,-2.49,-2.45,-2.49,-2.47,-2.3,-2.23,-2.29,-2.27,-2.16,-2.12,-2.13,-2.07,-1.93,-1.76,-1.49,-1.16,-0.84,-0.55,-0.17,0.29,0.78,1.24,1.62,1.93,2.24,2.54,2.71,2.72,2.71,2.75,2.74,2.53,2.3,2.22,2.2,2.18,2.24,2.42,2.61,2.78,2.98,3.17,3.27,3.3,3.24,3.04,2.71,2.29,1.88,1.53,1.1,0.52,-0.03,-0.31,-0.33,-0.25,-0.24,-0.24,-0.13,0.1,0.34,0.41,0.34,0.2,0.02,-0.22,-0.59,-1.03,-1.32,-1.42,-1.6,-1.86,-1.95,-1.83,-1.8,-1.94,-2.11,-2.22,-2.41,-2.69,-2.88,-3.1,-3.44,-3.84,-4.15,-4.42,-4.68,-4.84,-4.79,-4.6,-4.46,-4.34,-3.99,-3.33,-2.58,-1.87,-1.28,-0.75,-0.26,0.25,0.75,1.14,1.34,1.43,1.53,1.63,1.61,1.58,1.53,1.5,1.59,1.67,1.71,1.76,1.93,2.26,2.73,3.18,3.55,3.89,4.27,4.57,4.66,4.5,4.32,4.15,3.93,3.81,3.79,3.74,3.65,3.69,3.8,3.8,3.78,3.9,4.0,3.87,3.56,3.24,2.82,2.27,1.76,1.3,0.79,0.22,-0.26,-0.55,-0.63,-0.51,-0.2,0.27,0.77,1.14,1.43,1.96,2.57,2.9,2.98,3.09,3.3,3.36,3.19,2.85,2.42,2.01,1.61,1.06,0.35,-0.3,-0.8,-1.21,-1.36,-1.3,-1.25,-1.33,-1.43,-1.4,-1.12,-0.68,-0.36,-0.31,-0.26,0.09,0.42,0.4,0.22,0.19,0.18,0.07,-0.2,-0.63,-1.08,-1.3,-1.38,-1.54,-1.81,-2.02,-2.11,-2.14,-2.25,-2.54,-2.92,-3.24,-3.48,-3.78,-4.04,-4.25,-4.44,-4.6,-4.72,-4.84,-5.0,-5.16,-5.29,-5.41,-5.46,-5.41,-5.28,-5.08,-4.78,-4.44,-4.19,-4.04,-3.86,-3.65,-3.46,-3.29,-3.18,-3.12,-2.99,-2.79,-2.61,-2.46,-2.33,-2.18,-2.03,-1.8,-1.55,-1.36,-1.23,-1.08,-0.86,-0.6,-0.38,-0.27,-0.22,-0.16,-0.11,-0.11,-0.11,-0.06,0.01,0.04,0.04,0.0,-0.03,0.0,0.06,0.1,0.18,0.28,0.33,0.35,0.41,0.52,0.62,0.68,0.66,0.62,0.61,0.63,0.57,0.45,0.34,0.29,0.25,0.18,0.05,-0.09,-0.11,0.01,0.15,0.25,0.38,0.57,0.83,1.12,1.42,1.66,1.82,1.96,2.08,2.17,2.22,2.25,2.26,2.31,2.43,2.51,2.56,2.62,2.77,</t>
  </si>
  <si>
    <t>To_Avoid_Formula-1.53,-1.42,-1.28,-1.18,-1.1,-1.0,-0.89,-0.85,-0.93,-1.08,-1.25,-1.43,-1.6,-1.81,-2.09,-2.36,-2.61,-2.89,-3.16,-3.42,-3.7,-3.94,-4.05,-4.07,-4.1,-4.12,-4.09,-4.01,-3.85,-3.59,-3.33,-3.11,-2.85,-2.58,-2.37,-2.24,-2.16,-2.14,-2.16,-2.17,-2.22,-2.35,-2.53,-2.71,-2.96,-3.21,-3.45,-3.61,-3.72,-3.73,-3.63,-3.52,-3.34,-3.07,-2.52,-2.27,-2.03,-1.86,-1.69,-1.49,-1.28,-1.18,-1.13,-1.13,-1.17,-1.2,-1.25,-1.37,-1.54,-1.68,-1.76,-1.75,-1.66,-1.57,-1.58,-1.61,-1.59,-1.6,-1.66,-1.77,-1.96,-2.21,-2.44,-2.61,-2.75,-2.93,-3.1,-3.21,-3.19,-3.0,-2.81,-2.72,-2.66,-2.57,-2.46,-2.35,-2.24,-2.17,-2.21,-2.27,-2.29,-2.34,-2.42,-2.6,-2.88,-3.12,-3.24,-3.32,-3.45,-3.55,-3.58,-3.52,-3.35,-3.03,-2.65,-2.27,-1.82,-1.28,-0.77,-0.37,-0.17,-0.08,0.06,0.27,0.44,0.44,0.26,0.05,-0.16,-0.37,-0.62,-1.03,-1.61,-2.21,-2.64,-2.85,-2.94,-3.04,-3.19,-3.33,-3.26,-3.01,-2.81,-2.77,-2.79,-2.79,-2.68,-2.45,-2.21,-2.06,-1.94,-1.79,-1.65,-1.5,-1.33,-1.25,-1.24,-1.2,-1.16,-1.18,-1.26,-1.36,-1.5,-1.62,-1.72,-1.84,-2.02,-2.21,-2.39,-2.55,-2.69,-2.8,-2.92,-3.02,-3.05,-3.06,-3.06,-2.99,-2.89,-2.76,-2.6,-2.42,-2.23,-2.0,-1.72,-1.46,-1.22,-1.0,-0.8,-0.67,-0.55,-0.43,-0.35,-0.32,-0.3,-0.27,-0.21,-0.2,-0.29,-0.52,-0.83,-1.15,-1.47,-1.83,-2.2,-2.59,-2.89,-3.13,-3.3,-3.4,-3.49,-3.52,-3.45,-3.35,-3.21,-2.99,-2.73,-2.42,-2.05,-1.64,-1.21,-0.86,-0.59,-0.41,-0.36,-0.31,-0.36,-0.53,-0.79,-1.03,-1.26,-1.49,-1.72,-1.93,-2.11,-2.19,-2.19,-2.21,-2.23,-2.19,-2.17,-2.16,-2.06,-1.87,-1.67,-1.45,-1.23,-1.05,-0.9,-0.81,-0.81,-0.92,-1.03,-1.13,-1.3,-1.53,-1.75,-1.96,-2.17,-2.29,-2.41,-2.51,-2.57,-2.65,-2.75,-2.84,-2.89,-2.97,-3.05,-3.05,-2.97,-2.89,-2.77,-2.65,-2.59,-2.55,-2.51,-2.51,-2.5,-2.44,-2.35,-2.27,-2.2,-2.15,-2.17,-2.2,-2.2,-2.24,-2.32,-2.39,-2.43,-2.46,-2.47,-2.41,-2.33,-2.25,-2.16,-2.04,-1.88,-1.65,-1.45,-1.33,-1.24,-1.13,-1.03,-0.99,-0.99,-1.02,-1.1,-1.22,-1.35,-1.52,-1.71,-1.89,-2.09,-2.29,-2.47,-2.63,-2.81,-3.01,-3.16,-3.26,-3.33,-3.37,-3.35,-3.28,-3.17,-3.03,-2.93,-2.89,-2.84,-2.74,-2.64,-2.52,-2.38,-2.29,-2.36,-2.55,-2.82,-3.01,-3.12,-3.23,-3.34,-3.42,-3.35,-3.16,-2.91,-2.69,-2.54,-2.43,-2.27,-1.94,-1.5,-1.03,-0.74,-0.56,-0.38,-0.2,-0.08,-0.1,-0.19,-0.32,-0.49,-0.75,-1.05,-1.38,-1.71,-2.0,-2.25,-2.45,-2.63,-2.73,-2.74,-2.63,-2.38,-2.0,-1.56,-0.87,0.16,1.39,2.56,3.81,5.02,6.03,6.78,7.13,6.99,6.42,5.61,4.68,3.77,2.83,1.65,0.19,-1.38,-2.77,-4.12,-5.43,-6.52,-7.23,-7.49,-7.34,-6.87,-6.12,-5.3,-4.64,-4.13,-3.68,-3.19,-2.71,-2.43,-2.44,-2.57,-2.69,-2.79,-2.87,-2.99,-3.18,-3.51,-3.83,-4.04,-4.1,-4.04,-3.83,-3.37,-2.54,-1.52,-0.49,0.5,1.28,1.79,2.17,2.55,2.9,3.13,3.2,3.16,3.1,2.96,2.66,2.1,1.47,0.88,0.37,0.12,0.17,0.35,0.42,0.5,0.79,1.25,1.64,1.9,2.07,2.2,2.3,2.39,2.38,2.29,2.15,1.96,1.78,1.74,1.74,1.63,1.46,1.42,1.47,1.53,1.58,1.68,1.83,2.04,2.19,2.13,1.94,1.79,1.69,1.51,1.24,0.86,0.36,-0.13,-0.47,-0.68,-0.87,-1.03,-1.12,-1.04,-0.78,-0.5,-0.31,-0.18,-0.03,0.12,0.34,0.64,0.95,1.22,1.51,1.77,1.85,1.75,1.54,1.22,0.72,0.11,-0.57,-1.35,-2.16,-3.13,-4.27,-5.57,-6.9,-8.35,-9.8,-11.19,-12.11,-12.6,-12.73,-12.35,-11.72,-10.81,-9.59,-8.02,-6.22,-4.24,-2.23,-0.43,1.23,2.91,4.63,5.71,6.18,6.43,6.52,6.57,6.4,6.04,5.49,5.01,4.58,4.28,4.12,4.03,3.93,3.87,3.97,4.05,3.91,3.52,3.08,2.8,2.6,2.16,1.39,0.55,-0.13,-0.58,-0.95,-1.36,-1.69,-1.74,-1.5,-1.02,-0.43,0.13,0.57,0.98,1.57,2.29,2.94,3.43,3.69,3.85,4.08,4.43,4.62,4.46,4.02,3.5,3.0,2.45,1.8,1.13,0.66,0.3,-0.07,-0.28,-0.1,0.1,-0.06,-0.31,-0.21,0.26,0.83,1.22,1.49,1.76,2.04,2.24,2.29,2.1,1.7,1.1,0.36,-0.38,-0.9,-1.19,-1.76,-2.73,-3.57,-3.85,-3.79,-3.91,-4.21,-4.3,-3.98,-3.65,-3.85,-4.36,-4.8,-5.46,-6.74,-8.13,-8.77,-8.25,-7.16,-5.66,-4.16,-3.26,-2.69,-2.24,-1.8,-0.91,0.79,2.76,4.4,5.76,6.74,7.59,7.85,7.29,6.04,4.84,4.31,3.86,3.26,2.66,1.98,0.87,-0.24,-0.73,-0.6,0.02,0.53,0.75,0.76,0.47,-0.02,-0.45,-0.56,-0.55,-0.59,-0.66,-0.56,-0.53,-0.72,-0.9,-1.09,-1.43,-1.86,-2.03,-1.78,-1.24,-0.68,-0.15,0.53,1.19,1.56,1.58,1.52,1.39,0.97,0.34,-0.15,-0.12,0.26,0.49,0.35,-0.09,-0.42,-0.48,-0.24,0.</t>
  </si>
  <si>
    <t>To_Avoid_Formula11,0.25,0.23,0.37,0.77,1.25,1.48,1.12,0.38,-0.24,-0.47,-0.31,-0.23,-0.44,-0.69,-0.55,0.0,0.54,0.82,1.04,1.43,1.84,1.9,1.62,1.38,1.35,1.19,0.72,0.18,-0.3,-0.82,-1.48,-2.17,-2.83,-3.36,-3.67,-3.71,-3.48,-2.94,-2.13,-1.2,-0.17,0.84,1.61,2.18,2.67,3.09,3.36,3.55,3.63,3.63,3.6,3.53,3.33,2.9,2.35,1.8,1.33,0.95,0.53,0.16,0.08,0.3,0.57,0.75,0.89,1.06,1.08,0.79,0.13,-0.9,-1.92,-2.78,-3.55,-4.18,-4.55,-4.6,-4.46,-4.17,-3.71,-3.07,-2.6,-2.12,-1.47,-0.68,0.23,0.96,1.32,1.34,1.12,0.67,-0.02,-0.92,-1.75,-2.29,-2.52,-2.3,-1.74,-1.3,-0.93,-0.12,1.29,2.57,3.14,3.17,3.19,3.25,3.01,2.14,0.63,-0.82,-1.98,-2.98,-3.57,-3.84,-4.17,-4.64,-4.63,-3.84,-2.66,-1.88,-1.75,-1.52,-0.83,0.08,0.42,0.44,0.53,0.74,0.92,0.69,0.07,-0.6,-0.86,-0.73,-0.27,0.44,1.2,1.94,2.83,3.75,4.17,4.11,3.74,3.2,2.59,1.92,1.28,0.56,-0.32,-1.18,-1.6,-1.58,-1.45,-1.49,-1.57,-1.58,-1.68,-2.1,-2.75,-3.24,-3.43,-3.44,-3.42,-3.38,-3.41,-3.42,-3.33,-3.16,-3.15,-3.31,-3.29,-2.8,-1.74,-0.23,1.3,2.39,3.11,3.74,4.4,4.9,5.0,4.72,4.27,3.92,3.67,3.45,3.21,2.81,2.21,1.63,1.38,1.36,1.29,1.04,0.78,0.73,1.01,1.43,1.72,1.68,1.36,0.84,0.24,-0.65,-1.93,-3.35,-4.52,-5.35,-6.02,-6.45,-6.69,-6.84,-6.66,-6.07,-5.21,-4.2,-3.01,-1.71,-0.24,1.31,2.58,3.36,3.86,4.51,5.09,5.09,4.31,3.18,2.15,1.32,0.33,-0.97,-2.22,-3.04,-3.55,-3.84,-3.93,-3.87,-3.84,-3.77,-3.39,-2.75,-2.2,-1.85,-1.47,-0.95,-0.36,0.05,0.21,0.3,0.51,0.81,1.08,1.18,1.04,0.86,0.92,1.24,1.57,1.7,1.7,1.71,1.84,2.03,2.08,1.95,1.63,1.2,0.78,0.5,0.25,0.0,-0.32,-0.66,-0.88,-0.98,-1.06,-1.23,-1.43,-1.48,-1.4,-1.33,-1.21,-0.96,-0.59,-0.28,-0.17,-0.14,0.02,0.17,0.21,0.11,-0.01,-0.07,-0.09,-0.12,-0.11,-0.07,-0.08,-0.15,-0.14,-0.02,0.09,0.15,0.23,0.38,0.56,0.71,0.75,0.7,0.67,0.67,0.58,0.43,0.3,0.24,0.24,0.21,0.07,-0.13,-0.24,-0.22,-0.19,-0.19,-0.18,-0.13,-0.01,0.17,0.3,0.31,0.21,0.07,-0.11,-0.29,-0.54,-0.9,-1.34,-1.71,-1.94,-2.11,-2.33,-2.57,-2.72,-2.69,-2.54,-2.38,-2.23,-2.02,-1.74,-1.46,-1.21,</t>
  </si>
  <si>
    <t>To_Avoid_Formula49.13,49.13,49.13,49.13,49.13,49.13,49.14,49.14,49.14,49.14,49.14,49.14,49.14,49.14,49.14,49.14,49.14,49.14,49.14,49.14,49.14,49.14,49.14,49.14,49.14,49.14,49.14,49.14,49.14,49.14,49.14,49.14,49.14,49.15,49.15,49.15,49.15,49.15,49.15,49.15,49.15,49.15,49.15,49.15,49.15,49.15,49.15,49.15,49.15,49.15,49.15,49.15,49.15,49.15,49.15,49.15,49.15,49.15,49.16,49.16,49.16,49.16,49.16,49.16,49.16,49.16,49.16,49.16,49.16,49.16,49.16,49.16,49.16,49.16,49.16,49.16,49.16,49.16,49.16,49.16,49.16,49.16,49.16,49.16,49.17,49.17,49.17,49.17,49.17,49.17,49.17,49.17,49.17,49.17,49.17,49.17,49.17,49.17,49.17,49.17,49.17,49.17,49.17,49.17,49.17,49.17,49.17,49.17,49.17,49.18,49.18,49.18,49.18,49.18,49.18,49.18,49.18,49.18,49.18,49.18,49.18,49.18,49.18,49.18,49.18,49.18,49.18,49.18,49.18,49.18,49.18,49.18,49.18,49.19,49.19,49.19,49.19,49.19,49.19,49.19,49.19,49.19,49.19,49.19,49.19,49.19,49.19,49.19,49.19,49.19,49.19,49.19,49.19,49.19,49.19,49.19,49.19,49.2,49.2,49.2,49.2,49.2,49.2,49.2,49.2,49.2,49.2,49.2,49.2,49.2,49.2,49.2,49.2,49.2,49.2,49.2,49.2,49.2,49.2,49.2,49.2,49.21,49.21,49.21,49.21,49.21,49.21,49.21,49.21,49.21,49.21,49.21,49.21,49.21,49.21,49.21,49.21,49.21,49.21,49.21,49.21,49.21,49.21,49.21,49.22,49.22,49.22,49.22,49.22,49.22,49.22,49.22,49.22,49.22,49.22,49.22,49.22,49.22,49.22,49.22,49.22,49.22,49.22,49.22,49.22,49.22,49.23,49.23,49.23,49.23,49.23,49.23,49.23,49.23,49.23,49.23,49.23,49.23,49.23,49.23,49.23,49.23,49.23,49.23,49.23,49.23,49.23,49.23,49.23,49.24,49.24,49.24,49.24,49.24,49.24,49.24,49.24,49.24,49.24,49.24,49.24,49.24,49.24,49.24,49.24,49.24,49.24,49.24,49.24,49.24,49.24,49.24,49.24,49.25,49.25,49.25,49.25,49.25,49.25,49.25,49.25,49.25,49.25,49.25,49.25,49.25,49.25,49.25,49.25,49.25,49.25,49.25,49.25,49.25,49.25,49.25,49.26,49.26,49.26,49.26,49.26,49.26,49.26,49.26,49.26,49.26,49.26,49.26,49.26,49.26,49.26,49.26,49.26,49.26,49.26,49.26,49.26,49.26,49.26,49.26,49.27,49.27,49.27,49.27,49.27,49.27,49.27,49.27,49.27,49.27,49.27,49.27,49.27,49.27,49.27,49.27,49.27,49.27,49.27,49.27,49.27,49.27,49.27,49.27,49.28,49.28,49.28,49.28,49.28,49.28,49.28,49.28,49.28,49.28,49.28,49.28,49.28,49.28,49.28,49.28,49.28,49.28,49.28,49.28,49.28,49.28,49.28,49.28,49.28,49.28,49.29,49.29,49.29,49.29,49.29,49.29,49.29,49.29,49.29,49.29,49.29,49.29,49.29,49.29,49.29,49.29,49.29,49.29,49.29,49.29,49.29,49.29,49.29,49.29,49.29,49.3,49.3,49.3,49.3,49.3,49.3,49.3,49.3,49.3,49.3,49.3,49.3,49.3,49.3,49.3,49.3,49.3,49.3,49.3,49.3,49.3,49.3,49.3,49.3,49.3,49.3,49.31,49.31,49.31,49.31,49.31,49.31,49.31,49.31,49.31,49.31,49.31,49.31,49.31,49.31,49.31,49.31,49.31,49.31,49.31,49.31,49.31,49.31,49.31,49.31,49.31,49.31,49.31,49.32,49.32,49.32,49.32,49.32,49.32,49.32,49.32,49.32,49.32,49.32,49.32,49.32,49.32,49.32,49.32,49.32,49.32,49.32,49.32,49.32,49.32,49.32,49.32,49.32,49.32,49.32,49.33,49.33,49.33,49.33,49.33,49.33,49.33,49.33,49.33,49.33,49.33,49.33,49.33,49.33,49.33,49.33,49.33,49.33,49.33,49.33,49.33,49.33,49.33,49.33,49.33,49.33,49.34,49.34,49.34,49.34,49.34,49.34,49.34,49.34,49.34,49.34,49.34,49.34,49.34,49.34,49.34,49.34,49.34,49.34,49.34,49.34,49.34,49.34,49.34,49.34,49.34,49.34,49.35,49.35,49.35,49.35,49.35,49.35,49.35,49.35,49.35,49.35,49.35,49.35,49.35,49.35,49.35,49.35,49.35,49.35,49.35,49.35,49.35,49.35,49.35,49.35,49.35,49.36,49.36,49.36,49.36,49.36,49.36,49.36,49.36,49.36,49.36,49.36,49.36,49.36,49.36,49.36,49.36,49.36,49.36,49.36,49.36,49.36,49.36,49.36,49.36,49.37,49.37,49.37,49.37,49.37,49.37,49.37,49.37,49.37,49.37,49.37,49.37,49.37,49.37,49.37,49.37,49.37,49.37,49.37,49.37,49.37,49.37,49.37,49.38,49.38,49.38,49.38,49.38,49.38,49.38,49.38,49.38,49.38,49.38,49.38,49.38,49.38,49.38,49.38,49.38,49.38,49.38,49.38,49.38,49.38,49.38,49.39,49.39,49.39,49.39,49.39,49.39,49.39,49.39,49.39,49.39,49.39,49.39,49.39,49.39,49.39,49.39,49.39,49.39,49.39,49.39,49.39,49.4,49.4,49.4,49.4,49.4,49.4,49.4,49.4,49.4,49.4,49.4,49.4,49.4,49.4,49.4,49.4,49.4,49.4,49.4,49.4,49.4,49.41,4</t>
  </si>
  <si>
    <t>To_Avoid_Formula9.41,49.41,49.41,49.41,49.41,49.41,49.41,49.41,49.41,49.41,49.41,49.41,49.41,49.41,49.41,49.41,49.41,49.41,49.42,49.42,49.42,49.42,49.42,49.42,49.42,49.42,49.42,49.42,49.42,49.42,49.42,49.42,49.42,49.42,49.42,49.42,49.42,49.43,49.43,49.43,49.43,49.43,49.43,49.43,49.43,49.43,49.43,49.43,49.43,49.43,49.43,49.43,49.43,49.43,49.43,49.43,49.44,49.44,49.44,49.44,49.44,49.44,49.44,49.44,49.44,49.44,49.44,49.44,49.44,49.44,49.44,49.44,49.44,49.44,49.45,49.45,49.45,49.45,49.45,49.45,49.45,49.45,49.45,49.45,49.45,49.45,49.45,49.45,49.45,49.45,49.45,49.45,49.45,49.46,49.46,49.46,49.46,49.46,49.46,49.46,49.46,49.46,49.46,49.46,49.46,49.46,49.46,49.46,49.46,49.46,49.46,49.47,49.47,49.47,49.47,49.47,49.47,49.47,49.47,49.47,49.47,49.47,49.47,49.47,49.47,49.47,49.47,49.47,49.47,49.47,49.48,49.48,49.48,49.48,49.48,49.48,49.48,49.48,49.48,49.48,49.48,49.48,49.48,49.48,49.48,49.48,49.48,49.48,49.49,49.49,49.49,49.49,49.49,49.49,49.49,49.49,49.49,49.49,49.49,49.49,49.49,49.49,49.49,49.49,49.49,49.49,49.49,49.49,49.5,49.5,49.5,49.5,49.5,49.5,49.5,49.5,49.5,49.5,49.5,49.5,49.5,49.5,49.5,49.5,49.5,49.5,49.5,49.5,49.51,49.51,49.51,49.51,49.51,49.51,49.51,49.51,49.51,49.51,49.51,49.51,49.51,49.51,49.51,49.51,49.51,49.51,49.51,49.51,49.52,49.52,49.52,49.52,49.52,49.52,49.52,49.52,49.52,49.52,49.52,49.52,49.52,49.52,49.52,49.52,49.52,49.52,49.52,49.52,49.52,49.53,49.53,49.53,49.53,49.53,49.53,49.53,49.53,49.53,49.53,49.53,49.53,49.53,49.53,49.53,49.53,49.53,49.53,49.53,49.53,49.53,49.53,49.54,49.54,49.54,49.54,49.54,49.54,49.54,49.54,49.54,49.54,49.54,49.54,49.54,49.54,49.54,49.54,49.54,49.54,49.54,49.54,49.54,49.54,49.54,49.55,49.55,49.55,49.55,49.55,49.55,49.55,49.55,49.55,49.55,49.55,49.55,49.55,49.55,49.55,49.55,49.55,49.55,49.55,49.55,49.55,49.55,49.55,49.55,49.56,49.56,49.56,49.56,49.56,49.56,49.56,49.56,49.56,49.56,49.56,49.56,49.56,49.56,49.56,49.56,49.56,49.56,49.56,49.56,49.56,49.56,49.56,49.56,49.56,49.57,49.57,49.57,49.57,49.57,49.57,49.57,49.57,49.57,49.57,49.57,49.57,49.57,49.57,49.57,49.57,49.57,49.57,49.57,49.57,49.57,49.57,49.57,49.58,49.58,49.58,49.58,49.58,49.58,49.58,49.58,49.58,49.58,49.58,49.58,49.58,49.58,49.58,49.58,49.58,49.58,49.58,49.58,49.58,49.58,49.58,49.58,49.58,49.58,49.59,49.59,49.59,49.59,49.59,49.59,49.59,49.59,49.59,</t>
  </si>
  <si>
    <t>To_Avoid_Formula2.29,2.22,2.17,2.18,2.2,2.19,2.14,2.13,2.19,2.26,2.3,2.33,2.4,2.5,2.56,2.56,2.56,2.57,2.56,2.55,2.55,2.58,2.62,2.65,2.65,2.63,2.61,2.6,2.56,2.48,2.4,2.36,2.33,2.26,2.21,2.21,2.22,2.23,2.24,2.25,2.24,2.22,2.23,2.27,2.29,2.29,2.29,2.34,2.43,2.51,2.56,2.58,2.62,2.7,2.74,2.72,2.69,2.72,2.8,2.86,2.86,2.86,2.91,2.98,3.0,3.0,3.02,3.07,3.1,3.09,3.06,3.03,3.05,3.07,3.06,3.04,3.01,3.0,2.96,2.92,2.87,2.85,2.82,2.74,2.62,2.51,2.43,2.34,2.24,2.14,2.05,1.98,1.9,1.81,1.69,1.63,1.58,1.48,1.35,1.2,1.1,1.01,0.89,0.71,0.55,0.44,0.34,0.21,0.07,-0.06,-0.19,-0.34,-0.48,-0.59,-0.67,-0.78,-0.85,-0.89,-0.91,-0.92,-0.95,-0.96,-0.96,-0.97,-0.99,-1.01,-1.03,-1.06,-1.1,-1.16,-1.23,-1.31,-1.39,-1.48,-1.56,-1.63,-1.69,-1.75,-1.8,-1.84,-1.91,-2.0,-2.07,-2.12,-2.19,-2.29,-2.39,-2.45,-2.5,-2.59,-2.71,-2.8,-2.83,-2.83,-2.86,-2.92,-2.99,-3.07,-3.16,-3.26,-3.35,-3.45,-3.56,-3.65,-3.75,-3.81,-3.82,-3.82,-3.85,-3.9,-3.95,-4.01,-4.09,-4.16,-4.2,-4.19,-4.16,-4.12,-4.04,-3.92,-3.81,-3.72,-3.65,-3.6,-3.57,-3.5,-3.39,-3.29,-3.19,-3.1,-3.0,-2.92,-2.86,-2.84,-2.85,-2.89,-2.93,-2.96,-2.96,-2.91,-2.85,-2.82,-2.78,-2.7,-2.63,-2.62,-2.62,-2.56,-2.46,-2.34,-2.26,-2.2,-2.13,-2.07,-2.03,-1.99,-1.96,-1.95,-1.96,-1.96,-1.95,-1.94,-1.93,-1.91,-1.89,-1.87,-1.83,-1.79,-1.74,-1.69,-1.64,-1.57,-1.48,-1.38,-1.27,-1.16,-1.04,-0.94,-0.85,-0.74,-0.62,-0.52,-0.45,-0.39,-0.38,-0.43,-0.52,-0.63,-0.73,-0.83,-0.92,-1.0,-1.04,-1.01,-0.94,-0.87,-0.84,-0.85,-0.86,-0.84,-0.78,-0.7,-0.59,-0.47,-0.36,-0.25,-0.15,-0.05,0.03,0.08,0.12,0.16,0.23,0.32,0.4,0.46,0.54,0.62,0.7,0.75,0.79,0.84,0.88,0.93,0.98,1.04,1.12,1.18,1.23,1.24,1.15,1.07,0.99,0.92,0.87,0.79,0.71,0.62,0.53,0.45,0.4,0.38,0.38,0.37,0.38,0.4,0.44,0.47,0.49,0.53,0.54,0.53,0.5,0.47,0.47,0.51,0.56,0.59,0.6,0.65,0.72,0.76,0.75,0.73,0.72,0.7,0.7,0.69,0.68,0.69,0.72,0.74,0.73,0.71,0.69,0.65,0.61,0.57,0.52,0.45,0.37,0.3,0.23,0.17,0.1,0.03,-0.02,-0.05,-0.07,-0.06,-0.04,-0.03,0.0,0.05,0.09,0.12,0.15,0.19,0.23,0.29,0.36,0.41,0.45,0.5,0.54,0.55,0.56,0.6,0.63,0.67,0.73,0.78,0.79,0.79,0.8,0.81,0.81,0.81,0.81,0.83,0.86,0.88,0.9,0.92,0.93,0.94,0.94,0.94,0.94,0.97,1.03,1.07,1.1,1.13,1.17,1.18,1.17,1.15,1.1,1.03,1.0,1.01,1.01,1.0,0.97,0.95,0.94,0.93,0.93,0.93,0.91,0.88,0.85,0.82,0.8,0.77,0.71,0.65,0.61,0.58,0.55,0.54,0.55,0.58,0.61,0.64,0.66,0.67,0.68,0.72,0.74,0.74,0.74,0.74,0.72,0.68,0.63,0.57,0.47,0.33,0.18,0.03,-0.09,-0.21,-0.29,-0.32,-0.33,-0.34,-0.37,-0.43,-0.5,-0.55,-0.59,-0.59,-0.58,-0.55,-0.49,-0.4,-0.29,-0.21,-0.14,-0.07,-0.04,-0.07,-0.14,-0.22,-0.29,-0.34,-0.32,-0.26,-0.16,-0.09,-0.07,-0.07,-0.09,-0.12,-0.17,-0.23,-0.28,-0.31,-0.32,-0.32,-0.31,-0.32,-0.37,-0.46,-0.57,-0.68,-0.78,-0.87,-0.98,-1.06,-1.1,-1.13,-1.16,-1.17,-1.2,-1.23,-1.24,-1.22,-1.18,-1.15,-1.13,-1.12,-1.09,-1.05,-1.05,-1.07,-1.09,-1.07,-1.04,-1.0,-0.96,-0.88,-0.8,-0.76,-0.77,-0.79,-0.82,-0.87,-0.93,-0.96,-0.97,-0.96,-0.97,-0.96,-0.92,-0.92,-0.98,-1.05,-1.09,-1.15,-1.23,-1.29,-1.31,-1.31,-1.32,-1.33,-1.3,-1.29,-1.3,-1.29,-1.25,-1.24,-1.24,-1.2,-1.15,-1.13,-1.1,-1.05,-1.0,-0.97,-0.95,-0.94,-0.96,-1.02,-1.06,-1.04,-0.98,-0.88,-0.79,-0.72,-0.67,-0.61,-0.57,-0.57,-0.6,-0.62,-0.63,-0.63,-0.62,-0.57,-0.52,-0.52,-0.51,-0.49,-0.48,-0.48,-0.45,-0.39,-0.31,-0.23,-0.16,-0.1,-0.02,0.1,0.18,0.24,0.28,0.26,0.24,0.22,0.22,0.23,0.22,0.16,0.11,0.08,0.01,-0.1,-0.18,-0.19,-0.19,-0.21,-0.26,-0.28,-0.29,-0.33,-0.37,-0.38,-0.34,-0.31,-0.31,-0.3,-0.29,-0.27,-0.24,-0.19,-0.14,-0.09,-0.06,-0.05,-0.05,-0.04,-0.05,-0.07,-0.08,-0.1,-0.12,-0.15,-0.17,-0.19,-0.22,-0.25,-0.28,-0.29,-0.29,-0.26,-0.22,-0.19,-0.18,-0.18,-0.17,-0.13,-0.06,0.02,0.09,0.12,0.14,0.19,0.25,0.33,0.41,0.46,0.5,0.53,0.56,0.61,0.66,0.72,0.78,0.87,0.99,1.12,1.23,1.3,1.34,1.39,1.46,1.52,1.55,1.61,1.68,1.71,1.71,1.72,1.74,1.76,1.75,1.72,1.71,1.72,1.73,1.73,1.7,1.64,1.59,1.56,1.53,1.48,1.44,1.39,1.31,1.2,1.11,1.05,1.02,0.98,0.9,0.78,0.66,0.59,0.55,0.53,0.51,0.48,0.45,0.42,0.37,0.28,0.21,0.17,0.13,0.08,0.03,0.0,0.0,-0.04,-0.15,-0.26,-0.33,-0.35,-0.37,-0.4,-0.44,-0.51,-0</t>
  </si>
  <si>
    <t>To_Avoid_Formula.55,-0.56,-0.57,-0.57,-0.56,-0.54,-0.54,-0.53,-0.5,-0.43,-0.37,-0.32,-0.27,-0.17,-0.02,0.14,0.27,0.32,0.34,0.36,0.45,0.57,0.65,0.64,0.61,0.61,0.6,0.55,0.48,0.41,0.35,0.26,0.13,0.02,0.02,0.13,0.29,0.4,0.41,0.38,0.33,0.29,0.23,0.19,0.16,0.19,0.26,0.34,0.43,0.48,0.48,0.44,0.37,0.29,0.19,0.07,-0.04,-0.11,-0.16,-0.22,-0.26,-0.27,-0.24,-0.21,-0.22,-0.21,-0.17,-0.08,-0.01,-0.01,-0.04,-0.06,-0.07,-0.08,-0.09,-0.08,-0.06,-0.04,0.0,0.08,0.19,0.27,0.3,0.31,0.29,0.24,0.18,0.12,0.1,0.08,0.06,0.04,0.05,0.09,0.13,0.12,0.09,0.07,0.07,0.08,0.09,0.12,0.18,0.25,0.32,0.37,0.4,0.38,0.34,0.33,0.34,0.37,0.43,0.53,0.62,0.71,0.82,0.95,1.07,1.14,1.14,1.11,1.07,1.05,1.07,1.13,1.21,1.33,1.44,1.51,1.54,1.54,1.52,1.48,1.46,1.46,1.45,1.44,1.49,1.57,1.65,1.68,1.66,1.61,1.53,1.46,1.38,1.28,1.17,1.08,1.05,1.05,1.03,0.97,0.9,0.85,0.79,0.75,0.74,0.75,0.72,0.71,0.76,0.86,0.94,0.98,0.95,0.91,0.89,0.92,1.01,1.12,1.22,1.31,1.42,1.55,1.68,1.76,1.79,1.82,1.9,1.97,1.97,2.01,2.26,2.59,2.8,2.85,2.83,2.85,2.88,2.83,2.74,2.67,2.65,2.6,2.47,2.29,2.11,1.96,1.83,1.71,1.69,1.73,1.76,1.75,1.68,1.58,1.43,1.19,0.87,0.53,0.22,0.03,-0.08,-0.16,-0.22,-0.28,-0.35,-0.46,-0.66,-0.86,-1.0,-1.13,-1.31,-1.51,-1.61,-1.62,-1.62,-1.63,-1.61,-1.6,-1.58,-1.58,-1.54,-1.51,-1.51,-1.56,-1.62,-1.67,-1.7,-1.69,-1.69,-1.7,-1.71,-1.67,-1.62,-1.56,-1.51,-1.47,-1.44,-1.4,-1.33,-1.23,-1.12,-1.03,-0.96,-0.9,-0.8,-0.71,-0.65,-0.59,-0.53,-0.5,-0.52,-0.53,-0.52,-0.52,-0.55,-0.59,-0.62,-0.64,-0.63,-0.58,-0.53,-0.5,-0.49,-0.48,-0.52,-0.58,-0.66,-0.75,-0.84,-0.85,-0.79,-0.71,-0.65,-0.61,-0.6,-0.61,-0.65,-0.7,-0.73,-0.72,-0.67,-0.61,-0.51,-0.42,-0.35,-0.32,-0.31,-0.31,-0.33,-0.34,-0.36,-0.36,-0.34,-0.31,-0.3,-0.31,-0.31,-0.3,-0.26,-0.24,-0.25,-0.29,-0.34,-0.35,</t>
  </si>
  <si>
    <t>To_Avoid_Formula0.15,0.2,0.23,0.24,</t>
  </si>
  <si>
    <t>To_Avoid_Formula-0.19,-0.29,-0.35,-0.36,-0.35,-0.38,-0.43,-0.45,-0.4,-0.33,-0.3,-0.28,-0.22,-0.13,-0.09,-0.11,-0.11,-0.12,-0.14,-0.16,-0.16,-0.15,-0.11,-0.09,-0.1,-0.12,-0.14,-0.15,-0.19,-0.27,-0.34,-0.37,-0.39,-0.44,-0.47,-0.45,-0.42,-0.38,-0.36,-0.33,-0.32,-0.32,-0.29,-0.23,-0.18,-0.17,-0.15,-0.08,0.01,0.11,0.16,0.19,0.24,0.31,0.35,0.33,0.3,0.33,0.41,0.46,0.45,0.45,0.49,0.55,0.56,0.54,0.56,0.6,0.61,0.58,0.54,0.5,0.51,0.51,0.5,0.46,0.43,0.41,0.36,0.31,0.26,0.24,0.21,0.14,0.02,-0.07,-0.14,-0.2,-0.28,-0.35,-0.41,-0.45,-0.48,-0.54,-0.61,-0.63,-0.63,-0.68,-0.75,-0.84,-0.88,-0.9,-0.96,-1.06,-1.14,-1.17,-1.18,-1.22,-1.27,-1.3,-1.33,-1.38,-1.41,-1.42,-1.38,-1.39,-1.35,-1.27,-1.19,-1.09,-1.02,-0.93,-0.84,-0.75,-0.68,-0.61,-0.55,-0.49,-0.45,-0.43,-0.43,-0.43,-0.43,-0.44,-0.43,-0.42,-0.41,-0.39,-0.36,-0.32,-0.32,-0.33,-0.33,-0.3,-0.29,-0.32,-0.35,-0.33,-0.3,-0.31,-0.36,-0.37,-0.33,-0.26,-0.22,-0.21,-0.21,-0.22,-0.25,-0.28,-0.29,-0.33,-0.36,-0.39,-0.41,-0.4,-0.34,-0.26,-0.23,-0.22,-0.21,-0.21,-0.22,-0.24,-0.22,-0.15,-0.06,0.03,0.15,0.3,0.43,0.54,0.62,0.68,0.71,0.79,0.89,0.98,1.06,1.13,1.2,1.24,1.26,1.24,1.19,1.1,1.03,0.96,0.92,0.93,0.94,0.93,0.92,0.96,0.97,0.93,0.88,0.88,0.93,0.98,1.0,0.99,1.0,0.98,0.95,0.91,0.88,0.81,0.73,0.66,0.61,0.54,0.49,0.45,0.41,0.37,0.34,0.32,0.31,0.29,0.28,0.29,0.31,0.35,0.38,0.43,0.47,0.49,0.5,0.53,0.57,0.59,0.57,0.54,0.46,0.33,0.17,-0.01,-0.17,-0.32,-0.46,-0.57,-0.64,-0.65,-0.6,-0.57,-0.57,-0.61,-0.65,-0.66,-0.62,-0.57,-0.49,-0.4,-0.33,-0.25,-0.19,-0.14,-0.1,-0.1,-0.11,-0.11,-0.08,-0.03,0.0,0.01,0.04,0.07,0.1,0.1,0.1,0.09,0.08,0.08,0.09,0.1,0.13,0.15,0.14,0.11,-0.07,-0.18,-0.29,-0.38,-0.45,-0.54,-0.63,-0.72,-0.8,-0.87,-0.91,-0.91,-0.9,-0.89,-0.86,-0.82,-0.76,-0.72,-0.67,-0.62,-0.59,-0.59,-0.6,-0.61,-0.59,-0.53,-0.46,-0.42,-0.39,-0.32,-0.24,-0.19,-0.19,-0.19,-0.2,-0.2,-0.19,-0.18,-0.18,-0.15,-0.11,-0.08,-0.08,-0.09,-0.09,-0.11,-0.14,-0.16,-0.19,-0.23,-0.28,-0.33,-0.36,-0.39,-0.43,-0.46,-0.47,-0.46,-0.43,-0.38,-0.32,-0.28,-0.22,-0.14,-0.06,-0.01,0.04,0.11,0.17,0.25,0.32,0.38,0.43,0.48,0.52,0.53,0.54,0.57,0.6,0.63,0.68,0.72,0.71,0.69,0.69,0.69,0.67,0.65,0.64,0.64,0.65,0.65,0.66,0.65,0.65,0.63,0.61,0.58,0.57,0.58,0.61,0.63,0.63,0.64,0.65,0.63,0.59,0.54,0.46,0.38,0.33,0.31,0.3,0.27,0.23,0.19,0.16,0.15,0.14,0.12,0.09,0.05,0.01,-0.02,-0.05,-0.09,-0.15,-0.2,-0.23,-0.26,-0.29,-0.29,-0.27,-0.24,-0.2,-0.16,-0.14,-0.13,-0.11,-0.08,-0.05,-0.06,-0.06,-0.06,-0.08,-0.11,-0.16,-0.22,-0.31,-0.44,-0.57,-0.68,-0.77,-0.85,-0.89,-0.88,-0.84,-0.8,-0.79,-0.81,-0.83,-0.83,-0.82,-0.78,-0.72,-0.65,-0.55,-0.42,-0.28,-0.17,-0.08,0.0,0.05,0.03,-0.02,-0.08,-0.14,-0.16,-0.13,-0.05,0.07,0.15,0.18,0.19,0.18,0.15,0.11,0.06,0.02,0.0,0.01,0.02,0.05,0.05,0.01,-0.07,-0.15,-0.24,-0.31,-0.38,-0.45,-0.5,-0.5,-0.49,-0.48,-0.46,-0.44,-0.44,-0.41,-0.35,-0.28,-0.22,-0.18,-0.14,-0.08,-0.03,0.0,-0.01,-0.01,0.02,0.07,0.12,0.18,0.26,0.34,0.38,0.37,0.34,0.31,0.26,0.21,0.17,0.17,0.18,0.17,0.19,0.22,0.22,0.16,0.09,0.05,0.0,-0.07,-0.12,-0.13,-0.12,-0.12,-0.11,-0.08,-0.05,-0.06,-0.04,0.01,0.02,0.02,0.06,0.11,0.13,0.16,0.2,0.24,0.26,0.26,0.27,0.24,0.16,0.11,0.12,0.18,0.26,0.33,0.38,0.42,0.45,0.46,0.43,0.37,0.33,0.3,0.27,0.26,0.29,0.31,0.29,0.27,0.27,0.25,0.23,0.23,0.27,0.31,0.36,0.4,0.43,0.47,0.54,0.58,0.6,0.58,0.52,0.45,0.39,0.35,0.32,0.27,0.18,0.1,0.04,-0.05,-0.18,-0.27,-0.3,-0.3,-0.34,-0.39,-0.41,-0.43,-0.46,-0.51,-0.51,-0.47,-0.44,-0.43,-0.42,-0.41,-0.38,-0.35,-0.31,-0.26,-0.21,-0.19,-0.18,-0.18,-0.18,-0.2,-0.22,-0.23,-0.24,-0.27,-0.3,-0.32,-0.33,-0.34,-0.37,-0.39,-0.39,-0.38,-0.34,-0.29,-0.25,-0.23,-0.23,-0.21,-0.16,-0.09,-0.01,0.05,0.08,0.1,0.13,0.19,0.26,0.32,0.35,0.37,0.38,0.39,0.41,0.45,0.48,0.51,0.57,0.66,0.75,0.82,0.84,0.83,0.83,0.86,0.86,0.84,0.85,0.87,0.84,0.79,0.75,0.72,0.69,0.63,0.56,0.5,0.47,0.45,0.41,0.34,0.25,0.17,0.11,0.06,-0.01,-0.07,-0.13,-0.23,-0.34,-0.43,-0.48,-0.51,-0.54,-0.6,-0.7,-0.8,-0.85,-0.85,-0.84,-0.83,-0.83,-0.82,-0.82,-0.84,-0.88,-0.91,-0.91,-0.9,-0.9,-0.91,-0.88,-0.84</t>
  </si>
  <si>
    <t>To_Avoid_Formula,-0.84,-0.89,-0.95,-0.96,-0.93,-0.88,-0.85,-0.84,-0.85,-0.83,-0.78,-0.73,-0.67,-0.61,-0.54,-0.49,-0.43,-0.36,-0.25,-0.14,-0.06,0.02,0.14,0.32,0.48,0.61,0.66,0.67,0.7,0.77,0.88,0.94,0.91,0.86,0.84,0.81,0.75,0.66,0.58,0.51,0.41,0.28,0.18,0.18,0.3,0.45,0.54,0.54,0.5,0.44,0.38,0.33,0.27,0.24,0.27,0.33,0.4,0.47,0.51,0.49,0.43,0.35,0.25,0.15,0.03,-0.08,-0.15,-0.19,-0.23,-0.26,-0.25,-0.21,-0.18,-0.17,-0.16,-0.1,-0.01,0.06,0.06,0.03,0.01,0.0,-0.01,-0.01,0.0,0.01,0.03,0.07,0.14,0.25,0.31,0.32,0.32,0.29,0.22,0.15,0.09,0.05,0.03,0.0,-0.02,-0.01,0.02,0.06,0.04,0.0,-0.02,-0.02,-0.01,-0.01,0.02,0.07,0.13,0.18,0.23,0.24,0.2,0.15,0.12,0.13,0.14,0.19,0.26,0.33,0.4,0.48,0.58,0.66,0.68,0.64,0.57,0.49,0.44,0.43,0.45,0.5,0.58,0.64,0.67,0.65,0.6,0.53,0.45,0.4,0.36,0.31,0.27,0.28,0.34,0.38,0.37,0.31,0.23,0.12,0.03,-0.08,-0.19,-0.31,-0.4,-0.44,-0.43,-0.45,-0.51,-0.57,-0.61,-0.65,-0.67,-0.66,-0.64,-0.64,-0.63,-0.57,-0.45,-0.35,-0.3,-0.32,-0.36,-0.36,-0.32,-0.22,-0.1,-0.01,0.08,0.19,0.3,0.42,0.47,0.48,0.48,0.53,0.57,0.55,0.56,0.77,1.05,1.21,1.2,1.12,1.08,1.04,0.94,0.79,0.68,0.62,0.53,0.37,0.16,-0.04,-0.19,-0.32,-0.43,-0.44,-0.39,-0.35,-0.36,-0.41,-0.5,-0.63,-0.84,-1.11,-1.4,-1.64,-1.74,-1.77,-1.75,-1.73,-1.69,-1.67,-1.69,-1.79,-1.88,-1.9,-1.92,-1.99,-2.06,-2.03,-1.91,-1.79,-1.67,-1.55,-1.41,-1.29,-1.18,-1.04,-0.91,-0.82,-0.78,-0.76,-0.72,-0.66,-0.57,-0.48,-0.42,-0.35,-0.24,-0.12,0.0,0.1,0.19,0.27,0.36,0.46,0.59,0.73,0.84,0.91,0.99,1.08,1.16,1.22,1.26,1.31,1.31,1.28,1.24,1.23,1.21,1.15,1.09,1.04,1.0,0.99,1.02,1.04,1.03,1.02,0.99,0.93,0.84,0.73,0.62,0.51,0.48,0.53,0.59,0.62,0.63,0.61,0.58,0.51,0.44,0.39,0.38,0.4,0.44,0.5,0.56,0.59,0.58,0.56,0.52,0.47,0.42,0.36,0.33,0.32,0.31,0.29,0.25,0.21,0.2,0.2,0.2,0.15,0.08,0.01,-0.03,</t>
  </si>
  <si>
    <t>To_Avoid_Formula0.22,0.23,0.23,0.2,</t>
  </si>
  <si>
    <t>To_Avoid_Formula-8.77,-8.79,-8.81,-8.83,-8.84,-8.86,-8.87,-8.88,-8.89,-8.9,-8.91,-8.92,-8.93,-8.94,-8.94,-8.94,-8.95,-8.95,-8.95,-8.95,-8.95,-8.94,-8.94,-8.94,-8.93,-8.92,-8.91,-8.9,-8.89,-8.88,-8.87,-8.86,-8.84,-8.82,-8.81,-8.79,-8.77,-8.75,-8.73,-8.71,-8.68,-8.66,-8.64,-8.61,-8.58,-8.55,-8.53,-8.5,-8.47,-8.44,-8.4,-8.37,-8.34,-8.3,-8.27,-8.23,-8.2,-8.16,-8.12,-8.08,-8.04,-8.0,-7.96,-7.92,-7.88,-7.84,-7.8,-7.75,-7.71,-7.67,-7.62,-7.58,-7.53,-7.48,-7.44,-7.39,-7.34,-7.3,-7.25,-7.2,-7.15,-7.1,-7.06,-7.01,-6.96,-6.91,-6.86,-6.81,-6.76,-6.71,-6.66,-6.61,-6.56,-6.51,-6.45,-6.4,-6.35,-6.3,-6.25,-6.2,-6.15,-6.1,-6.05,-6.0,-5.95,-5.89,-5.84,-5.79,-5.74,-5.69,-5.64,-5.59,-5.55,-5.5,-5.45,-5.4,-5.35,-5.3,-5.26,-5.21,-5.16,-5.11,-5.07,-5.02,-4.98,-4.93,-4.89,-4.84,-4.8,-4.76,-4.71,-4.67,-4.63,-4.59,-4.55,-4.51,-4.47,-4.43,-4.39,-4.36,-4.32,-4.29,-4.25,-4.22,-4.18,-4.15,-4.12,-4.08,-4.05,-4.02,-3.99,-3.97,-3.94,-3.91,-3.88,-3.86,-3.83,-3.81,-3.79,-3.77,-3.75,-3.72,-3.71,-3.69,-3.67,-3.65,-3.64,-3.62,-3.61,-3.59,-3.58,-3.57,-3.56,-3.55,-3.54,-3.53,-3.53,-3.52,-3.52,-3.51,-3.51,-3.51,-3.51,-3.51,-3.51,-3.51,-3.51,-3.52,-3.52,-3.53,-3.53,-3.54,-3.55,-3.56,-3.57,-3.59,-3.6,-3.61,-3.63,-3.65,-3.66,-3.68,-3.7,-3.73,-3.75,-3.77,-3.8,-3.82,-3.85,-3.88,-3.91,-3.94,-3.97,-4.01,-4.04,-4.08,-4.11,-4.15,-4.19,-4.23,-4.27,-4.32,-4.36,-4.41,-4.45,-4.5,-4.55,-4.6,-4.66,-4.71,-4.76,-4.82,-4.88,-4.93,-4.99,-5.05,-5.12,-5.18,-5.24,-5.31,-5.37,-5.44,-5.51,-5.58,-5.65,-5.72,-5.8,-5.87,-5.95,-6.02,-6.1,-6.18,-6.26,-6.34,-6.42,-6.5,-6.59,-6.67,-6.76,-6.84,-6.93,-7.02,-7.11,-7.2,-7.29,-7.38,-7.47,-7.56,-7.66,-7.75,-7.84,-7.94,-8.04,-8.13,-8.23,-8.33,-8.42,-8.52,-8.62,-8.72,-8.82,-8.92,-9.02,-9.12,-9.22,-9.33,-9.43,-9.53,-9.63,-9.74,-9.94,-10.04,-10.15,-10.25,-10.35,-10.46,-10.56,-10.66,-10.77,-10.87,-10.97,-11.07,-11.18,-11.28,-11.38,-11.48,-11.58,-11.68,-11.78,-11.88,-11.98,-12.08,-12.18,-12.28,-12.38,-12.48,-12.57,-12.67,-12.76,-12.86,-12.95,-13.05,-13.14,-13.23,-13.32,-13.41,-13.5,-13.59,-13.68,-13.77,-13.86,-13.94,-14.03,-14.11,-14.2,-14.28,-14.36,-14.44,-14.52,-14.6,-14.68,-14.76,-14.84,-14.91,-14.99,-15.06,-15.13,-15.21,-15.28,-15.35,-15.42,-15.48,-15.55,-15.62,-15.68,-15.74,-15.81,-15.87,-15.93,-15.99,-16.05,-16.11,-16.16,-16.22,-16.27,-16.32,-16.38,-16.43,-16.48,-16.52,-16.57,-16.62,-16.66,-16.71,-16.75,-16.79,-16.83,-16.87,-16.91,-16.95,-16.99,-17.02,-17.06,-17.09,-17.12,-17.16,-17.19,-17.22,-17.24,-17.27,-17.3,-17.32,-17.35,-17.37,-17.39,-17.41,-17.44,-17.45,-17.47,-17.49,-17.51,-17.52,-17.54,-17.55,-17.56,-17.57,-17.59,-17.6,-17.6,-17.61,-17.62,-17.63,-17.63,-17.64,-17.64,-17.65,-17.65,-17.65,-17.65,-17.65,-17.65,-17.65,-17.65,-17.65,-17.65,-17.64,-17.64,-17.63,-17.63,-17.62,-17.62,-17.61,-17.6,-17.59,-17.59,-17.58,-17.57,-17.56,-17.55,-17.54,-17.53,-17.51,-17.5,-17.49,-17.48,-17.46,-17.45,-17.44,-17.42,-17.41,-17.39,-17.38,-17.36,-17.34,-17.33,-17.31,-17.3,-17.28,-17.26,-17.24,-17.23,-17.21,-17.19,-17.17,-17.15,-17.14,-17.12,-17.1,-17.08,-17.06,-17.04,-17.02,-17.0,-16.98,-16.96,-16.94,-16.93,-16.91,-16.89,-16.87,-16.85,-16.83,-16.81,-16.79,-16.77,-16.75,-16.73,-16.71,-16.69,-16.67,-16.65,-16.63,-16.61,-16.59,-16.57,-16.55,-16.53,-16.51,-16.5,-16.48,-16.46,-16.44,-16.42,-16.41,-16.39,-16.37,-16.35,-16.34,-16.32,-16.31,-16.29,-16.28,-16.26,-16.25,-16.23,-16.22,-16.2,-16.19,-16.18,-16.17,-16.16,-16.14,-16.13,-16.12,-16.11,-16.11,-16.1,-16.09,-16.08,-16.07,-16.07,-16.06,-16.06,-16.05,-16.05,-16.04,-16.04,-16.04,-16.04,-16.04,-16.04,-16.04,-16.04,-16.04,-16.04,-16.05,-16.05,-16.05,-16.06,-16.06,-16.07,-16.08,-16.08,-16.09,-16.1,-16.11,-16.12,-16.13,-16.14,-16.15,-16.16,-16.18,-16.19,-16.21,-16.22,-16.24,-16.25,-16.27,-16.29,-16.3,-16.32,-16.34,-16.36,-16.38,-16.4,-16.42,-16.45,-16.47,-16.49,-16.52,-16.54,-16.56,-16.59,-16.62,-16.64,-16.67,-16.7,-16.73,-16.75,-16.78,-16.81,-16.84,-16.87,-16.91,-16.94,-16.97,-17.0,-17.04,-17.07,-17.11,-17.14,-17.18,-17.21,-17.25,-17.29,-17.33,-17.36,-17.4,-17.</t>
  </si>
  <si>
    <t>To_Avoid_Formula44,-17.48,-17.52,-17.56,-17.61,-17.65,-17.69,-17.74,-17.78,-17.82,-17.87,-17.91,-17.96,-18.01,-18.05,-18.1,-18.15,-18.2,-18.25,-18.3,-18.34,-18.39,-18.45,-18.5,-18.55,-18.6,-18.65,-18.7,-18.76,-18.81,-18.86,-18.91,-18.97,-19.02,-19.08,-19.13,-19.19,-19.24,-19.3,-19.35,-19.41,-19.47,-19.52,-19.58,-19.64,-19.69,-19.75,-19.81,-19.86,-19.92,-19.98,-20.04,-20.1,-20.15,-20.21,-20.27,-20.33,-20.39,-20.45,-20.51,-20.57,-20.63,-20.68,-20.74,-20.8,-20.86,-20.92,-20.98,-21.04,-21.1,-21.16,-21.22,-21.28,-21.34,-21.4,-21.46,-21.52,-21.58,-21.64,-21.7,-21.76,-21.82,-21.87,-21.93,-21.99,-22.05,-22.11,-22.17,-22.23,-22.29,-22.35,-22.41,-22.46,-22.52,-22.58,-22.64,-22.7,-22.76,-22.81,-22.87,-22.93,-22.99,-23.04,-23.1,-23.16,-23.22,-23.27,-23.33,-23.39,-23.44,-23.5,-23.56,-23.61,-23.67,-23.72,-23.78,-23.84,-23.89,-23.95,-24.0,-24.06,-24.11,-24.17,-24.22,-24.27,-24.33,-24.38,-24.43,-24.49,-24.54,-24.59,-24.65,-24.7,-24.75,-24.8,-24.85,-24.9,-24.96,-25.01,-25.06,-25.11,-25.16,-25.2,-25.25,-25.3,-25.35,-25.4,-25.44,-25.49,-25.54,-25.58,-25.63,-25.68,-25.72,-25.77,-25.81,-25.85,-25.9,-25.94,-25.98,-26.03,-26.07,-26.11,-26.15,-26.19,-26.23,-26.27,-26.31,-26.35,-26.39,-26.43,-26.46,-26.5,-26.54,-26.57,-26.61,-26.64,-26.68,-26.71,-26.75,-26.78,-26.81,-26.84,-26.88,-26.91,-26.94,-26.97,-27.0,-27.02,-27.05,-27.08,-27.11,-27.13,-27.16,-27.19,-27.21,-27.23,-27.26,-27.28,-27.3,-27.33,-27.35,-27.37,-27.39,-27.41,-27.43,-27.45,-27.46,-27.48,-27.5,-27.52,-27.53,-27.55,-27.56,-27.58,-27.59,-27.61,-27.62,-27.63,-27.65,-27.66,-27.67,-27.68,-27.69,-27.71,-27.72,-27.73,-27.74,-27.75,-27.76,-27.77,-27.78,-27.79,-27.8,-27.8,-27.81,-27.82,-27.83,-27.84,-27.85,-27.86,-27.86,-27.87,-27.88,-27.89,-27.89,-27.9,-27.91,-27.92,-27.92,-27.93,-27.94,-27.95,-27.95,-27.96,-27.97,-27.98,-27.98,-27.99,-28.0,-28.0,-28.01,-28.02,-28.03,-28.03,-28.04,-28.05,-28.06,-28.06,-28.07,-28.08,-28.09,-28.09,-28.1,-28.11,-28.12,-28.13,-28.13,-28.14,-28.15,-28.16,-28.17,-28.18,-28.19,-28.2,-28.2,-28.21,-28.22,-28.23,-28.24,-28.25,-28.27,-28.28,-28.29,-28.3,-28.31,-28.32,-28.33,-28.34,-28.36,-28.37,-28.38,-28.39,-28.41,-28.42,-28.43,-28.45,-28.46,-28.48,-28.49,-28.51,-28.52,-28.53,-28.55,-28.57,-28.58,-28.6,-28.61,-28.63,-28.65,-28.66,-28.68,-28.7,-28.71,-28.73,-28.75,-28.77,-28.78,-28.8,-28.82,-28.84,-28.86,-28.88,-28.9,-28.92,-28.94,-28.96,-28.97,-28.99,-29.02,-29.04,-29.06,-29.08,-29.1,-29.12,-29.14,-29.16,-29.18,-29.2,-29.22,-29.24,-29.27,-29.29,-29.31,-29.33,-29.35,-29.37,-29.4,-29.42,-29.44,-29.46,-29.49,-29.51,-29.53,-29.55,-29.57,-29.6,-29.62,-29.64,-29.66,-29.69,-29.71,-29.73,-29.75,-29.78,-29.8,-29.82,-29.84,-29.86,-29.89,-29.91,-29.93,-29.95,-29.97,-30.0,-30.02,-30.04,-30.06,-30.08,-30.1,-30.13,-30.15,-30.17,-30.19,-30.21,-30.23,-30.25,-30.27,-30.29,-30.31,-30.33,-30.35,-30.37,-30.39,-30.41,-30.43,-30.45,-30.47,-30.49,-30.51,-30.52,-30.54,-30.56,-30.58,-30.6,-30.61,-30.63,-30.65,-30.66,-30.68,-30.7,-30.71,-30.73,-30.74,-30.76,-30.77,-30.79,-30.8,-30.82,-30.83,-30.85,-30.86,-30.88,-30.89,-30.9,-30.92,</t>
  </si>
  <si>
    <t>To_Avoid_Formula-31.03,-31.04,-31.06,-31.07,</t>
  </si>
  <si>
    <t>To_Avoid_Formula-2.23,-2.37,-2.48,-2.52,-2.5,-2.46,-2.46,-2.43,-2.31,-2.11,-1.9,-1.79,-1.76,-1.69,-1.58,-1.55,-1.63,-1.7,-1.71,-1.71,-1.75,-1.79,-1.82,-1.77,-1.65,-1.53,-1.46,-1.4,-1.27,-1.06,-0.85,-0.77,-0.79,-0.8,-0.75,-0.68,-0.69,-0.77,-0.84,-0.84,-0.78,-0.71,-0.7,-0.68,-0.6,-0.51,-0.52,-0.63,-0.75,-0.85,-0.95,-1.05,-1.18,-1.36,-1.53,-1.6,-1.58,-1.66,-1.86,-1.98,-1.86,-1.62,-1.51,-1.52,-1.51,-1.4,-1.23,-1.06,-0.94,-0.92,-0.9,-0.87,-0.83,-0.88,-1.0,-1.11,-1.15,-1.15,-1.16,-1.2,-1.23,-1.2,-1.13,-1.07,-1.05,-1.07,-1.09,-1.1,-1.11,-1.17,-1.3,-1.44,-1.5,-1.5,-1.48,-1.46,-1.4,-1.25,-0.98,-0.64,-0.33,-0.05,0.26,0.63,0.96,1.13,1.19,1.28,1.43,1.52,1.52,1.49,1.51,1.53,1.52,1.5,1.39,1.22,1.06,0.98,0.96,0.95,0.93,0.88,0.84,0.85,0.86,0.84,0.82,0.82,0.83,0.88,0.97,1.12,1.31,1.59,1.93,2.29,2.62,2.93,3.22,3.51,3.81,4.12,4.33,4.41,4.41,4.42,4.42,4.38,4.29,4.1,3.85,3.57,3.26,2.89,2.47,2.03,1.67,1.36,1.03,0.64,0.22,-0.16,-0.47,-0.71,-0.91,-1.07,-1.13,-1.08,-0.97,-0.85,-0.67,-0.39,-0.11,0.1,0.24,0.4,0.62,0.93,1.25,1.5,1.68,1.88,2.11,2.3,2.45,2.57,2.63,2.64,2.67,2.7,2.69,2.65,2.65,2.69,2.76,2.86,2.96,3.11,3.35,3.66,3.99,4.3,4.56,4.77,4.94,5.01,4.98,4.84,4.63,4.4,4.11,3.78,3.44,3.15,2.89,2.62,2.35,2.12,1.96,1.85,1.76,1.71,1.7,1.69,1.67,1.7,1.77,1.84,1.89,1.93,1.97,2.05,2.11,2.06,1.88,1.66,1.45,1.21,0.94,0.68,0.49,0.37,0.29,0.14,0.0,0.05,0.24,0.23,-0.09,-0.53,-0.86,-1.08,-1.31,-1.64,-2.11,-2.6,-3.04,-3.38,-3.71,-4.03,-4.35,-4.61,-4.77,-4.84,-4.9,-5.0,-5.05,-5.02,-4.98,-4.99,-5.07,-5.22,-5.36,-5.49,-5.68,-5.95,-6.25,-6.54,-6.85,-7.19,-7.58,-7.98,-8.31,-8.57,-8.76,-8.92,-9.03,-9.12,-9.34,-9.47,-9.65,-9.88,-10.14,-10.41,-10.7,-11.02,-11.3,-11.53,-11.75,-11.97,-12.13,-12.25,-12.37,-12.51,-12.67,-12.8,-12.88,-12.97,-13.12,-13.3,-13.43,-13.54,-13.65,-13.78,-13.93,-14.1,-14.24,-14.39,-14.54,-14.7,-14.88,-15.07,-15.28,-15.51,-15.74,-15.94,-16.07,-16.16,-16.24,-16.31,-16.36,-16.4,-16.41,-16.43,-16.49,-16.62,-16.76,-16.91,-17.05,-17.2,-17.37,-17.55,-17.71,-17.8,-17.89,-18.03,-18.2,-18.34,-18.47,-18.61,-18.79,-19.04,-19.32,-19.57,-19.81,-20.06,-20.32,-20.54,-20.66,-20.68,-20.68,-20.67,-20.62,-20.47,-20.31,-20.27,-20.32,-20.4,-20.48,-20.57,-20.68,-20.81,-20.92,-20.99,-21.02,-21.04,-21.09,-21.17,-21.26,-21.34,-21.38,-21.43,-21.54,-21.73,-21.95,-22.15,-22.3,-22.44,-22.62,-22.84,-23.03,-23.15,-23.21,-23.24,-23.33,-23.48,-23.6,-23.68,-23.77,-23.9,-24.06,-24.19,-24.27,-24.29,-24.32,-24.38,-24.47,-24.54,-24.6,-24.7,-24.87,-25.04,-25.17,-25.27,-25.41,-25.6,-25.74,-25.77,-25.72,-25.67,-25.64,-25.59,-25.47,-25.31,-25.18,-25.11,-25.17,-25.45,-25.9,-26.39,-26.87,-27.39,-27.88,-28.26,-28.55,-28.77,-28.84,-28.7,-28.5,-28.38,-28.32,-28.28,-28.22,-28.14,-28.09,-28.13,-28.21,-28.28,-28.31,-28.32,-28.33,-28.35,-28.36,-28.36,-28.39,-28.47,-28.59,-28.72,-28.84,-28.87,-28.84,-28.8,-28.8,-28.82,-28.82,-28.8,-28.84,-28.91,-28.97,-29.03,-29.09,-29.17,-29.26,-29.34,-29.43,-29.52,-29.62,-29.73,-29.84,-29.96,-30.11,-30.25,-30.41,-30.62,-30.88,-31.11,-31.32,-31.59,-31.96,-32.33,-32.56,-32.65,-32.69,-32.77,-32.91,-33.02,-33.03,-33.02,-33.1,-33.31,-33.58,-33.81,-34.02,-34.22,-34.45,-34.71,-34.91,-35.05,-35.13,-35.21,-35.27,-35.33,-35.4,-35.47,-35.56,-35.72,-35.92,-36.09,-36.19,-36.25,-36.32,-36.36,-36.29,-36.11,-35.91,-35.65,-35.31,-34.92,-34.53,-34.18,-33.89,-33.68,-33.63,-33.71,-33.86,-34.07,-34.33,-34.63,-34.92,-35.18,-35.45,-35.72,-35.92,-36.04,-36.14,-36.23,-36.31,-36.39,-36.47,-36.54,-36.54,-36.5,-36.48,-36.49,-36.51,-36.48,-36.36,-36.2,-36.05,-35.86,-35.63,-35.42,-35.28,-35.2,-35.21,-35.31,-35.42,-35.53,-35.7,-35.9,-36.04,-36.03,-35.98,-36.04,-36.25,-36.44,-36.49,-36.52,-36.68,-36.96,-37.22,-37.36,-37.5,-37.73,-37.97,-38.09,-38.08,-38.02,-37.99,-38.08,-38.25,-38.44,-38.64,-38.81,-38.95,-39.09,-39.23,-39.34,-39.41,-39.49,-39.55,-39.53,-39.42,-39.32,-39.3,-39.32,-39.28,-39.24,-39.26,-39.31,-39.33,-39.35,-39.39,-39.44,-39.49,-39.59,-39.73,-39.9,-40.07,-40.23,-40.38,-40.49,-40.58,-40.69,-40.86,-41.05,-41.23,-41.38,-41.52</t>
  </si>
  <si>
    <t>To_Avoid_Formula,-41.67,-41.85,-42.09,-42.33,-42.51,-42.65,-42.79,-42.95,-43.1,-43.24,-43.36,-43.48,-43.57,-43.64,-43.76,-43.94,-44.13,-44.3,-44.47,-44.64,-44.81,-44.96,-45.06,-45.07,-45.05,-45.04,-45.03,-45.03,-45.04,-45.04,-45.0,-44.95,-44.94,-45.02,-45.17,-45.33,-45.49,-45.65,-45.82,-46.01,-46.26,-46.52,-46.71,-46.81,-46.84,-46.86,-46.92,-46.99,-47.06,-47.12,-47.21,-47.39,-47.64,-47.88,-48.08,-48.28,-48.47,-48.66,-48.84,-49.01,-49.15,-49.24,-49.26,-49.28,-49.32,-49.35,-49.35,-49.32,-49.24,-49.11,-48.98,-48.89,-48.86,-48.84,-48.79,-48.78,-48.87,-49.09,-49.34,-49.56,-49.76,-49.96,-50.17,-50.36,-50.5,-50.57,-50.54,-50.44,-50.33,-50.2,-50.02,-49.76,-49.47,-49.19,-48.96,-48.75,-48.53,-48.33,-48.25,-48.24,-48.16,-47.98,-47.75,-47.53,-47.33,-47.14,-46.94,-46.73,-46.55,-46.43,-46.39,-46.43,-46.56,-46.78,-47.08,-47.49,-48.03,-48.57,-48.98,-49.21,-49.32,-49.3,-49.13,-48.84,-48.49,-48.09,-47.61,-47.11,-46.65,-46.26,-45.93,-45.69,-45.61,-45.73,-45.92,-46.08,-46.22,-46.37,-46.52,-46.6,-46.6,-46.57,-46.55,-46.51,-46.41,-46.28,-46.15,-46.11,-46.14,-46.19,-46.22,-46.23,-46.25,-46.28,-46.26,-46.11,-45.83,-45.51,-45.24,-45.01,-44.78,-44.58,-44.41,-44.3,-44.25,-44.25,-44.25,-44.24,-44.23,-44.25,-44.28,-44.27,-44.19,-44.09,-43.99,-43.89,-43.74,-43.57,-43.43,-43.32,-43.24,-43.2,-43.19,-43.23,-43.3,-43.38,-43.44,-43.45,-43.42,-43.33,-43.14,-42.84,-42.51,-42.25,-42.11,-42.03,-42.01,-42.07,-42.18,-42.35,-42.58,-42.83,-43.04,-43.14,-43.15,-43.17,-43.26,-43.38,-43.46,-43.51,-43.58,-43.64,-43.65,-43.66,-43.68,-43.64,-43.55,-43.53,-43.65,-43.9,-44.19,-44.48,-44.69,-44.81,-44.95,-45.13,-45.24,-45.19,-45.04,-44.9,-44.81,-44.72,-44.63,-44.55,-44.5,-44.49,-44.53,-44.61,-44.69,-44.77,-44.9,-45.13,-45.47,-45.84,-46.19,-46.55,-46.92,-47.19,-47.33,-47.44,-47.51,-47.42,-47.2,-46.97,-46.73,-46.46,-46.19,-45.95,-45.7,-45.39,-45.0,-44.52,-43.97,-43.42,-42.94,-42.54,-42.2,-41.88,-41.58,-41.31,-41.11,-40.89,-40.54,-40.05,-39.58,-39.16,-38.63,-37.83,-36.7,-35.2,-33.42,-31.67,-30.16,-28.96,-28.19,-27.95,-28.17,-28.54,-28.92,-29.38,-29.9,-30.36,-30.82,-31.4,-32.12,-32.88,-33.65,-34.5,-35.39,-36.18,-36.77,-37.15,-37.52,-37.95,-38.29,-38.48,-38.51,-38.52,-38.55,-38.52,-38.35,-38.1,-37.84,-37.63,-37.47,-37.39,-37.39,-37.5,-37.72,-38.04,-38.49,-39.09,-39.73,-40.23,-40.62,-40.99,-41.35,-41.57,-41.53,-41.23,-40.86,-40.48,-40.02,-39.4,-38.78,-38.35,-38.12,-37.95,-37.76,-37.59,-37.48,-37.51,-37.67,-37.89,-38.03,-38.09,-38.15,-38.27,-38.36,-38.35,-38.28,-38.24,-38.26,-38.27,-38.24,-38.17,-38.07,-37.91,-37.66,-37.41,-37.16,-36.86,-36.53,-36.32,-36.26,-36.3,-36.36,-36.4,-36.48,-36.56,-36.64,-36.74,-36.88,-37.04,-37.17,-37.23,-37.17,-37.06,-37.04,-37.07,-37.03,-36.85,-36.61,-36.33,-36.02,-35.69,-35.39,-35.23,-35.23,-35.29,-35.34,-35.39,-35.5,-35.75,-36.05,-36.28,-36.36,-36.3,-36.15,-35.98,-35.78,-35.48,-35.02,-34.48,-33.98,-33.61,-33.37,-33.26,-33.32,-33.62,-33.99,-34.25,-34.42,</t>
  </si>
  <si>
    <t>To_Avoid_Formula-35.56,-35.4,-35.3,-35.33,</t>
  </si>
  <si>
    <t>To_Avoid_Formula0.17,0.16,0.15,0.14,0.13,0.13,0.12,0.11,0.1,0.1,0.09,0.09,0.08,0.08,0.07,0.06,0.06,0.05,0.05,0.04,0.03,0.02,0.02,0.01,0.0,-0.01,-0.02,-0.03,-0.04,-0.05,-0.07,-0.08,-0.09,-0.1,-0.11,-0.12,-0.13,-0.15,-0.16,-0.17,-0.18,-0.19,-0.2,-0.2,-0.21,-0.22,-0.22,-0.23,-0.24,-0.24,-0.25,-0.26,-0.27,-0.28,-0.28,-0.29,-0.3,-0.31,-0.33,-0.34,-0.35,-0.36,-0.37,-0.38,-0.39,-0.4,-0.41,-0.42,-0.44,-0.45,-0.46,-0.47,-0.47,-0.48,-0.49,-0.49,-0.5,-0.5,-0.51,-0.51,-0.52,-0.52,-0.52,-0.53,-0.53,-0.53,-0.54,-0.54,-0.54,-0.55,-0.55,-0.56,-0.56,-0.57,-0.57,-0.58,-0.58,-0.59,-0.6,-0.6,-0.61,-0.62,-0.63,-0.64,-0.65,-0.66,-0.67,-0.68,-0.69,-0.71,-0.72,-0.73,-0.75,-0.76,-0.77,-0.79,-0.8,-0.82,-0.83,-0.84,-0.86,-0.87,-0.89,-0.91,-0.92,-0.94,-0.95,-0.97,-0.99,-1.01,-1.02,-1.04,-1.06,-1.08,-1.1,-1.12,-1.15,-1.17,-1.19,-1.21,-1.23,-1.26,-1.28,-1.3,-1.33,-1.35,-1.37,-1.4,-1.42,-1.44,-1.46,-1.49,-1.5,-1.52,-1.54,-1.56,-1.58,-1.59,-1.61,-1.63,-1.64,-1.65,-1.67,-1.68,-1.69,-1.71,-1.72,-1.73,-1.75,-1.76,-1.77,-1.78,-1.79,-1.81,-1.82,-1.83,-1.84,-1.85,-1.86,-1.88,-1.89,-1.9,-1.91,-1.92,-1.93,-1.94,-1.95,-1.96,-1.97,-1.97,-1.98,-1.99,-2.0,-2.01,-2.02,-2.02,-2.03,-2.04,-2.04,-2.05,-2.06,-2.06,-2.07,-2.08,-2.08,-2.09,-2.1,-2.11,-2.12,-2.12,-2.13,-2.14,-2.15,-2.16,-2.16,-2.17,-2.18,-2.19,-2.19,-2.2,-2.21,-2.21,-2.22,-2.23,-2.23,-2.24,-2.24,-2.24,-2.25,-2.25,-2.25,-2.25,-2.26,-2.26,-2.26,-2.27,-2.27,-2.27,-2.27,-2.27,-2.28,-2.28,-2.28,-2.28,-2.28,-2.28,-2.27,-2.27,-2.27,-2.27,-2.27,-2.27,-2.27,-2.27,-2.27,-2.27,-2.26,-2.26,-2.26,-2.26,-2.26,-2.26,-2.26,-2.27,-2.27,-2.27,-2.28,-2.28,-2.28,-2.29,-2.29,-2.3,-2.3,-2.31,-2.32,-2.33,-2.33,-2.34,-2.35,-2.36,-2.37,-2.38,-2.38,-2.39,-2.4,-2.41,-2.42,-2.42,-2.43,-2.44,-2.46,-2.47,-2.49,-2.5,-2.51,-2.53,-2.54,-2.56,-2.57,-2.59,-2.6,-2.62,-2.63,-2.65,-2.66,-2.68,-2.69,-2.71,-2.72,-2.73,-2.74,-2.76,-2.77,-2.78,-2.79,-2.8,-2.81,-2.83,-2.84,-2.85,-2.86,-2.87,-2.88,-2.89,-2.91,-2.92,-2.93,-2.95,-2.96,-2.97,-2.99,-3.0,-3.02,-3.04,-3.05,-3.07,-3.08,-3.1,-3.12,-3.13,-3.15,-3.16,-3.17,-3.19,-3.2,-3.21,-3.22,-3.23,-3.25,-3.26,-3.27,-3.29,-3.3,-3.31,-3.33,-3.34,-3.35,-3.37,-3.38,-3.4,-3.42,-3.44,-3.45,-3.47,-3.49,-3.5,-3.52,-3.53,-3.55,-3.56,-3.58,-3.6,-3.61,-3.63,-3.64,-3.66,-3.67,-3.69,-3.7,-3.72,-3.73,-3.74,-3.76,-3.77,-3.78,-3.8,-3.81,-3.82,-3.83,-3.85,-3.86,-3.87,-3.88,-3.89,-3.9,-3.92,-3.93,-3.94,-3.95,-3.96,-3.97,-3.99,-4.0,-4.01,-4.02,-4.04,-4.05,-4.06,-4.07,-4.08,-4.1,-4.11,-4.12,-4.13,-4.14,-4.16,-4.17,-4.18,-4.2,-4.21,-4.22,-4.24,-4.25,-4.26,-4.27,-4.29,-4.3,-4.32,-4.33,-4.34,-4.36,-4.37,-4.38,-4.39,-4.4,-4.42,-4.43,-4.44,-4.45,-4.47,-4.48,-4.5,-4.51,-4.53,-4.54,-4.56,-4.58,-4.59,-4.61,-4.63,-4.65,-4.67,-4.69,-4.71,-4.73,-4.75,-4.76,-4.78,-4.8,-4.82,-4.84,-4.86,-4.88,-4.9,-4.92,-4.94,-4.96,-4.98,-4.99,-5.01,-5.03,-5.05,-5.07,-5.09,-5.1,-5.12,-5.14,-5.16,-5.18,-5.2,-5.22,-5.24,-5.26,-5.29,-5.31,-5.33,-5.36,-5.38,-5.41,-5.43,-5.46,-5.48,-5.5,-5.52,-5.55,-5.57,-5.58,-5.6,-5.62,-5.64,-5.66,-5.67,-5.69,-5.7,-5.72,-5.73,-5.75,-5.76,-5.78,-5.79,-5.8,-5.82,-5.83,-5.84,-5.86,-5.87,-5.88,-5.89,-5.91,-5.92,-5.93,-5.94,-5.96,-5.97,-5.98,-5.99,-6.0,-6.01,-6.02,-6.03,-6.03,-6.04,-6.05,-6.05,-6.05,-6.06,-6.06,-6.06,-6.06,-6.07,-6.07,-6.07,-6.07,-6.08,-6.08,-6.08,-6.09,-6.09,-6.1,-6.1,-6.11,-6.12,-6.12,-6.13,-6.14,-6.15,-6.16,-6.17,-6.17,-6.18,-6.19,-6.2,-6.21,-6.22,-6.23,-6.24,-6.25,-6.26,-6.27,-6.29,-6.3,-6.31,-6.32,-6.34,-6.35,-6.36,-6.38,-6.39,-6.41,-6.43,-6.44,-6.46,-6.48,-6.49,-6.51,-6.53,-6.55,-6.57,-6.58,-6.6,-6.62,-6.64,-6.66,-6.68,-6.69,-6.71,-6.73,-6.74,-6.76,-6.77,-6.79,-6.8,-6.82,-6.83,-6.85,-6.86,-6.87,-6.89,-6.9,-6.91,-6.93,-6.94,-6.95,-6.96,-6.97,-6.99,-6.99,-7.0,-7.01,-7.02,-7.03,-7.03,-7.04,-7.05,-7.06,-7.06,-7.07,-7.07,-7.07,-7.08,-7.08,-7.09,-7.09,-7.1,-7.11,-7.12,-7.12,-7.13,-7.14,-7.15,-7.16,-7.17,-7.18,-7.19,-7.2,-7.21,-7.22,-7.24,-7.25,-7.26,-7.27,-7.28,-7.3,-7.31,-7.32,-7.33,-7.34,-7.35,-7.36,-7.37,-7.38,-7.39,-7.4,-7.41,-7.42,-7.43,-7.44,-7.46,-</t>
  </si>
  <si>
    <t>To_Avoid_Formula7.47,-7.48,-7.49,-7.5,-7.52,-7.53,-7.54,-7.56,-7.57,-7.58,-7.6,-7.61,-7.62,-7.63,-7.64,-7.65,-7.66,-7.67,-7.67,-7.67,-7.68,-7.68,-7.68,-7.69,-7.69,-7.69,-7.69,-7.69,-7.69,-7.69,-7.68,-7.68,-7.68,-7.68,-7.68,-7.68,-7.68,-7.68,-7.68,-7.68,-7.68,-7.69,-7.69,-7.69,-7.69,-7.69,-7.69,-7.69,-7.7,-7.7,-7.7,-7.7,-7.7,-7.7,-7.7,-7.7,-7.7,-7.7,-7.7,-7.7,-7.7,-7.7,-7.7,-7.71,-7.71,-7.72,-7.72,-7.73,-7.74,-7.74,-7.75,-7.76,-7.77,-7.77,-7.78,-7.79,-7.8,-7.81,-7.82,-7.83,-7.84,-7.84,-7.85,-7.86,-7.86,-7.87,-7.87,-7.88,-7.88,-7.88,-7.89,-7.89,-7.89,-7.89,-7.89,-7.89,-7.88,-7.88,-7.87,-7.87,-7.87,-7.86,-7.85,-7.84,-7.84,-7.83,-7.82,-7.81,-7.79,-7.78,-7.77,-7.75,-7.74,-7.72,-7.7,-7.68,-7.66,-7.65,-7.63,-7.61,-7.59,-7.57,-7.56,-7.54,-7.52,-7.51,-7.49,-7.47,-7.46,-7.45,-7.43,-7.42,-7.41,-7.41,-7.4,-7.39,-7.39,-7.38,-7.38,-7.37,-7.37,-7.36,-7.36,-7.36,-7.36,-7.37,-7.37,-7.38,-7.39,-7.4,-7.4,-7.41,-7.43,-7.44,-7.45,-7.46,-7.48,-7.49,-7.51,-7.52,-7.54,-7.56,-7.58,-7.6,-7.61,-7.63,-7.65,-7.67,-7.69,-7.7,-7.71,-7.72,-7.74,-7.75,-7.76,-7.76,-7.77,-7.78,-7.79,-7.79,-7.8,-7.8,-7.8,-7.8,-7.79,-7.79,-7.79,-7.78,-7.78,-7.78,-7.78,-7.77,-7.77,-7.77,-7.76,-7.76,-7.75,-7.74,-7.73,-7.72,-7.71,-7.69,-7.68,-7.67,-7.66,-7.65,-7.63,-7.62,-7.6,-7.59,-7.57,-7.56,-7.54,-7.53,-7.52,-7.51,-7.49,-7.48,-7.47,-7.47,-7.46,-7.45,-7.45,-7.44,-7.44,-7.44,-7.43,-7.43,-7.43,-7.42,-7.42,-7.42,-7.42,-7.42,-7.42,-7.42,-7.43,-7.43,-7.43,-7.43,-7.43,-7.43,-7.42,-7.42,-7.42,-7.43,-7.43,-7.43,-7.43,-7.44,-7.44,-7.44,-7.44,-7.45,-7.45,-7.46,-7.46,-7.46,-7.47,-7.47,-7.48,-7.48,-7.49,-7.49,-7.49,-7.49,-7.49,-7.49,-7.49,-7.49,-7.49,-7.49,-7.49,-7.49,-7.49,-7.48,-7.48,-7.48,-7.47,-7.47,-7.46,-7.46,-7.46,-7.46,-7.45,-7.45,-7.45,-7.44,-7.44,-7.43,-7.43,-7.42,-7.42,-7.41,-7.41,-7.41,-7.4,-7.4,-7.4,-7.39,-7.39,-7.39,-7.38,-7.38,-7.38,-7.37,-7.37,-7.36,-7.36,-7.36,-7.35,-7.35,-7.35,-7.35,-7.35,-7.34,-7.34,-7.34,-7.34,-7.34,-7.33,-7.33,-7.33,-7.32,-7.32,-7.32,-7.31,-7.31,-7.31,-7.3,-7.3,-7.29,-7.29,-7.28,-7.27,-7.26,-7.25,-7.24,-7.23,-7.23,-7.22,-7.21,-7.2,-7.18,-7.17,-7.15,-7.13,-7.11,-7.09,-7.07,-7.05,-7.02,-7.0,-6.97,-6.95,-6.92,-6.9,-6.87,-6.85,-6.82,-6.79,-6.77,-6.74,-6.71,-6.68,-6.65,-6.62,-6.59,-6.57,-6.54,-6.51,-6.49,-6.46,-6.44,-6.41,-6.38,</t>
  </si>
  <si>
    <t>To_Avoid_Formula-6.16,-6.14,-6.12,-6.1,</t>
  </si>
  <si>
    <t>To_Avoid_Formula3.42,3.46,3.5,3.53,3.55,3.56,3.57,3.57,3.57,3.55,3.54,3.51,3.48,3.44,3.4,3.35,3.3,3.23,3.15,3.07,2.97,2.86,2.75,2.64,2.54,2.44,2.35,2.27,2.2,2.14,2.08,2.03,1.98,1.93,1.89,1.86,1.82,1.8,1.78,1.76,1.73,1.71,1.68,1.64,1.6,1.54,1.48,1.42,1.35,1.29,1.23,1.18,1.13,1.09,1.05,1.02,1.0,0.97,0.95,0.92,0.88,0.84,0.78,0.71,0.64,0.56,0.48,0.41,0.34,0.28,0.23,0.2,0.18,0.17,0.18,0.2,0.24,0.29,0.34,0.4,0.46,0.53,0.59,0.65,0.69,0.72,0.74,0.75,0.75,0.75,0.74,0.74,0.74,0.74,0.75,0.75,0.75,0.73,0.71,0.67,0.63,0.59,0.56,0.53,0.5,0.49,0.48,0.47,0.47,0.48,0.48,0.48,0.48,0.49,0.5,0.51,0.51,0.51,0.5,0.47,0.44,0.41,0.37,0.34,0.31,0.29,0.28,0.27,0.27,0.28,0.28,0.29,0.29,0.3,0.31,0.33,0.34,0.36,0.37,0.38,0.37,0.37,0.35,0.33,0.3,0.26,0.2,0.15,0.09,0.03,-0.04,-0.09,-0.15,-0.21,-0.27,-0.34,-0.41,-0.47,-0.52,-0.56,-0.58,-0.59,-0.58,-0.55,-0.51,-0.44,-0.37,-0.29,-0.2,-0.12,-0.04,0.02,0.07,0.11,0.14,0.15,0.14,0.12,0.1,0.07,0.04,0.01,-0.03,-0.07,-0.11,-0.16,-0.19,-0.23,-0.27,-0.31,-0.35,-0.39,-0.43,-0.47,-0.5,-0.53,-0.55,-0.55,-0.54,-0.51,-0.48,-0.44,-0.4,-0.36,-0.32,-0.29,-0.28,-0.26,-0.25,-0.25,-0.25,-0.26,-0.27,-0.28,-0.3,-0.31,-0.33,-0.35,-0.37,-0.4,-0.43,-0.46,-0.48,-0.51,-0.53,-0.57,-0.6,-0.63,-0.66,-0.7,-0.74,-0.78,-0.82,-0.86,-0.91,-0.96,-1.02,-1.07,-1.13,-1.18,-1.23,-1.27,-1.31,-1.33,-1.34,-1.34,-1.32,-1.29,-1.23,-1.16,-1.1,-1.02,-0.94,-0.85,-0.77,-0.69,-0.62,-0.56,-0.51,-0.49,-0.47,-0.47,-0.48,-0.5,-0.52,-0.55,-0.59,-0.62,-0.67,-0.72,-0.77,-0.83,-0.88,-0.93,-0.98,-1.0,-1.02,-1.02,-1.01,-0.98,-0.94,-0.89,-0.83,-0.75,-0.67,-0.59,-0.49,-0.4,-0.3,-0.2,0.0,0.1,0.19,0.26,0.32,0.38,0.42,0.45,0.48,0.51,0.54,0.56,0.59,0.63,0.66,0.68,0.71,0.74,0.77,0.79,0.81,0.83,0.84,0.84,0.84,0.83,0.81,0.79,0.77,0.74,0.71,0.69,0.67,0.67,0.67,0.69,0.72,0.76,0.82,0.87,0.93,0.99,1.04,1.08,1.11,1.13,1.14,1.14,1.13,1.12,1.1,1.07,1.03,0.99,0.94,0.88,0.81,0.75,0.68,0.61,0.55,0.5,0.45,0.41,0.38,0.35,0.34,0.33,0.34,0.35,0.38,0.41,0.44,0.47,0.5,0.53,0.55,0.56,0.57,0.56,0.55,0.53,0.51,0.48,0.44,0.39,0.34,0.28,0.23,0.18,0.13,0.08,0.04,0.0,-0.03,-0.05,-0.07,-0.07,-0.07,-0.05,-0.03,0.01,0.06,0.11,0.17,0.23,0.28,0.33,0.38,0.42,0.46,0.49,0.51,0.53,0.54,0.55,0.55,0.54,0.52,0.5,0.47,0.43,0.4,0.37,0.34,0.32,0.32,0.32,0.34,0.36,0.4,0.44,0.48,0.53,0.58,0.64,0.69,0.73,0.78,0.81,0.85,0.87,0.89,0.9,0.89,0.88,0.86,0.84,0.82,0.81,0.79,0.78,0.76,0.75,0.75,0.75,0.75,0.77,0.79,0.81,0.83,0.85,0.86,0.87,0.88,0.88,0.88,0.88,0.87,0.86,0.85,0.84,0.83,0.82,0.83,0.84,0.86,0.89,0.92,0.96,1.01,1.06,1.13,1.2,1.28,1.36,1.44,1.53,1.62,1.71,1.81,1.9,1.98,2.06,2.13,2.2,2.26,2.33,2.39,2.45,2.51,2.58,2.64,2.71,2.77,2.84,2.92,2.99,3.05,3.12,3.17,3.2,3.21,3.21,3.2,3.17,3.12,3.07,3.02,2.97,2.92,2.89,2.86,2.83,2.81,2.79,2.77,2.76,2.77,2.79,2.83,2.89,2.96,3.03,3.11,3.18,3.24,3.29,3.34,3.38,3.42,3.45,3.47,3.48,3.48,3.48,3.47,3.46,3.45,3.44,3.42,3.42,3.42,3.42,3.43,3.44,3.45,3.46,3.47,3.48,3.49,3.51,3.54,3.58,3.63,3.69,3.77,3.85,3.94,4.02,4.09,4.13,4.15,4.14,4.1,4.04,3.97,3.9,3.83,3.77,3.72,3.69,3.66,3.64,3.63,3.63,3.62,3.6,3.58,3.55,3.52,3.47,3.42,3.37,3.31,3.24,3.16,3.07,2.95,2.82,2.68,2.52,2.35,2.19,2.03,1.87,1.73,1.6,1.51,1.45,1.42,1.41,1.41,1.44,1.47,1.51,1.57,1.63,1.68,1.73,1.76,1.78,1.78,1.76,1.71,1.65,1.57,1.47,1.38,1.28,1.17,1.05,0.94,0.82,0.69,0.56,0.43,0.29,0.16,0.03,-0.09,-0.19,-0.27,-0.33,-0.37,-0.4,-0.41,-0.41,-0.42,-0.44,-0.46,-0.49,-0.53,-0.56,-0.59,-0.63,-0.66,-0.7,-0.74,-0.77,-0.79,-0.8,-0.81,-0.81,-0.81,-0.79,-0.76,-0.71,-0.63,-0.55,-0.45,-0.33,-0.22,-0.11,-0.01,0.07,0.13,0.17,0.2,0.22,0.23,0.23,0.22,0.21,0.2,0.18,0.15,0.12,0.08,0.03,-0.02,-0.06,-0.09,-0.1,-0.09,-0.06,-0.01,0.05,0.14,0.23,0.32,0.4,0.49,0.58,0.67,0.77,0.88,0.99,1.11,1.23,1.35,1.46,1.58,1.68,1.78,1.86,1.93,1.99,2.05,2.1,2.16,2.2,2.25,2.3,2.35,2.4,2.44,2.47,2.49,2.49,2.48,2.47,2.45,2.43,2.42,2.4,2.39,2.38,2.37,2.36,2.34,2.33,2.31,2.29,2.26,2.23,2.19,2.15,2.1,2.05,1.98,1.88,1.76,1.61,1.44,1.25,1.05,0.85,0.63,0.4,0.17,-0.05,-0.24,-0.41,-0.56,-0.67,-0.76,-0.82,-0.87,-0</t>
  </si>
  <si>
    <t>To_Avoid_Formula.89,-0.9,-0.88,-0.86,-0.85,-0.85,-0.88,-0.91,-0.95,-0.98,-1.02,-1.04,-1.06,-1.07,-1.08,-1.09,-1.09,-1.08,-1.06,-1.02,-0.96,-0.87,-0.75,-0.6,-0.42,-0.22,0.0,0.23,0.44,0.63,0.8,0.94,1.06,1.16,1.24,1.29,1.32,1.33,1.33,1.33,1.32,1.32,1.3,1.29,1.28,1.28,1.28,1.28,1.3,1.31,1.33,1.35,1.38,1.42,1.45,1.48,1.51,1.54,1.58,1.62,1.67,1.73,1.8,1.89,1.98,2.08,2.19,2.31,2.42,2.52,2.62,2.72,2.82,2.91,3.0,3.07,3.13,3.18,3.2,3.21,3.18,3.14,3.08,3.02,2.96,2.9,2.83,2.75,2.66,2.58,2.5,2.42,2.36,2.29,2.22,2.16,2.09,2.03,1.98,1.93,1.9,1.87,1.85,1.85,1.85,1.87,1.9,1.95,2.02,2.11,2.22,2.34,2.48,2.62,2.76,2.9,3.04,3.19,3.33,3.46,3.58,3.7,3.8,3.88,3.95,3.99,4.01,4.0,3.96,3.9,3.8,3.68,3.54,3.37,3.21,3.05,2.91,2.79,2.7,2.62,2.56,2.51,2.47,2.44,2.41,2.37,2.32,2.25,2.15,2.04,1.91,1.78,1.64,1.5,1.38,1.28,1.22,1.18,1.18,1.21,1.27,1.35,1.46,1.58,1.7,1.82,1.93,2.03,2.13,2.21,2.29,2.35,2.4,2.43,2.45,2.45,2.45,2.43,2.4,2.36,2.3,2.23,2.16,2.07,1.96,1.84,1.7,1.57,1.44,1.32,1.22,1.14,1.08,1.05,1.03,1.03,1.05,1.08,1.11,1.15,1.19,1.22,1.25,1.26,1.26,1.26,1.25,1.25,1.25,1.24,1.24,1.24,1.24,1.23,1.22,1.2,1.17,1.14,1.09,1.05,1.0,0.95,0.89,0.83,0.78,0.72,0.68,0.65,0.62,0.61,0.61,0.61,0.62,0.64,0.65,0.65,0.65,0.65,0.65,0.66,0.67,0.68,0.7,0.72,0.74,0.77,0.8,0.83,0.87,0.94,1.02,1.14,1.27,1.42,1.57,1.73,1.88,2.04,2.18,2.31,2.42,2.52,2.6,2.65,2.68,2.67,2.63,2.56,2.46,2.34,2.21,2.07,1.93,1.79,1.67,1.55,1.45,1.38,1.33,1.3,1.29,1.29,1.3,1.32,1.34,</t>
  </si>
  <si>
    <t>To_Avoid_Formula1.44,1.43,1.43,1.45,</t>
  </si>
  <si>
    <t>To_Avoid_Formula2.64,2.78,2.87,2.96,3.07,3.18,3.23,3.23,3.21,3.17,3.09,3.0,2.93,2.88,2.87,2.86,2.82,2.77,2.7,2.58,2.45,2.38,2.33,2.25,2.16,2.08,1.99,1.92,1.88,1.78,1.55,1.31,1.09,0.81,0.52,0.28,0.08,-0.1,-0.24,-0.36,-0.45,-0.47,-0.45,-0.41,-0.33,-0.22,-0.15,-0.18,-0.18,-0.08,0.05,0.13,0.17,0.16,0.1,0.09,0.1,0.02,-0.16,-0.34,-0.44,-0.47,-0.5,-0.54,-0.54,-0.51,-0.45,-0.4,-0.38,-0.38,-0.35,-0.31,-0.31,-0.36,-0.46,-0.5,-0.5,-0.53,-0.61,-0.67,-0.68,-0.65,-0.63,-0.68,-0.78,-0.84,-0.8,-0.73,-0.67,-0.61,-0.54,-0.47,-0.39,-0.29,-0.22,-0.17,-0.09,0.06,0.24,0.42,0.56,0.67,0.77,0.84,0.81,0.63,0.39,0.19,0.01,-0.19,-0.42,-0.62,-0.73,-0.78,-0.81,-0.84,-0.86,-0.85,-0.85,-0.83,-0.76,-0.66,-0.55,-0.46,-0.4,-0.34,-0.28,-0.24,-0.24,-0.23,-0.21,-0.18,-0.11,-0.01,0.07,0.09,0.13,0.17,0.15,0.08,-0.03,-0.14,-0.22,-0.24,-0.31,-0.47,-0.64,-0.72,-0.75,-0.76,-0.75,-0.77,-0.82,-0.86,-0.86,-0.81,-0.76,-0.67,-0.54,-0.35,-0.12,0.08,0.26,0.42,0.57,0.71,0.82,0.89,0.9,0.87,0.79,0.7,0.63,0.59,0.54,0.43,0.26,0.1,-0.03,-0.09,-0.17,-0.25,-0.37,-0.46,-0.55,-0.72,-0.89,-1.01,-1.08,-1.19,-1.29,-1.35,-1.39,-1.46,-1.5,-1.5,-1.5,-1.49,-1.42,-1.32,-1.18,-0.99,-0.78,-0.57,-0.36,-0.14,0.08,0.23,0.31,0.34,0.34,0.37,0.37,0.28,0.21,0.23,0.28,0.33,0.37,0.42,0.51,0.63,0.73,0.79,0.84,0.91,0.96,0.97,0.94,0.86,0.73,0.65,0.64,0.66,0.64,0.53,0.35,0.22,0.18,0.13,0.05,0.01,0.04,0.06,0.01,-0.03,0.0,0.07,0.11,0.05,-0.12,-0.3,-0.38,-0.44,-0.57,-0.77,-0.99,-1.17,-1.32,-1.44,-1.54,-1.59,-1.62,-1.64,-1.62,-1.52,-1.39,-1.29,-1.19,-1.03,-0.84,-0.68,-0.54,-0.39,-0.22,-0.03,0.17,0.35,0.5,0.68,0.88,1.05,1.19,1.29,1.41,1.57,1.76,1.89,1.95,1.97,2.12,2.15,2.14,2.07,2.0,1.96,1.88,1.74,1.6,1.47,1.33,1.16,1.0,0.86,0.7,0.54,0.37,0.17,-0.01,-0.14,-0.27,-0.4,-0.48,-0.53,-0.61,-0.7,-0.76,-0.83,-0.91,-1.01,-1.06,-1.09,-1.1,-1.07,-1.07,-1.1,-1.11,-1.09,-1.03,-0.96,-0.9,-0.88,-0.82,-0.69,-0.54,-0.4,-0.28,-0.15,-0.03,0.06,0.1,0.06,0.01,0.02,0.04,0.05,0.04,0.02,0.0,0.01,0.05,0.08,0.1,0.19,0.29,0.32,0.32,0.3,0.25,0.2,0.19,0.2,0.19,0.19,0.23,0.33,0.44,0.46,0.4,0.38,0.41,0.45,0.48,0.53,0.6,0.66,0.73,0.79,0.8,0.73,0.65,0.6,0.55,0.49,0.4,0.24,0.07,-0.03,-0.12,-0.26,-0.45,-0.67,-0.84,-0.93,-0.98,-1.04,-1.1,-1.09,-1.06,-1.04,-1.03,-1.02,-1.04,-0.99,-0.86,-0.75,-0.7,-0.62,-0.48,-0.37,-0.3,-0.26,-0.27,-0.3,-0.25,-0.15,-0.09,-0.05,0.06,0.19,0.28,0.38,0.47,0.55,0.7,0.92,1.08,1.13,1.13,1.05,0.88,0.73,0.61,0.45,0.28,0.21,0.21,0.2,0.22,0.22,0.09,-0.09,-0.19,-0.2,-0.21,-0.2,-0.21,-0.28,-0.36,-0.4,-0.5,-0.63,-0.71,-0.74,-0.83,-0.96,-1.01,-1.04,-1.14,-1.27,-1.32,-1.32,-1.37,-1.47,-1.58,-1.63,-1.61,-1.54,-1.47,-1.37,-1.22,-1.01,-0.76,-0.48,-0.25,-0.01,0.28,0.6,0.86,1.06,1.3,1.51,1.68,1.85,2.02,2.09,2.08,2.08,2.12,2.04,1.8,1.58,1.54,1.56,1.48,1.33,1.21,1.14,1.07,0.99,0.89,0.74,0.53,0.37,0.28,0.2,0.06,-0.08,-0.14,-0.14,-0.18,-0.21,-0.18,-0.12,-0.09,-0.02,0.1,0.17,0.14,0.18,0.34,0.51,0.6,0.7,0.85,0.96,1.02,1.15,1.32,1.44,1.45,1.45,1.45,1.34,1.06,0.72,0.44,0.12,-0.32,-0.8,-1.16,-1.35,-1.46,-1.52,-1.49,-1.39,-1.2,-0.89,-0.5,-0.18,0.08,0.41,0.85,1.28,1.6,1.89,2.19,2.51,2.82,3.14,3.4,3.61,3.77,3.87,3.8,3.52,3.07,2.59,2.1,1.56,0.92,0.28,-0.24,-0.62,-0.99,-1.38,-1.83,-2.32,-2.66,-2.82,-2.94,-3.17,-3.38,-3.44,-3.44,-3.54,-3.66,-3.63,-3.49,-3.38,-3.31,-3.18,-3.01,-2.83,-2.61,-2.31,-2.0,-1.76,-1.52,-1.25,-0.97,-0.76,-0.56,-0.33,-0.12,0.02,0.12,0.19,0.21,0.18,0.14,0.1,0.0,-0.14,-0.24,-0.3,-0.41,-0.58,-0.71,-0.77,-0.84,-0.91,-0.92,-0.89,-0.91,-0.98,-1.0,-1.0,-1.09,-1.23,-1.29,-1.3,-1.34,-1.4,-1.39,-1.32,-1.26,-1.22,-1.19,-1.18,-1.23,-1.27,-1.25,-1.24,-1.3,-1.37,-1.34,-1.26,-1.23,-1.2,-1.07,-0.91,-0.76,-0.58,-0.3,-0.05,0.1,0.27,0.47,0.65,0.78,0.96,1.21,1.42,1.55,1.66,1.8,1.9,1.91,1.9,1.9,1.84,1.68,1.56,1.53,1.49,1.4,1.32,1.31,1.3,1.27,1.26,1.24,1.11,0.92,0.83,0.83,0.78,0.62,0.49,0.46,0.43,0.39,0.41,0.48,0.51,0.51,0.54,0.61,0.66,0.74,0.87,0.98,0.97,0.93,0.98,1.05,0.99,0.87,0.82,0.81,0.72,0.61,0.56,0.53,0.42,0.32,0.31,0.34,0.32,0.3,0.39,0.5,0.54,0.55,0.65,0.82,0.96,1.05,1.09,1.05,0.9</t>
  </si>
  <si>
    <t>To_Avoid_Formula8,1.0,1.12,1.19,1.18,1.15,1.14,1.07,0.95,0.86,0.8,0.68,0.44,0.22,0.05,-0.17,-0.51,-0.81,-0.95,-1.03,-1.07,-0.96,-0.77,-0.71,-0.78,-0.79,-0.6,-0.38,-0.25,-0.13,0.02,0.1,0.03,-0.11,-0.23,-0.33,-0.43,-0.47,-0.46,-0.44,-0.39,-0.28,-0.2,-0.22,-0.29,-0.31,-0.3,-0.34,-0.4,-0.4,-0.39,-0.46,-0.54,-0.54,-0.55,-0.64,-0.68,-0.6,-0.52,-0.5,-0.46,-0.37,-0.33,-0.4,-0.52,-0.58,-0.61,-0.65,-0.66,-0.64,-0.67,-0.74,-0.76,-0.66,-0.55,-0.48,-0.42,-0.33,-0.28,-0.32,-0.35,-0.32,-0.29,-0.29,-0.25,-0.17,-0.15,-0.17,-0.11,0.0,0.01,-0.08,-0.14,-0.17,-0.23,-0.36,-0.52,-0.66,-0.79,-0.92,-1.04,-1.15,-1.3,-1.43,-1.44,-1.39,-1.44,-1.58,-1.63,-1.6,-1.58,-1.59,-1.53,-1.42,-1.36,-1.34,-1.3,-1.25,-1.28,-1.35,-1.37,-1.36,-1.4,-1.41,-1.36,-1.33,-1.37,-1.34,-1.2,-1.05,-0.98,-0.9,-0.72,-0.51,-0.35,-0.24,-0.11,0.03,0.15,0.28,0.45,0.53,0.49,0.43,0.45,0.48,0.45,0.49,0.63,0.78,0.87,1.03,1.29,1.53,1.7,1.86,2.07,2.24,2.4,2.64,2.96,3.24,3.44,3.61,3.77,3.84,3.82,3.83,3.93,3.96,3.83,3.69,3.65,3.55,3.23,2.78,2.38,2.1,1.92,1.97,2.27,2.62,2.88,3.07,3.17,3.08,2.82,2.62,2.5,2.3,1.97,1.72,1.59,1.41,1.07,0.7,0.36,0.0,-0.35,-0.63,-0.85,-1.1,-1.39,-1.65,-1.81,-1.97,-2.11,-2.2,-2.21,-2.26,-2.34,-2.36,-2.22,-2.05,-1.98,-2.04,-2.16,-2.27,-2.4,-2.61,-2.89,-3.21,-3.49,-3.59,-3.59,-3.61,-3.57,-3.35,-3.04,-2.78,-2.53,-2.18,-1.77,-1.38,-1.08,-0.97,-1.07,-1.26,-1.37,-1.39,-1.45,-1.66,-1.96,-2.2,-2.32,-2.36,-2.35,-2.27,-2.19,-2.13,-2.03,-1.87,-1.7,-1.57,-1.4,-1.18,-0.92,-0.62,-0.26,0.08,0.33,0.55,0.83,1.05,1.1,1.03,0.98,0.98,0.91,0.82,0.81,0.87,0.86,0.79,0.81,0.95,1.13,1.24,1.3,1.33,1.37,1.49,1.67,1.83,1.92,1.98,2.05,2.05,1.89,1.62,1.43,1.33,1.2,0.99,0.79,0.67,0.56,0.47,0.5,0.55,0.54,0.53,0.69,0.95,1.12,1.17,1.18,1.16,0.93,0.46,0.0,-0.29,-0.49,</t>
  </si>
  <si>
    <t>To_Avoid_Formula-0.94,-0.83,-0.68,-0.64,</t>
  </si>
  <si>
    <t>To_Avoid_Formula-5.43,-5.18,-4.97,-4.8,-4.63,-4.45,-4.3,-4.21,-4.17,-4.19,-4.24,-4.24,-4.19,-4.13,-4.04,-3.91,-3.73,-3.59,-3.49,-3.44,-3.38,-3.26,-3.13,-3.06,-3.04,-3.0,-2.95,-2.87,-2.79,-2.81,-2.95,-3.05,-3.08,-3.18,-3.34,-3.47,-3.52,-3.53,-3.51,-3.52,-3.52,-3.47,-3.34,-3.19,-3.03,-2.84,-2.64,-2.48,-2.29,-2.02,-1.71,-1.44,-1.2,-0.99,-0.84,-0.7,-0.57,-0.49,-0.46,-0.48,-0.54,-0.6,-0.6,-0.54,-0.45,-0.37,-0.3,-0.23,-0.16,-0.06,0.08,0.2,0.3,0.38,0.45,0.56,0.67,0.73,0.73,0.77,0.86,0.95,1.0,0.99,0.95,0.97,1.08,1.21,1.34,1.49,1.68,1.88,2.05,2.21,2.34,2.44,2.56,2.7,2.83,2.94,3.04,3.14,3.22,3.25,3.2,3.09,2.97,2.85,2.73,2.59,2.46,2.36,2.33,2.35,2.38,2.42,2.51,2.65,2.77,2.87,2.97,3.11,3.27,3.42,3.53,3.62,3.71,3.79,3.84,3.87,3.92,3.96,4.0,4.07,4.08,4.01,3.93,3.85,3.73,3.58,3.39,3.2,3.04,2.93,2.82,2.68,2.56,2.51,2.51,2.55,2.63,2.71,2.79,2.88,3.02,3.22,3.45,3.7,3.96,4.24,4.58,4.91,5.24,5.53,5.77,5.97,6.12,6.22,6.2,6.08,5.89,5.68,5.46,5.24,4.99,4.73,4.44,4.15,3.86,3.59,3.31,3.05,2.79,2.54,2.29,1.98,1.67,1.42,1.25,1.06,0.86,0.7,0.57,0.42,0.27,0.14,-0.01,-0.15,-0.24,-0.32,-0.39,-0.45,-0.48,-0.48,-0.44,-0.35,-0.24,-0.13,-0.02,0.07,0.16,0.3,0.42,0.48,0.54,0.65,0.78,0.9,1.01,1.12,1.22,1.33,1.42,1.45,1.45,1.48,1.5,1.45,1.35,1.2,1.01,0.87,0.79,0.74,0.66,0.54,0.4,0.33,0.33,0.34,0.31,0.32,0.36,0.35,0.25,0.2,0.2,0.15,0.02,-0.12,-0.22,-0.28,-0.31,-0.38,-0.53,-0.71,-0.85,-0.97,-1.1,-1.26,-1.41,-1.54,-1.65,-1.78,-1.93,-2.04,-2.11,-2.2,-2.3,-2.37,-2.4,-2.43,-2.44,-2.39,-2.32,-2.23,-2.08,-1.91,-1.75,-1.56,-1.33,-1.1,-0.89,-0.7,-0.52,-0.33,-0.14,-0.01,0.03,0.02,0.18,0.23,0.27,0.28,0.3,0.35,0.38,0.35,0.29,0.22,0.13,0.0,-0.15,-0.31,-0.49,-0.66,-0.84,-1.07,-1.31,-1.5,-1.66,-1.81,-1.94,-2.06,-2.2,-2.34,-2.45,-2.56,-2.7,-2.85,-2.96,-3.05,-3.11,-3.12,-3.15,-3.2,-3.24,-3.26,-3.28,-3.29,-3.33,-3.4,-3.43,-3.4,-3.35,-3.3,-3.22,-3.11,-2.99,-2.89,-2.84,-2.87,-2.89,-2.85,-2.81,-2.82,-2.84,-2.84,-2.84,-2.8,-2.75,-2.71,-2.64,-2.48,-2.28,-2.16,-2.09,-2.02,-2.0,-1.99,-1.98,-2.01,-2.07,-2.11,-2.13,-2.13,-2.12,-2.12,-2.14,-2.13,-2.05,-1.96,-1.86,-1.74,-1.6,-1.48,-1.37,-1.26,-1.19,-1.18,-1.18,-1.16,-1.15,-1.15,-1.16,-1.2,-1.23,-1.22,-1.24,-1.31,-1.43,-1.56,-1.68,-1.75,-1.81,-1.91,-1.98,-1.96,-1.91,-1.92,-1.91,-1.9,-1.89,-1.85,-1.73,-1.66,-1.65,-1.58,-1.44,-1.32,-1.25,-1.19,-1.14,-1.11,-1.03,-0.91,-0.8,-0.7,-0.54,-0.41,-0.35,-0.28,-0.2,-0.13,-0.02,0.16,0.31,0.38,0.48,0.6,0.71,0.84,0.99,1.09,1.15,1.25,1.35,1.42,1.44,1.33,1.08,0.81,0.65,0.58,0.51,0.46,0.41,0.33,0.26,0.23,0.12,-0.05,-0.17,-0.23,-0.36,-0.54,-0.63,-0.68,-0.78,-0.92,-1.0,-1.06,-1.2,-1.42,-1.62,-1.75,-1.83,-1.87,-1.87,-1.83,-1.73,-1.58,-1.37,-1.11,-0.88,-0.64,-0.34,0.01,0.31,0.58,0.89,1.19,1.47,1.75,2.06,2.3,2.46,2.63,2.83,2.94,2.93,2.92,3.01,3.09,3.05,2.96,2.91,2.91,2.84,2.76,2.71,2.65,2.56,2.49,2.47,2.45,2.38,2.31,2.29,2.28,2.22,2.15,2.15,2.17,2.17,2.21,2.33,2.41,2.44,2.5,2.67,2.83,2.92,3.01,3.11,3.13,3.1,3.12,3.15,3.13,3.02,2.93,2.87,2.76,2.54,2.33,2.19,2.02,1.74,1.4,1.16,1.04,1.01,1.01,1.06,1.14,1.3,1.58,1.96,2.28,2.56,2.91,3.36,3.8,4.16,4.52,4.92,5.32,5.7,6.08,6.43,6.73,6.98,7.19,7.29,7.19,6.96,6.72,6.47,6.13,5.69,5.24,4.85,4.49,4.12,3.75,3.37,2.92,2.53,2.28,2.14,1.92,1.69,1.55,1.45,1.29,1.09,0.99,0.92,0.79,0.65,0.63,0.69,0.78,0.9,1.1,1.3,1.45,1.59,1.76,1.93,2.04,2.15,2.26,2.31,2.3,2.31,2.31,2.24,2.12,2.01,1.91,1.75,1.53,1.36,1.23,1.05,0.82,0.64,0.53,0.42,0.3,0.22,0.15,0.03,-0.14,-0.24,-0.3,-0.47,-0.71,-0.89,-1.0,-1.15,-1.29,-1.37,-1.41,-1.5,-1.59,-1.69,-1.82,-2.02,-2.21,-2.35,-2.52,-2.77,-3.0,-3.11,-3.17,-3.28,-3.39,-3.41,-3.39,-3.38,-3.36,-3.28,-3.22,-3.24,-3.24,-3.18,-3.14,-3.13,-3.07,-2.95,-2.82,-2.72,-2.59,-2.43,-2.29,-2.24,-2.21,-2.15,-2.13,-2.2,-2.28,-2.31,-2.38,-2.51,-2.61,-2.63,-2.65,-2.69,-2.69,-2.65,-2.7,-2.82,-2.86,-2.82,-2.83,-2.95,-3.06,-3.08,-3.1,-3.17,-3.21,-3.19,-3.19,-3.23,-3.24,-3.23,-3.24,-3.25,-3.19,-3.12,-3.13,-3.16,-3.11,-3.02,-2.99,-2.98,-2.87,-2.75,-2.71,-2.71,-2.65,-2.58,-2.61,-2.68,-2.69,-2.71,-2.77,-2.83,-2.81,-2.78,-2.84,</t>
  </si>
  <si>
    <t>To_Avoid_Formula-2.91,-2.84,-2.68,-2.56,-2.45,-2.32,-2.24,-2.21,-2.15,-2.01,-1.89,-1.83,-1.78,-1.73,-1.72,-1.75,-1.72,-1.62,-1.55,-1.55,-1.52,-1.4,-1.3,-1.28,-1.24,-1.13,-1.07,-1.03,-0.91,-0.76,-0.81,-1.01,-1.17,-1.15,-1.09,-1.08,-1.03,-0.91,-0.8,-0.77,-0.71,-0.6,-0.51,-0.43,-0.29,-0.12,0.03,0.17,0.36,0.52,0.57,0.55,0.55,0.59,0.61,0.66,0.76,0.87,0.88,0.88,0.95,0.99,0.89,0.77,0.75,0.77,0.75,0.75,0.83,0.88,0.83,0.77,0.79,0.83,0.85,0.9,0.99,1.03,0.99,0.99,1.08,1.19,1.25,1.3,1.37,1.4,1.37,1.36,1.42,1.5,1.58,1.7,1.87,1.96,1.99,2.08,2.19,2.15,1.96,1.78,1.68,1.59,1.47,1.33,1.25,1.19,1.14,1.12,1.11,1.02,0.88,0.81,0.8,0.72,0.56,0.46,0.42,0.37,0.28,0.24,0.24,0.2,0.09,-0.02,-0.09,-0.17,-0.24,-0.24,-0.23,-0.32,-0.43,-0.47,-0.51,-0.66,-0.84,-0.94,-1.02,-1.14,-1.25,-1.26,-1.21,-1.2,-1.21,-1.17,-1.09,-1.03,-0.95,-0.81,-0.7,-0.66,-0.63,-0.55,-0.45,-0.41,-0.38,-0.28,-0.19,-0.18,-0.17,-0.11,-0.04,-0.04,-0.04,0.02,0.09,0.14,0.27,0.48,0.62,0.66,0.71,0.81,0.87,0.9,0.97,1.15,1.3,1.32,1.33,1.37,1.31,1.03,0.63,0.24,-0.19,-0.66,-1.06,-1.3,-1.42,-1.47,-1.39,-1.16,-0.85,-0.48,-0.01,0.53,1.01,1.36,1.74,2.21,2.65,2.99,3.28,3.57,3.83,4.08,4.32,4.48,4.49,4.43,4.4,4.41,4.32,4.16,4.04,3.99,3.88,3.65,3.44,3.39,3.42,3.37,3.22,3.06,2.95,2.85,2.72,2.55,2.37,2.24,2.19,2.16,2.09,2.06,2.14,2.18,2.07,1.92,1.89,1.9,1.85,1.72,1.53,1.23,0.87,0.57,0.37,0.16,-0.15,-0.49,-0.76,-0.97,-1.15,-1.28,-1.32,-1.37,-1.5,-1.62,-1.65,-1.64,-1.66,-1.68,-1.64,-1.57,-1.48,-1.35,-1.22,-1.16,-1.14,-1.05,-0.95,-0.94,-0.99,-1.01,-1.0,-1.04,-1.11,-1.1,-1.01,-0.97,-0.99,-0.94,-0.79,-0.67,-0.62,-0.57,-0.53,-0.51,-0.47,-0.39,-0.32,-0.33,-0.37,-0.37,-0.36,-0.43,-0.58,-0.69,-0.7,-0.71,-0.75,-0.77,-0.76,-0.83,-0.93,-0.97,-0.99,-1.09,-1.22,-1.25,-1.2,-1.19,-1.24,-1.23,-1.2,-1.29,-1.53,-1.74,-1.87,-1.98,</t>
  </si>
  <si>
    <t>To_Avoid_Formula-2.2,-2.21,-2.14,-2.12,</t>
  </si>
  <si>
    <t>To_Avoid_Formula2.97,3.14,3.24,3.25,3.24,3.22,3.18,3.08,2.88,2.58,2.27,2.07,1.97,1.86,1.75,1.74,1.81,1.85,1.8,1.7,1.63,1.61,1.6,1.49,1.3,1.13,1.01,0.94,0.82,0.58,0.23,0.01,-0.1,-0.27,-0.51,-0.74,-0.83,-0.84,-0.84,-0.89,-0.97,-0.99,-0.91,-0.82,-0.74,-0.64,-0.5,-0.35,-0.17,0.06,0.33,0.53,0.7,0.86,0.95,0.97,0.93,0.89,0.86,0.74,0.46,0.15,-0.03,-0.07,-0.1,-0.18,-0.29,-0.4,-0.47,-0.46,-0.4,-0.38,-0.37,-0.35,-0.3,-0.21,-0.17,-0.2,-0.28,-0.3,-0.28,-0.29,-0.35,-0.46,-0.58,-0.61,-0.55,-0.47,-0.4,-0.28,-0.1,0.08,0.19,0.25,0.27,0.27,0.27,0.24,0.15,0.02,-0.08,-0.17,-0.28,-0.45,-0.65,-0.83,-0.96,-1.08,-1.23,-1.36,-1.42,-1.43,-1.41,-1.33,-1.23,-1.11,-0.91,-0.65,-0.41,-0.26,-0.14,0.01,0.18,0.34,0.45,0.51,0.57,0.63,0.66,0.66,0.67,0.65,0.62,0.59,0.49,0.27,0.03,-0.2,-0.43,-0.67,-0.91,-1.14,-1.33,-1.46,-1.52,-1.54,-1.51,-1.41,-1.26,-1.07,-0.81,-0.52,-0.22,0.08,0.42,0.83,1.26,1.7,2.06,2.41,2.79,3.17,3.53,3.8,3.97,4.04,4.05,3.97,3.72,3.33,2.87,2.4,1.92,1.41,0.91,0.45,0.03,-0.38,-0.79,-1.21,-1.61,-1.92,-2.18,-2.42,-2.66,-2.93,-3.15,-3.27,-3.28,-3.28,-3.3,-3.27,-3.2,-3.13,-3.07,-3.02,-3.0,-2.98,-2.91,-2.84,-2.82,-2.8,-2.76,-2.67,-2.51,-2.28,-2.01,-1.71,-1.37,-1.01,-0.64,-0.23,0.16,0.49,0.79,1.1,1.39,1.66,1.9,2.1,2.23,2.35,2.42,2.4,2.34,2.3,2.26,2.13,1.93,1.69,1.43,1.24,1.12,1.01,0.88,0.78,0.72,0.74,0.82,0.92,0.98,1.07,1.14,1.11,0.99,0.94,0.94,0.8,0.52,0.34,0.36,0.46,0.53,0.49,0.38,0.29,0.29,0.33,0.31,0.22,0.12,0.04,-0.02,-0.14,-0.32,-0.49,-0.62,-0.74,-0.9,-1.04,-1.15,-1.22,-1.22,-1.15,-1.05,-0.94,-0.76,-0.52,-0.29,-0.05,0.22,0.5,0.76,0.98,1.15,1.27,1.36,1.36,1.26,1.1,0.99,0.92,0.87,0.82,0.79,0.78,0.78,0.72,0.61,0.47,0.31,0.11,-0.11,-0.36,-0.62,-0.84,-1.05,-1.31,-1.59,-1.8,-1.93,-2.04,-2.14,-2.23,-2.33,-2.42,-2.45,-2.48,-2.54,-2.6,-2.62,-2.6,-2.54,-2.43,-2.33,-2.25,-2.16,-2.06,-1.99,-1.94,-1.93,-1.93,-1.91,-1.82,-1.73,-1.64,-1.5,-1.29,-1.08,-0.88,-0.75,-0.7,-0.63,-0.5,-0.39,-0.35,-0.33,-0.27,-0.2,-0.1,0.0,0.08,0.22,0.47,0.75,0.93,1.05,1.15,1.22,1.24,1.21,1.09,0.94,0.82,0.71,0.57,0.46,0.4,0.37,0.39,0.47,0.57,0.68,0.82,0.95,1.04,1.1,1.15,1.17,1.15,1.13,1.11,1.06,1.02,1.0,0.98,0.99,1.02,0.99,0.9,0.8,0.69,0.59,0.51,0.4,0.26,0.17,0.21,0.25,0.23,0.21,0.23,0.25,0.29,0.37,0.38,0.34,0.36,0.47,0.55,0.56,0.6,0.64,0.66,0.71,0.79,0.85,0.94,1.05,1.07,0.99,0.91,0.87,0.81,0.76,0.77,0.75,0.71,0.75,0.91,1.14,1.38,1.61,1.8,1.91,1.98,2.02,1.97,1.8,1.42,0.89,0.4,0.08,-0.11,-0.31,-0.49,-0.65,-0.77,-0.85,-0.91,-1.05,-1.25,-1.39,-1.46,-1.6,-1.77,-1.84,-1.83,-1.86,-1.9,-1.9,-1.92,-2.05,-2.24,-2.38,-2.43,-2.44,-2.4,-2.31,-2.15,-1.96,-1.72,-1.42,-1.08,-0.78,-0.49,-0.15,0.23,0.55,0.82,1.12,1.41,1.66,1.9,2.16,2.36,2.5,2.62,2.74,2.79,2.77,2.73,2.73,2.64,2.41,2.15,1.99,1.84,1.61,1.35,1.18,1.08,0.97,0.87,0.8,0.73,0.63,0.54,0.47,0.39,0.23,0.07,-0.02,-0.09,-0.16,-0.19,-0.14,-0.08,-0.06,-0.03,0.07,0.14,0.15,0.15,0.1,-0.07,-0.29,-0.46,-0.64,-0.89,-1.2,-1.44,-1.59,-1.74,-1.92,-2.0,-1.98,-1.95,-2.02,-2.12,-2.14,-2.04,-1.86,-1.66,-1.46,-1.28,-1.04,-0.68,-0.26,0.09,0.38,0.72,1.12,1.46,1.72,1.99,2.29,2.55,2.74,2.89,3.03,3.08,3.07,3.04,2.92,2.66,2.32,2.03,1.75,1.38,0.95,0.55,0.2,-0.19,-0.58,-0.9,-1.15,-1.46,-1.77,-1.93,-1.92,-1.92,-1.95,-1.95,-1.91,-1.89,-1.9,-1.87,-1.88,-1.96,-2.03,-1.92,-1.69,-1.45,-1.17,-0.84,-0.54,-0.32,-0.11,0.12,0.3,0.42,0.53,0.59,0.55,0.47,0.45,0.44,0.34,0.19,0.09,0.02,-0.12,-0.31,-0.43,-0.5,-0.62,-0.75,-0.81,-0.79,-0.77,-0.77,-0.73,-0.7,-0.74,-0.81,-0.78,-0.71,-0.75,-0.87,-0.94,-0.94,-0.95,-0.93,-0.85,-0.77,-0.76,-0.76,-0.75,-0.78,-0.88,-0.98,-1.03,-1.11,-1.28,-1.39,-1.35,-1.26,-1.23,-1.21,-1.1,-0.95,-0.84,-0.74,-0.62,-0.55,-0.55,-0.53,-0.44,-0.37,-0.34,-0.27,-0.15,0.0,0.15,0.36,0.6,0.79,0.89,0.97,1.07,1.16,1.16,1.12,1.06,0.94,0.77,0.65,0.61,0.58,0.52,0.53,0.6,0.62,0.57,0.56,0.64,0.65,0.55,0.46,0.45,0.42,0.32,0.24,0.2,0.15,0.07,0.02,-0.04,-0.14,-0.24,-0.27,-0.26,-0.3,-0.35,-0.34,-0.26,-0.2,-0.09,0.11,0.3,0.38,0.42,0.53,0.61,0.58,0.46,0.36,0.23,0.05,-0.11,-0.2,-0.33,-0.54,-0.73,-0.75,-0.67,-0.62,-0.58,-0.4</t>
  </si>
  <si>
    <t>To_Avoid_Formula5,-0.34,-0.32,-0.31,-0.25,-0.2,-0.2,-0.2,-0.2,-0.23,-0.29,-0.25,-0.12,0.02,0.13,0.3,0.59,0.89,1.14,1.39,1.62,1.7,1.68,1.68,1.63,1.35,0.9,0.49,0.25,0.06,-0.15,-0.26,-0.26,-0.23,-0.18,-0.02,0.21,0.4,0.54,0.74,0.96,1.1,1.19,1.31,1.4,1.36,1.22,1.09,1.02,0.97,0.98,1.05,1.11,1.06,1.0,1.02,0.98,0.75,0.43,0.22,0.09,-0.05,-0.16,-0.17,-0.19,-0.27,-0.33,-0.3,-0.23,-0.2,-0.15,-0.04,0.02,-0.03,-0.07,-0.03,0.04,0.05,0.02,0.01,-0.02,-0.09,-0.13,-0.07,0.02,0.12,0.27,0.46,0.56,0.57,0.6,0.63,0.47,0.11,-0.23,-0.43,-0.54,-0.67,-0.76,-0.76,-0.72,-0.64,-0.51,-0.38,-0.36,-0.44,-0.49,-0.48,-0.51,-0.6,-0.66,-0.66,-0.66,-0.72,-0.74,-0.71,-0.73,-0.85,-0.98,-1.02,-1.01,-0.93,-0.77,-0.61,-0.6,-0.65,-0.64,-0.59,-0.7,-0.91,-1.07,-1.2,-1.34,-1.45,-1.44,-1.38,-1.35,-1.31,-1.19,-1.03,-0.88,-0.72,-0.5,-0.26,-0.06,0.13,0.35,0.57,0.72,0.81,0.88,0.92,0.88,0.75,0.62,0.5,0.32,0.15,0.05,-0.02,-0.1,-0.12,-0.1,-0.17,-0.37,-0.53,-0.59,-0.62,-0.67,-0.64,-0.5,-0.37,-0.33,-0.32,-0.33,-0.5,-0.86,-1.28,-1.73,-2.3,-3.03,-3.81,-4.5,-4.97,-5.22,-5.14,-4.69,-3.9,-2.89,-1.75,-0.61,0.44,1.33,2.16,3.02,3.86,4.59,5.23,5.83,6.38,6.88,7.28,7.45,7.34,7.15,7.0,6.84,6.5,6.01,5.57,5.22,4.79,4.2,3.61,3.2,2.9,2.57,2.2,1.86,1.65,1.5,1.36,1.24,1.19,1.17,1.16,1.11,1.0,0.93,0.87,0.67,0.2,-0.31,-0.68,-1.01,-1.46,-1.94,-2.36,-2.75,-3.15,-3.48,-3.68,-3.83,-4.01,-4.15,-4.18,-4.18,-4.2,-4.15,-4.0,-3.88,-3.87,-3.89,-3.79,-3.63,-3.5,-3.39,-3.25,-3.08,-2.94,-2.79,-2.65,-2.56,-2.54,-2.45,-2.29,-2.14,-2.01,-1.85,-1.67,-1.54,-1.43,-1.25,-1.0,-0.79,-0.63,-0.43,-0.18,-0.04,0.03,0.12,0.23,0.27,0.27,0.29,0.28,0.18,0.05,0.0,0.03,0.05,0.02,0.03,0.13,0.26,0.4,0.59,0.75,0.75,0.64,0.57,0.5,0.35,0.13,-0.05,-0.17,-0.3,-0.4,-0.38,-0.27,-0.2,-0.17,-0.09,0.01,0.07,</t>
  </si>
  <si>
    <t>To_Avoid_Formula0.68,0.6,0.63,0.68,</t>
  </si>
  <si>
    <t>To_Avoid_Formula-0.97,-0.78,-0.64,-0.48,-0.26,-0.08,-0.02,-0.07,-0.03,0.12,0.27,0.31,0.27,0.34,0.52,0.68,0.74,0.78,0.81,0.79,0.71,0.66,0.61,0.54,0.46,0.37,0.33,0.36,0.42,0.52,0.7,0.86,0.91,0.9,0.96,1.07,1.11,1.05,0.93,0.8,0.75,0.74,0.7,0.58,0.45,0.33,0.25,0.16,0.06,-0.09,-0.27,-0.37,-0.41,-0.52,-0.69,-0.82,-0.87,-0.96,-1.18,-1.38,-1.35,-1.11,-0.88,-0.77,-0.66,-0.45,-0.18,0.12,0.42,0.62,0.69,0.72,0.83,0.99,0.98,0.75,0.47,0.36,0.36,0.3,0.17,0.03,-0.07,-0.12,-0.13,-0.16,-0.23,-0.27,-0.23,-0.17,-0.19,-0.28,-0.35,-0.34,-0.28,-0.23,-0.2,-0.12,0.09,0.4,0.74,1.04,1.36,1.74,2.13,2.43,2.62,2.78,2.93,3.01,2.98,2.9,2.76,2.5,2.16,1.83,1.45,0.96,0.43,0.02,-0.16,-0.23,-0.35,-0.55,-0.68,-0.67,-0.63,-0.67,-0.71,-0.7,-0.67,-0.52,-0.25,0.06,0.33,0.62,0.98,1.37,1.75,2.08,2.37,2.64,2.97,3.3,3.51,3.57,3.54,3.44,3.3,3.07,2.7,2.17,1.56,0.95,0.34,-0.33,-1.04,-1.78,-2.44,-2.97,-3.38,-3.77,-4.2,-4.58,-4.85,-5.0,-5.01,-4.93,-4.71,-4.34,-3.86,-3.32,-2.7,-2.07,-1.47,-0.93,-0.4,0.18,0.78,1.4,1.95,2.41,2.75,3.01,3.19,3.27,3.31,3.24,3.02,2.75,2.57,2.45,2.29,2.03,1.72,1.44,1.26,1.18,1.08,0.99,1.04,1.2,1.43,1.67,1.92,2.1,2.24,2.33,2.32,2.19,1.94,1.64,1.26,0.81,0.34,-0.19,-0.77,-1.37,-1.95,-2.45,-2.81,-3.09,-3.25,-3.26,-3.14,-2.94,-2.73,-2.42,-2.01,-1.6,-1.26,-0.96,-0.65,-0.3,-0.01,0.1,0.03,-0.1,-0.26,-0.49,-0.75,-0.99,-1.21,-1.4,-1.55,-1.75,-1.93,-1.92,-1.8,-1.88,-2.15,-2.41,-2.53,-2.53,-2.52,-2.58,-2.79,-3.09,-3.41,-3.67,-3.85,-4.03,-4.4,-4.85,-5.0,-4.75,-4.37,-4.13,-3.97,-3.72,-3.34,-2.88,-2.47,-2.19,-1.98,-1.78,-1.65,-1.6,-1.64,-1.77,-2.01,-2.29,-2.59,-2.93,-3.29,-3.59,-3.78,-3.85,-3.81,-3.76,-3.66,-3.52,-3.4,-3.34,-3.29,-3.21,-3.12,-3.04,-2.99,-2.96,-2.99,-3.05,-3.1,-3.13,-3.15,-3.17,-3.2,-3.15,-3.0,-2.83,-2.72,-2.59,-2.41,-2.24,-2.12,-2.03,-1.97,-1.97,-1.99,-2.02,-2.03,-2.03,-2.08,-2.19,-2.32,-2.39,-2.44,-2.5,-2.53,-2.51,-2.45,-2.37,-2.26,-2.15,-2.02,-1.89,-1.79,-1.74,-1.69,-1.62,-1.54,-1.47,-1.44,-1.48,-1.54,-1.56,-1.59,-1.67,-1.8,-1.93,-2.04,-2.11,-2.17,-2.28,-2.41,-2.52,-2.61,-2.69,-2.76,-2.83,-2.86,-2.79,-2.64,-2.47,-2.28,-1.99,-1.71,-1.48,-1.28,-1.08,-0.91,-0.76,-0.62,-0.49,-0.38,-0.33,-0.33,-0.37,-0.42,-0.55,-0.8,-1.02,-1.11,-1.1,-1.14,-1.25,-1.38,-1.47,-1.49,-1.52,-1.63,-1.82,-1.98,-2.06,-2.04,-1.98,-1.99,-2.1,-2.18,-2.15,-2.04,-1.95,-1.91,-1.89,-1.82,-1.67,-1.48,-1.35,-1.32,-1.33,-1.36,-1.38,-1.39,-1.44,-1.49,-1.51,-1.51,-1.54,-1.55,-1.51,-1.43,-1.35,-1.26,-1.12,-0.93,-0.71,-0.47,-0.24,-0.13,-0.27,-0.62,-0.97,-1.27,-1.65,-2.11,-2.54,-2.89,-3.13,-3.25,-3.23,-3.19,-3.2,-3.21,-3.12,-2.78,-2.24,-1.71,-1.26,-0.82,-0.39,-0.04,0.23,0.43,0.49,0.34,0.14,-0.01,-0.15,-0.3,-0.5,-0.69,-0.78,-0.71,-0.58,-0.52,-0.52,-0.5,-0.47,-0.49,-0.56,-0.61,-0.64,-0.63,-0.59,-0.54,-0.51,-0.55,-0.68,-0.82,-0.93,-1.01,-1.15,-1.3,-1.41,-1.49,-1.65,-1.85,-2.02,-2.14,-2.33,-2.62,-2.9,-3.04,-3.03,-2.96,-2.93,-2.95,-2.91,-2.78,-2.61,-2.48,-2.43,-2.47,-2.5,-2.42,-2.26,-2.12,-2.15,-2.26,-2.36,-2.36,-2.29,-2.25,-2.3,-2.38,-2.37,-2.25,-2.14,-2.1,-2.07,-1.97,-1.79,-1.61,-1.45,-1.24,-0.98,-0.71,-0.38,0.02,0.48,0.94,1.38,1.83,2.23,2.46,2.48,2.39,2.25,2.03,1.66,1.2,0.73,0.2,-0.41,-1.0,-1.52,-1.96,-2.34,-2.63,-2.77,-2.76,-2.68,-2.48,-2.17,-1.85,-1.57,-1.33,-1.02,-0.64,-0.28,0.0,0.28,0.6,0.89,1.11,1.27,1.33,1.24,1.08,0.94,0.8,0.61,0.44,0.33,0.22,0.0,-0.39,-0.81,-1.07,-1.23,-1.48,-1.75,-1.91,-1.94,-1.97,-2.04,-2.07,-2.05,-2.05,-2.04,-1.95,-1.84,-1.81,-1.95,-2.12,-2.13,-1.99,-1.87,-1.87,-1.84,-1.68,-1.51,-1.45,-1.45,-1.4,-1.32,-1.22,-1.07,-0.84,-0.6,-0.45,-0.35,-0.23,-0.12,-0.06,-0.02,-0.01,-0.05,-0.2,-0.48,-0.75,-0.93,-1.07,-1.21,-1.34,-1.43,-1.55,-1.72,-1.88,-1.99,-2.08,-2.17,-2.26,-2.36,-2.44,-2.45,-2.42,-2.41,-2.46,-2.53,-2.55,-2.5,-2.43,-2.34,-2.25,-2.24,-2.27,-2.28,-2.21,-2.14,-2.13,-2.16,-2.17,-2.1,-1.96,-1.81,-1.68,-1.56,-1.47,-1.4,-1.28,-1.06,-0.82,-0.64,-0.55,-0.53,-0.52,-0.52,-0.6,-0.75,-0.96,-1.22,-1.48,-1.68,-1.77,-1.8,-1.86,-1.97,-2.05,-2.04,-1.95,-1.88,-1.9,-1.98,-2.06,-2.07,-2.02,-1.96,-1.95,-2.03,-2.17,-2.29,-2.32,</t>
  </si>
  <si>
    <t>To_Avoid_Formula-2.27,-2.22,-2.2,-2.14,-1.97,-1.68,-1.36,-1.03,-0.7,-0.42,-0.2,0.0,0.22,0.38,0.36,0.17,-0.06,-0.25,-0.41,-0.61,-0.85,-1.12,-1.39,-1.59,-1.65,-1.58,-1.49,-1.41,-1.25,-0.89,-0.38,0.15,0.6,1.01,1.44,1.84,2.11,2.26,2.4,2.56,2.69,2.79,2.87,2.88,2.83,2.73,2.64,2.53,2.36,2.1,1.77,1.47,1.16,0.68,-0.04,-0.82,-1.44,-1.88,-2.18,-2.36,-2.4,-2.29,-2.05,-1.7,-1.19,-0.55,0.13,0.82,1.56,2.34,2.96,3.25,3.3,3.23,3.08,2.76,2.32,1.89,1.49,1.04,0.56,0.13,-0.15,-0.35,-0.47,-0.49,-0.42,-0.27,-0.14,-0.01,0.12,0.24,0.34,0.48,0.74,1.04,1.27,1.41,1.49,1.57,1.69,1.84,1.94,1.97,1.98,2.01,2.05,2.01,1.83,1.56,1.32,1.15,1.01,0.9,0.84,0.84,0.87,0.93,1.01,1.06,1.05,1.0,0.95,0.9,0.83,0.73,0.67,0.66,0.75,0.9,1.07,1.18,1.21,1.21,1.18,1.12,1.05,0.95,0.8,0.61,0.42,0.28,0.18,-0.03,-0.43,-0.88,-1.21,-1.4,-1.55,-1.62,-1.58,-1.48,-1.33,-1.06,-0.72,-0.5,-0.51,-0.74,-1.02,-1.22,-1.31,-1.35,-1.44,-1.55,-1.61,-1.54,-1.38,-1.22,-1.17,-1.17,-1.1,-0.9,-0.6,-0.29,-0.05,0.08,0.12,0.17,0.23,0.11,-0.28,-0.81,-1.3,-1.75,-2.2,-2.55,-2.77,-2.94,-3.03,-2.9,-2.6,-2.28,-1.95,-1.56,-1.06,-0.49,0.14,0.81,1.55,2.4,3.22,3.91,4.5,4.97,5.22,5.32,5.39,5.42,5.35,5.3,5.42,5.65,5.8,5.84,5.89,6.14,6.72,7.74,9.12,10.53,11.72,12.62,13.12,13.15,12.71,12.0,11.13,10.2,9.26,8.27,7.0,5.3,3.08,0.54,-1.98,-4.35,-6.43,-8.0,-8.81,-8.97,-8.99,-9.03,-8.91,-8.58,-8.15,-7.7,-7.15,-6.4,-5.48,-4.45,-3.34,-2.24,-1.28,-0.62,-0.24,0.02,0.22,0.25,-0.01,-0.58,-1.21,-1.68,-2.1,-2.64,-3.26,-3.73,-3.9,-3.77,-3.47,-3.09,-2.52,-1.68,-0.74,0.14,0.97,1.77,2.47,3.03,3.51,3.85,3.9,3.64,3.21,2.77,2.32,1.75,1.05,0.43,0.08,-0.11,-0.31,-0.51,-0.65,-0.69,-0.57,-0.25,0.23,0.62,0.93,1.3,1.74,2.04,2.09,1.97,1.88,1.86,1.8,1.68,1.52,1.33,1.03,0.62,0.23,-0.07,-0.31,-0.53,-0.73,-0.81,-0.72,-0.5,-0.21,0.15,0.54,0.96,1.35,1.64,1.81,1.88,1.89,1.78,1.56,1.3,1.02,0.75,0.49,0.31,0.18,0.04,-0.09,-0.09,0.21,0.75,1.32,1.73,2.01,2.24,2.42,2.44,2.29,2.11,1.88,</t>
  </si>
  <si>
    <t>To_Avoid_Formula-2.19,-2.14,-1.97,-1.71,</t>
  </si>
  <si>
    <t>To_Avoid_Formula49.59,49.59,49.59,49.59,49.59,49.59,49.59,49.59,49.59,49.59,49.59,49.59,49.59,49.59,49.59,49.6,49.6,49.6,49.6,49.6,49.6,49.6,49.6,49.6,49.6,49.6,49.6,49.6,49.6,49.6,49.6,49.6,49.6,49.6,49.6,49.6,49.6,49.6,49.61,49.61,49.61,49.61,49.61,49.61,49.61,49.61,49.61,49.61,49.61,49.61,49.61,49.61,49.61,49.61,49.61,49.61,49.61,49.61,49.61,49.61,49.61,49.62,49.62,49.62,49.62,49.62,49.62,49.62,49.62,49.62,49.62,49.62,49.62,49.62,49.62,49.62,49.62,49.62,49.62,49.62,49.62,49.62,49.63,49.63,49.63,49.63,49.63,49.63,49.63,49.63,49.63,49.63,49.63,49.63,49.63,49.63,49.63,49.63,49.63,49.63,49.63,49.63,49.64,49.64,49.64,49.64,49.64,49.64,49.64,49.64,49.64,49.64,49.64,49.64,49.64,49.64,49.64,49.64,49.64,49.64,49.64,49.65,49.65,49.65,49.65,49.65,49.65,49.65,49.65,49.65,49.65,49.65,49.65,49.65,49.65,49.65,49.65,49.65,49.65,49.65,49.66,49.66,49.66,49.66,49.66,49.66,49.66,49.66,49.66,49.66,49.66,49.66,49.66,49.66,49.66,49.66,49.66,49.66,49.67,49.67,49.67,49.67,49.67,49.67,49.67,49.67,49.67,49.67,49.67,49.67,49.67,49.67,49.67,49.67,49.67,49.67,49.68,49.68,49.68,49.68,49.68,49.68,49.68,49.68,49.68,49.68,49.68,49.68,49.68,49.68,49.68,49.68,49.68,49.69,49.69,49.69,49.69,49.69,49.69,49.69,49.69,49.69,49.69,49.69,49.69,49.69,49.69,49.69,49.69,49.69,49.7,49.7,49.7,49.7,49.7,49.7,49.7,49.7,49.7,49.7,49.7,49.7,49.7,49.7,49.7,49.7,49.71,49.71,49.71,49.71,49.71,49.71,49.71,49.71,49.71,49.71,49.71,49.71,49.71,49.71,49.71,49.71,49.71,49.72,49.72,49.72,49.72,49.72,49.72,49.72,49.72,49.72,49.72,49.72,49.72,49.72,49.72,49.72,49.72,49.72,49.73,49.73,49.73,49.73,49.73,49.73,49.73,49.73,49.73,49.73,49.73,49.73,49.73,49.73,49.73,49.73,49.73,49.74,49.74,49.74,49.74,49.74,49.74,49.74,49.74,49.74,49.74,49.74,49.74,49.74,49.74,49.74,49.74,49.75,49.75,49.75,49.75,49.75,49.75,49.75,49.75,49.75,49.75,49.75,49.75,49.75,49.75,49.75,49.75,49.75,49.75,49.76,49.76,49.76,49.76,49.76,49.76,49.76,49.76,49.76,49.76,49.76,49.76,49.76,49.76,49.76,49.76,49.76,49.76,49.77,49.77,49.77,49.77,49.77,49.77,49.77,49.77,49.77,49.77,49.77,49.77,49.77,49.77,49.77,49.77,49.77,49.77,49.77,49.77,49.78,49.78,49.78,49.78,49.78,49.78,49.78,49.78,49.78,49.78,49.78,49.78,49.78,49.78,49.78,49.78,49.78,49.78,49.78,49.79,49.79,49.79,49.79,49.79,49.79,49.79,49.79,49.79,49.79,49.79,49.79,49.79,49.79,49.79,49.79,49.79,49.79,49.79,49.79,49.79,49.8,49.8,49.8,49.8,49.8,49.8,49.8,49.8,49.8,49.8,49.8,49.8,49.8,49.8,49.8,49.8,49.8,49.8,49.8,49.8,49.8,49.8,49.81,49.81,49.81,49.81,49.81,49.81,49.81,49.81,49.81,49.81,49.81,49.81,49.81,49.81,49.81,49.81,49.81,49.81,49.81,49.81,49.81,49.81,49.81,49.82,49.82,49.82,49.82,49.82,49.82,49.82,49.82,49.82,49.82,49.82,49.82,49.82,49.82,49.82,49.82,49.82,49.82,49.82,49.82,49.82,49.82,49.82,49.82,49.83,49.83,49.83,49.83,49.83,49.83,49.83,49.83,49.83,49.83,49.83,49.83,49.83,49.83,49.83,49.83,49.83,49.83,49.83,49.83,49.83,49.83,49.83,49.83,49.84,49.84,49.84,49.84,49.84,49.84,49.84,49.84,49.84,49.84,49.84,49.84,49.84,49.84,49.84,49.84,49.84,49.84,49.84,49.84,49.84,49.84,49.84,49.84,49.84,49.84,49.85,49.85,49.85,49.85,49.85,49.85,49.85,49.85,49.85,49.85,49.85,49.85,49.85,49.85,49.85,49.85,49.85,49.85,49.85,49.85,49.85,49.85,49.85,49.85,49.85,49.85,49.85,49.86,49.86,49.86,49.86,49.86,49.86,49.86,49.86,49.86,49.86,49.86,49.86,49.86,49.86,49.86,49.86,49.86,49.86,49.86,49.86,49.86,49.86,49.86,49.86,49.86,49.86,49.87,49.87,49.87,49.87,49.87,49.87,49.87,49.87,49.87,49.87,49.87,49.87,49.87,49.87,49.87,49.87,49.87,49.87,49.87,49.87,49.87,49.87,49.87,49.87,49.87,49.87,49.87,49.88,49.88,49.88,49.88,49.88,49.88,49.88,49.88,49.88,49.88,49.88,49.88,49.88,49.88,49.88,49.88,49.88,49.88,49.88,49.88,49.88,49.88,49.88,49.88,49.88,49.89,49.89,49.89,49.89,49.89,49.89,49.89,49.89,49.89,49.89,49.89,49.89,49.89,49.89,49.89,49.89,49.89,49.89,49.89,49.89,49.89,49.89,49.89,49.89,49.89,49.89,49.89,49.9,49.9,49.9,49.9,49.9,49.9,49.9,49.9,49.9,49.9,49.9,49.9,49.9,49.9,49.9,49.9,49.9,49.9,49.9,49.9,49.9,49.9,49.9,49.9,49.9,49.91,49.91,49.9</t>
  </si>
  <si>
    <t>To_Avoid_Formula1,49.91,49.91,49.91,49.91,49.91,49.91,49.91,49.91,49.91,49.91,49.91,49.91,49.91,49.91,49.91,49.91,49.91,49.91,49.91,49.91,49.91,49.91,49.91,49.92,49.92,49.92,49.92,49.92,49.92,49.92,49.92,49.92,49.92,49.92,49.92,49.92,49.92,49.92,49.92,49.92,49.92,49.92,49.92,49.92,49.92,49.92,49.92,49.92,49.93,49.93,49.93,49.93,49.93,49.93,49.93,49.93,49.93,49.93,49.93,49.93,49.93,49.93,49.93,49.93,49.93,49.93,49.93,49.93,49.93,49.93,49.93,49.93,49.94,49.94,49.94,49.94,49.94,49.94,49.94,49.94,49.94,49.94,49.94,49.94,49.94,49.94,49.94,49.94,49.94,49.94,49.94,49.94,49.94,49.94,49.94,49.95,49.95,49.95,49.95,49.95,49.95,49.95,49.95,49.95,49.95,49.95,49.95,49.95,49.95,49.95,49.95,49.95,49.95,49.95,49.95,49.95,49.95,49.95,49.95,49.96,49.96,49.96,49.96,49.96,49.96,49.96,49.96,49.96,49.96,49.96,49.96,49.96,49.96,49.96,49.96,49.96,49.96,49.96,49.96,49.96,49.96,49.96,49.96,49.97,49.97,49.97,49.97,49.97,49.97,49.97,49.97,49.97,49.97,49.97,49.97,49.97,49.97,49.97,49.97,49.97,49.97,49.97,49.97,49.97,49.97,49.97,49.98,49.98,49.98,49.98,49.98,49.98,49.98,49.98,49.98,49.98,49.98,49.98,49.98,49.98,49.98,49.98,49.98,49.98,49.98,49.98,49.98,49.98,49.98,49.99,49.99,49.99,49.99,49.99,49.99,49.99,49.99,49.99,49.99,49.99,49.99,49.99,49.99,49.99,49.99,49.99,49.99,49.99,49.99,49.99,49.99,49.99,50.0,50.0,50.0,50.0,50.0,50.0,50.0,50.0,50.0,50.0,50.0,50.0,50.0,50.0,50.0,50.0,50.0,50.0,50.0,50.0,50.0,50.0,50.0,50.01,50.01,50.01,50.01,50.01,50.01,50.01,50.01,50.01,50.01,50.01,50.01,50.01,50.01,50.01,50.01,50.01,50.01,50.01,50.01,50.01,50.01,50.01,50.02,50.02,50.02,50.02,50.02,50.02,50.02,50.02,50.02,50.02,50.02,50.02,50.02,50.02,50.02,50.02,50.02,50.02,50.02,50.02,50.02,50.02,50.02,50.03,50.03,50.03,50.03,50.03,50.03,50.03,50.03,50.03,50.03,50.03,50.03,50.03,50.03,50.03,50.03,50.03,50.03,50.03,50.03,50.03,50.03,50.03,50.04,50.04,50.04,50.04,50.04,50.04,50.04,50.04,50.04,50.04,50.04,50.04,50.04,50.04,50.04,50.04,50.04,50.04,50.04,50.04,50.04,50.04,50.05,50.05,50.05,50.05,50.05,50.05,50.05,50.05,50.05,50.05,50.05,50.05,50.05,50.05,50.05,50.05,50.05,50.05,50.05,50.05,50.05,50.05,50.05,50.05,50.06,50.06,50.06,50.06,50.06,50.06,50.06,50.06,50.06,50.06,50.06,50.06,50.06,50.06,50.06,50.06,50.06,50.06,50.06,50.06,50.06,50.06,50.06,50.07,50.07,50.07,</t>
  </si>
  <si>
    <t>To_Avoid_Formula50.07,50.07,50.07,50.07,</t>
  </si>
  <si>
    <t>To_Avoid_Formula-0.32,-0.27,-0.24,-0.22,-0.18,-0.1,0.0,0.08,</t>
  </si>
  <si>
    <t>To_Avoid_Formula0.22,0.15,0.07,-0.02,-0.12,-0.16,-0.13,-0.01,0.11,0.15,0.15,0.16,0.2,0.25,0.29,0.3,0.3,0.29,0.29,0.32,0.37,0.41,0.44,0.44,0.43,0.4,0.4,0.43,0.45,0.48,0.54,0.61,0.69,0.76,0.82,0.85,0.87,0.87,0.87,0.9,0.96,1.01,1.04,1.06,1.09,1.12,1.2,1.36,1.56,1.71,1.77,1.78,1.76,1.73,1.67,1.63,1.59,1.53,1.47,1.43,1.41,1.42,1.46,1.47,1.47,1.48,1.49,1.49,1.45,1.35,1.26,1.2,1.16,1.15,1.2,1.26,1.3,1.28,1.3,1.35,1.36,1.31,1.26,1.21,1.14,1.05,1.0,1.01,1.01,0.95,0.86,0.8,0.79,0.81,0.85,0.86,0.84,0.86,0.93,0.97,0.98,1.0,1.05,1.12,1.19,1.25,1.33,1.43,1.5,1.54,1.62,1.77,1.88,1.88,1.8,1.72,1.61,1.5,1.4,1.36,1.38,1.41,1.44,1.48,1.51,1.53,1.55,1.54,1.47,1.38,1.3,1.26,1.21,1.16,1.16,1.17,1.19,1.18,1.14,1.11,1.08,1.05,0.99,0.91,0.83,0.76,0.72,0.68,0.64,0.63,0.65,0.7,0.77,0.81,0.83,0.81,0.77,0.75,0.72,0.63,0.48,0.36,0.25,0.13,0.0,-0.09,-0.17,-0.26,-0.34,-0.42,-0.46,-0.48,-0.51,-0.55,-0.56,-0.54,-0.53,-0.53,-0.59,-0.68,-0.75,-0.81,-0.86,-0.93,-0.99,-1.01,-1.0,-0.96,-0.89,-0.79,-0.7,-0.64,-0.62,-0.61,-0.58,-0.57,-0.6,-0.65,-0.72,-0.78,-0.81,-0.82,-0.81,-0.76,-0.75,-0.77,-0.82,-0.88,-0.93,-0.95,-0.94,-0.92,-0.89,-0.84,-0.81,-0.8,-0.82,-0.89,-0.97,-1.05,-1.11,-1.17,-1.22,-1.25,-1.25,-1.23,-1.2,-1.15,-1.08,-1.0,-0.95,-0.93,-0.88,-0.82,-0.78,-0.74,-0.68,-0.63,-0.59,-0.53,-0.41,-0.29,-0.24,-0.25,-0.27,-0.27,-0.29,-0.3,-0.29,-0.23,-0.17,-0.1,-0.01,0.09,0.15,0.18,0.2,0.22,0.21,0.18,0.12,0.06,0.0,-0.03,-0.04,-0.08,-0.14,-0.2,-0.29,-0.4,-0.47,-0.49,-0.52,-0.54,-0.52,-0.52,-0.55,-0.58,-0.58,-0.58,-0.58,-0.61,-0.65,-0.64,-0.54,-0.39,-0.24,-0.14,-0.08,-0.05,-0.03,0.01,0.04,0.07,0.12,0.18,0.26,0.31,0.35,0.4,0.49,0.57,0.65,0.76,0.92,1.08,1.17,1.19,1.2,1.21,1.19,1.19,1.19,1.16,1.09,1.05,1.06,1.08,1.09,1.08,1.04,0.98,0.91,0.81,0.68,0.56,0.44,0.32,0.22,0.2,0.22,0.21,0.15,0.09,0.05,0.04,0.01,-0.04,-0.1,-0.15,-0.21,-0.27,-0.29,-0.26,-0.21,-0.19,-0.2,-0.23,-0.27,-0.37,-0.48,-0.55,-0.6,-0.65,-0.65,-0.61,-0.59,-0.6,-0.63,-0.63,-0.6,-0.58,-0.58,-0.57,-0.55,-0.53,-0.51,-0.44,-0.31,-0.17,-0.06,-0.03,-0.05,-0.05,0.03,0.11,0.1,0.06,0.03,0.03,0.07,0.12,0.15,0.19,0.24,0.35,0.49,0.58,0.58,0.56,0.56,0.53,0.44,0.35,0.3,0.29,0.32,0.32,0.31,0.31,0.33,0.33,0.33,0.35,0.35,0.31,0.3,0.32,0.37,0.41,0.45,0.47,0.47,0.46,0.42,0.38,0.36,0.36,0.38,0.43,0.5,0.56,0.59,0.61,0.63,0.62,0.54,0.41,0.32,0.29,0.24,0.18,0.17,0.24,0.33,0.38,0.42,0.43,0.42,0.38,0.32,0.27,0.18,0.06,0.05,0.11,0.18,0.23,0.26,0.28,0.24,0.14,0.03,-0.06,-0.16,-0.29,-0.42,-0.49,-0.48,-0.47,-0.51,-0.57,-0.66,-0.77,-0.89,-1.02,-1.11,-1.15,-1.17,-1.17,-1.12,-1.04,-0.94,-0.85,-0.77,-0.73,-0.73,-0.73,-0.74,-0.76,-0.81,-0.86,-0.87,-0.81,-0.72,-0.65,-0.61,-0.58,-0.61,-0.69,-0.78,-0.86,-0.89,-0.88,-0.87,-0.83,-0.73,-0.61,-0.52,-0.46,-0.42,-0.39,-0.4,-0.4,-0.39,-0.36,-0.32,-0.27,-0.2,-0.12,-0.04,0.01,0.02,-0.02,-0.12,-0.24,-0.45,-0.52,-0.57,-0.61,-0.63,-0.61,-0.57,-0.54,-0.52,-0.51,-0.5,-0.45,-0.44,-0.48,-0.5,-0.44,-0.37,-0.37,-0.42,-0.45,-0.46,-0.47,-0.49,-0.52,-0.57,-0.61,-0.62,-0.61,-0.61,-0.61,-0.59,-0.56,-0.56,-0.59,-0.6,-0.6,-0.62,-0.69,-0.78,-0.86,-0.92,-0.98,-1.03,-1.04,-1.04,-1.0,-0.94,-0.89,-0.86,-0.83,-0.77,-0.74,-0.78,-0.87,-0.98,-1.11,-1.24,-1.32,-1.33,-1.26,-1.16,-1.05,-0.92,-0.78,-0.67,-0.59,-0.53,-0.48,-0.47,-0.51,-0.54,-0.57,-0.61,-0.67,-0.73,-0.74,-0.7,-0.66,-0.67,-0.68,-0.64,-0.59,-0.55,-0.49,-0.39,-0.25,-0.12,-0.01,0.09,0.18,0.23,0.23,0.19,0.15,0.12,0.12,0.14,0.16,0.2,0.3,0.41,0.5,0.55,0.58,0.62,0.67,0.71,0.76,0.84,0.91,0.97,1.0,1.04,1.09,1.15,1.21,1.23,1.24,1.26,1.25,1.23,1.19,1.12,1.01,0.9,0.86,0.88,0.9,0.89,0.88,0.87,0.84,0.78,0.7,0.63,0.58,0.53,0.47,0.42,0.39,0.36,0.35,0.34,0.33,0.33,0.3,0.27,0.24,0.21,0.19,0.16,0.12,0.11,0.11,0.12,0.14,0.18,0.22,0.27,0.34,0.43,0.5,0.54,0.57,0.64,0.74,0.84,0.89,0.93,0.98,1.01,1.02,1.02,1.01,1.0,0.99,0.98,0.95,0.91,0.87,0.83,0.78,0.73,0.65,0.58,0.53,0.5,0.45,0.38,0.33,0.32,0.33,0.34,0.31,0.27,0.23,0.21,0.19,0.16,0.12,0.08,0.05,0.04,0.0,-0.07,-0.14,-0.21,-0.3,-0.4,-0.48,-0.52,-0.55,-0.61,-0.65,-0.64,-0.64,-0.67,-0.</t>
  </si>
  <si>
    <t>To_Avoid_Formula74,-0.81,-0.86,-0.88,-0.91,-0.96,-0.99,-0.99,-0.96,-0.95,-0.97,-0.99,-1.03,-1.07,-1.12,-1.18,-1.23,-1.28,-1.3,-1.3,-1.27,-1.25,-1.24,-1.24,-1.21,-1.2,-1.27,-1.44,-1.58,-1.68,-1.76,-1.83,-1.88,-1.88,-1.86,-1.86,-1.9,-1.94,-1.96,-1.97,-1.98,-1.96,-1.88,-1.77,-1.67,-1.56,-1.49,-1.42,-1.38,-1.36,-1.38,-1.39,-1.38,-1.36,-1.32,-1.27,-1.22,-1.21,-1.22,-1.26,-1.3,-1.35,-1.44,-1.54,-1.62,-1.69,-1.73,-1.73,-1.69,-1.65,-1.64,-1.63,-1.59,-1.55,-1.52,-1.5,-1.46,-1.39,-1.31,-1.24,-1.17,-1.08,-0.97,-0.83,-0.7,-0.6,-0.52,-0.43,-0.3,-0.21,-0.17,-0.11,-0.02,0.08,0.17,0.3,0.43,0.56,0.65,0.71,0.73,0.76,0.8,0.84,0.85,0.83,0.79,0.74,0.68,0.62,0.57,0.51,0.47,0.46,0.49,0.55,0.61,0.64,0.69,0.76,0.82,0.88,0.9,0.89,0.85,0.84,0.84,0.85,0.84,0.8,0.76,0.73,0.73,0.74,0.77,0.81,0.85,0.87,0.88,0.88,0.89,0.96,1.05,1.09,1.07,1.05,1.05,1.04,1.0,0.95,0.91,0.9,0.91,0.94,0.99,1.05,1.07,1.05,0.96,0.84,0.75,0.7,0.63,0.5,0.37,0.3,0.31,0.34,0.36,0.35,0.29,0.18,0.03,-0.11,-0.24,-0.36,-0.46,-0.52,-0.56,-0.59,-0.62,-0.63,-0.63,-0.62,-0.64,-0.64,-0.6,-0.54,-0.48,-0.4,-0.3,-0.25,-0.22,-0.15,-0.08,-0.04,-0.02,0.03,0.1,0.13,0.12,0.1,0.11,0.12,0.1,0.07,0.05,0.02,0.0,0.01,0.06,0.13,0.21,0.26,0.26,0.26,0.24,0.21,0.15,0.06,-0.06,-0.19,-0.29,-0.35,-0.38,-0.38,-0.37,-0.38,-0.4,-0.42,-0.46,-0.5,-0.54,-0.59,-0.64,-0.69,-0.75,-0.76,-0.73,-0.69,-0.65,-0.59,-0.52,-0.47,-0.46,-0.44,-0.41,-0.41,-0.43,-0.44,-0.45,-0.49,-0.6,-0.74,-0.87,-0.95,-0.99,-1.01,-0.99,-0.92,-0.81,-0.69,-0.6,-0.56,-0.56,-0.57,-0.62,-0.66,-0.69,-0.69,-0.66,-0.59,-0.5,-0.4,-0.28,-0.2,-0.16,-0.18,-0.24,-0.28,-0.28,-0.22,-0.13,-0.04,0.04,0.13,0.21,0.26,0.28,0.28,0.3,0.32,0.37,0.45,0.54,0.62,0.71,0.78,0.84,0.89,0.93,0.94,0.91,0.87,0.83,0.81,</t>
  </si>
  <si>
    <t>To_Avoid_Formula-0.02,0.01,0.01,0.0,0.02,0.07,0.14,0.19,</t>
  </si>
  <si>
    <t>To_Avoid_Formula0.13,0.04,-0.07,-0.19,-0.3,-0.36,-0.34,-0.24,-0.13,-0.11,-0.14,-0.15,-0.12,-0.1,-0.08,-0.09,-0.11,-0.14,-0.16,-0.15,-0.12,-0.09,-0.09,-0.1,-0.14,-0.18,-0.2,-0.18,-0.17,-0.15,-0.11,-0.06,0.0,0.05,0.08,0.09,0.08,0.06,0.04,0.05,0.08,0.11,0.12,0.11,0.12,0.13,0.18,0.31,0.47,0.58,0.6,0.56,0.49,0.42,0.33,0.25,0.18,0.1,0.01,-0.05,-0.08,-0.08,-0.06,-0.06,-0.08,-0.08,-0.08,-0.09,-0.15,-0.25,-0.34,-0.39,-0.42,-0.42,-0.37,-0.3,-0.26,-0.27,-0.25,-0.19,-0.18,-0.22,-0.27,-0.31,-0.37,-0.44,-0.47,-0.44,-0.42,-0.46,-0.52,-0.55,-0.53,-0.49,-0.42,-0.39,-0.38,-0.33,-0.24,-0.18,-0.15,-0.12,-0.05,0.03,0.11,0.18,0.26,0.36,0.43,0.45,0.52,0.65,0.74,0.72,0.62,0.52,0.4,0.28,0.18,0.14,0.16,0.19,0.23,0.26,0.29,0.3,0.31,0.3,0.23,0.13,0.06,0.02,-0.02,-0.05,-0.05,-0.02,0.0,0.0,-0.02,-0.05,-0.06,-0.08,-0.12,-0.18,-0.25,-0.29,-0.31,-0.33,-0.34,-0.32,-0.26,-0.19,-0.11,-0.05,-0.02,-0.02,-0.04,-0.05,-0.06,-0.13,-0.25,-0.35,-0.42,-0.51,-0.59,-0.64,-0.67,-0.7,-0.74,-0.75,-0.74,-0.71,-0.68,-0.66,-0.62,-0.55,-0.49,-0.45,-0.45,-0.49,-0.52,-0.52,-0.52,-0.54,-0.54,-0.51,-0.45,-0.36,-0.24,-0.1,0.02,0.11,0.15,0.18,0.23,0.26,0.25,0.21,0.16,0.12,0.11,0.12,0.16,0.22,0.25,0.23,0.2,0.16,0.12,0.12,0.14,0.17,0.22,0.28,0.32,0.33,0.31,0.25,0.17,0.1,0.05,0.01,-0.03,-0.04,-0.02,0.01,0.05,0.11,0.18,0.27,0.32,0.34,0.37,0.43,0.46,0.48,0.52,0.55,0.57,0.61,0.7,0.78,0.8,0.75,0.7,0.66,0.6,0.56,0.54,0.56,0.59,0.62,0.67,0.72,0.74,0.72,0.69,0.66,0.61,0.53,0.43,0.33,0.24,0.18,0.14,0.07,-0.01,-0.09,-0.2,-0.32,-0.39,-0.42,-0.45,-0.47,-0.45,-0.45,-0.48,-0.5,-0.5,-0.49,-0.49,-0.52,-0.55,-0.53,-0.42,-0.27,-0.13,-0.04,0.01,0.02,0.03,0.04,0.06,0.07,0.1,0.14,0.2,0.23,0.23,0.26,0.32,0.37,0.41,0.48,0.6,0.71,0.75,0.71,0.67,0.63,0.56,0.52,0.47,0.4,0.29,0.22,0.19,0.18,0.16,0.12,0.05,-0.03,-0.12,-0.23,-0.37,-0.49,-0.6,-0.72,-0.79,-0.8,-0.76,-0.75,-0.78,-0.82,-0.83,-0.82,-0.82,-0.83,-0.85,-0.87,-0.9,-0.91,-0.89,-0.82,-0.73,-0.68,-0.66,-0.65,-0.66,-0.72,-0.78,-0.81,-0.81,-0.81,-0.76,-0.67,-0.61,-0.58,-0.56,-0.52,-0.45,-0.39,-0.35,-0.31,-0.25,-0.21,-0.16,-0.05,0.09,0.24,0.37,0.4,0.38,0.38,0.46,0.54,0.52,0.48,0.45,0.45,0.48,0.52,0.55,0.57,0.61,0.7,0.82,0.88,0.85,0.8,0.78,0.73,0.61,0.5,0.43,0.41,0.42,0.42,0.39,0.38,0.38,0.36,0.35,0.35,0.33,0.29,0.26,0.27,0.3,0.33,0.35,0.35,0.34,0.3,0.25,0.19,0.16,0.15,0.16,0.19,0.25,0.29,0.3,0.3,0.3,0.27,0.17,0.03,-0.07,-0.11,-0.15,-0.22,-0.23,-0.15,-0.06,-0.02,0.01,0.01,0.0,-0.05,-0.11,-0.17,-0.26,-0.36,-0.37,-0.29,-0.22,-0.17,-0.13,-0.12,-0.15,-0.25,-0.35,-0.43,-0.51,-0.61,-0.71,-0.75,-0.71,-0.67,-0.67,-0.69,-0.75,-0.82,-0.9,-0.97,-1.01,-1.0,-0.96,-0.9,-0.81,-0.68,-0.54,-0.41,-0.3,-0.24,-0.21,-0.19,-0.17,-0.17,-0.19,-0.22,-0.2,-0.12,-0.01,0.07,0.13,0.16,0.15,0.08,0.0,-0.07,-0.08,-0.05,-0.01,0.04,0.15,0.27,0.36,0.41,0.45,0.47,0.46,0.44,0.45,0.47,0.49,0.52,0.57,0.64,0.69,0.71,0.69,0.63,0.5,0.37,0.14,0.06,0.01,-0.03,-0.05,-0.02,0.02,0.04,0.06,0.06,0.07,0.11,0.12,0.07,0.05,0.1,0.16,0.15,0.09,0.05,0.04,0.02,0.0,-0.03,-0.08,-0.12,-0.13,-0.13,-0.12,-0.12,-0.1,-0.07,-0.07,-0.1,-0.12,-0.11,-0.13,-0.2,-0.28,-0.35,-0.4,-0.44,-0.47,-0.46,-0.44,-0.39,-0.31,-0.25,-0.21,-0.17,-0.11,-0.07,-0.11,-0.2,-0.29,-0.41,-0.51,-0.57,-0.55,-0.46,-0.33,-0.21,-0.07,0.07,0.17,0.25,0.3,0.34,0.33,0.28,0.23,0.19,0.14,0.08,0.02,0.0,0.05,0.08,0.06,0.05,0.08,0.12,0.16,0.21,0.3,0.41,0.52,0.6,0.67,0.71,0.72,0.68,0.61,0.53,0.47,0.44,0.42,0.41,0.42,0.49,0.56,0.6,0.61,0.6,0.6,0.6,0.6,0.6,0.63,0.66,0.66,0.64,0.63,0.63,0.64,0.64,0.61,0.57,0.53,0.48,0.41,0.33,0.21,0.07,-0.06,-0.13,-0.13,-0.13,-0.15,-0.19,-0.22,-0.26,-0.32,-0.41,-0.49,-0.54,-0.58,-0.63,-0.67,-0.69,-0.7,-0.7,-0.7,-0.68,-0.67,-0.68,-0.69,-0.7,-0.7,-0.7,-0.7,-0.71,-0.7,-0.67,-0.63,-0.58,-0.52,-0.46,-0.39,-0.3,-0.2,-0.12,-0.07,-0.03,0.04,0.14,0.23,0.28,0.31,0.34,0.36,0.36,0.34,0.32,0.3,0.28,0.26,0.22,0.17,0.13,0.08,0.04,-0.01,-0.08,-0.14,-0.18,-0.2,-0.24,-0.29,-0.32,-0.31,-0.27,-0.24,-0.25,-0.28,-0.29,-0.29,-0.29,-0.29,-0.3,-0.32,-0.32,-0.31,-0.32,-0.36,-0.4,-0.44,-0.49,-0.55,-0.5</t>
  </si>
  <si>
    <t>To_Avoid_Formula8,-0.58,-0.57,-0.58,-0.57,-0.52,-0.48,-0.47,-0.49,-0.52,-0.52,-0.5,-0.48,-0.48,-0.46,-0.41,-0.35,-0.3,-0.27,-0.25,-0.25,-0.26,-0.27,-0.29,-0.3,-0.31,-0.29,-0.24,-0.17,-0.12,-0.08,-0.04,0.01,0.05,0.0,-0.13,-0.24,-0.3,-0.34,-0.37,-0.37,-0.33,-0.26,-0.23,-0.23,-0.23,-0.21,-0.19,-0.16,-0.11,0.0,0.13,0.25,0.37,0.45,0.52,0.55,0.57,0.55,0.53,0.53,0.55,0.58,0.61,0.64,0.64,0.61,0.56,0.5,0.44,0.34,0.23,0.14,0.08,0.04,0.04,0.08,0.11,0.13,0.13,0.16,0.2,0.22,0.23,0.26,0.31,0.37,0.42,0.47,0.53,0.6,0.7,0.78,0.84,0.86,0.91,0.97,1.0,0.98,0.97,1.0,1.02,1.05,1.1,1.16,1.2,1.2,1.18,1.11,1.06,1.02,0.96,0.89,0.8,0.69,0.56,0.43,0.32,0.21,0.1,0.01,-0.04,-0.05,-0.04,-0.01,-0.03,-0.02,0.01,0.02,0.03,0.01,-0.04,-0.12,-0.17,-0.2,-0.23,-0.27,-0.33,-0.4,-0.44,-0.46,-0.47,-0.46,-0.43,-0.41,-0.41,-0.41,-0.43,-0.43,-0.37,-0.3,-0.27,-0.31,-0.34,-0.36,-0.37,-0.42,-0.48,-0.52,-0.53,-0.52,-0.49,-0.43,-0.38,-0.36,-0.38,-0.46,-0.57,-0.65,-0.68,-0.73,-0.83,-0.93,-0.97,-0.92,-0.85,-0.8,-0.77,-0.79,-0.86,-0.97,-1.05,-1.13,-1.19,-1.22,-1.21,-1.18,-1.14,-1.11,-1.05,-0.98,-0.9,-0.86,-0.8,-0.7,-0.58,-0.47,-0.34,-0.2,-0.11,-0.04,0.05,0.15,0.21,0.25,0.31,0.4,0.44,0.44,0.43,0.45,0.47,0.46,0.43,0.42,0.4,0.39,0.4,0.46,0.53,0.6,0.65,0.65,0.63,0.61,0.57,0.51,0.42,0.3,0.17,0.09,0.05,0.03,0.05,0.07,0.08,0.07,0.06,0.04,0.02,-0.01,-0.04,-0.07,-0.11,-0.14,-0.13,-0.08,-0.02,0.03,0.11,0.19,0.24,0.25,0.27,0.3,0.3,0.28,0.26,0.25,0.21,0.1,-0.03,-0.14,-0.21,-0.23,-0.23,-0.19,-0.11,0.01,0.13,0.22,0.26,0.26,0.23,0.18,0.14,0.11,0.11,0.13,0.2,0.28,0.37,0.47,0.53,0.54,0.5,0.41,0.35,0.34,0.37,0.44,0.5,0.55,0.61,0.65,0.66,0.64,0.6,0.58,0.56,0.57,0.61,0.65,0.69,0.72,0.74,0.75,0.75,0.73,0.68,0.6,0.51,0.43,0.36,</t>
  </si>
  <si>
    <t>To_Avoid_Formula-30.93,-30.94,-30.96,-30.97,-30.98,-31.0,-31.01,-31.02,</t>
  </si>
  <si>
    <t>To_Avoid_Formula-31.08,-31.09,-31.1,-31.11,-31.12,-31.14,-31.15,-31.16,-31.17,-31.18,-31.19,-31.2,-31.21,-31.22,-31.23,-31.24,-31.25,-31.26,-31.26,-31.27,-31.28,-31.29,-31.3,-31.3,-31.31,-31.32,-31.32,-31.33,-31.33,-31.34,-31.34,-31.35,-31.35,-31.36,-31.36,-31.36,-31.37,-31.37,-31.37,-31.37,-31.37,-31.37,-31.37,-31.37,-31.37,-31.37,-31.36,-31.36,-31.36,-31.35,-31.35,-31.34,-31.34,-31.33,-31.32,-31.31,-31.31,-31.3,-31.29,-31.28,-31.27,-31.26,-31.25,-31.23,-31.22,-31.21,-31.2,-31.18,-31.17,-31.15,-31.14,-31.12,-31.1,-31.09,-31.07,-31.05,-31.03,-31.01,-30.99,-30.97,-30.95,-30.93,-30.91,-30.89,-30.87,-30.84,-30.82,-30.8,-30.77,-30.75,-30.72,-30.7,-30.67,-30.64,-30.62,-30.59,-30.56,-30.53,-30.5,-30.47,-30.44,-30.41,-30.38,-30.35,-30.32,-30.29,-30.26,-30.23,-30.19,-30.16,-30.13,-30.09,-30.06,-30.02,-29.99,-29.95,-29.92,-29.88,-29.85,-29.81,-29.77,-29.74,-29.7,-29.66,-29.62,-29.59,-29.55,-29.51,-29.47,-29.43,-29.39,-29.35,-29.31,-29.27,-29.23,-29.19,-29.15,-29.11,-29.07,-29.02,-28.98,-28.94,-28.9,-28.85,-28.81,-28.77,-28.72,-28.68,-28.64,-28.59,-28.55,-28.5,-28.46,-28.41,-28.37,-28.32,-28.28,-28.23,-28.19,-28.14,-28.1,-28.05,-28.0,-27.96,-27.91,-27.87,-27.82,-27.77,-27.73,-27.68,-27.63,-27.59,-27.54,-27.49,-27.45,-27.4,-27.35,-27.31,-27.26,-27.21,-27.17,-27.12,-27.07,-27.03,-26.98,-26.94,-26.89,-26.84,-26.8,-26.75,-26.7,-26.66,-26.61,-26.57,-26.52,-26.47,-26.43,-26.38,-26.34,-26.29,-26.24,-26.2,-26.15,-26.11,-26.06,-26.02,-25.97,-25.93,-25.88,-25.84,-25.79,-25.75,-25.7,-25.66,-25.62,-25.57,-25.53,-25.48,-25.44,-25.4,-25.35,-25.31,-25.27,-25.23,-25.18,-25.14,-25.1,-25.06,-25.02,-24.97,-24.93,-24.89,-24.85,-24.81,-24.77,-24.73,-24.69,-24.65,-24.61,-24.57,-24.54,-24.5,-24.46,-24.42,-24.38,-24.35,-24.31,-24.27,-24.24,-24.2,-24.17,-24.13,-24.1,-24.07,-24.03,-24.0,-23.97,-23.93,-23.9,-23.87,-23.84,-23.81,-23.78,-23.75,-23.72,-23.69,-23.66,-23.63,-23.6,-23.58,-23.55,-23.52,-23.49,-23.47,-23.44,-23.42,-23.39,-23.37,-23.34,-23.32,-23.3,-23.27,-23.25,-23.23,-23.21,-23.18,-23.16,-23.14,-23.12,-23.1,-23.08,-23.06,-23.04,-23.02,-23.0,-22.98,-22.97,-22.95,-22.93,-22.91,-22.89,-22.88,-22.86,-22.84,-22.83,-22.81,-22.79,-22.78,-22.76,-22.74,-22.73,-22.71,-22.7,-22.68,-22.67,-22.65,-22.63,-22.62,-22.6,-22.59,-22.57,-22.56,-22.54,-22.53,-22.51,-22.49,-22.48,-22.46,-22.45,-22.43,-22.41,-22.4,-22.38,-22.36,-22.35,-22.33,-22.31,-22.29,-22.28,-22.26,-22.24,-22.22,-22.21,-22.19,-22.17,-22.15,-22.13,-22.11,-22.09,-22.07,-22.05,-22.03,-22.01,-21.99,-21.97,-21.94,-21.92,-21.9,-21.88,-21.86,-21.83,-21.81,-21.78,-21.76,-21.74,-21.71,-21.69,-21.66,-21.63,-21.61,-21.58,-21.55,-21.53,-21.5,-21.47,-21.44,-21.41,-21.38,-21.35,-21.32,-21.29,-21.26,-21.23,-21.2,-21.17,-21.14,-21.1,-21.07,-21.04,-21.0,-20.97,-20.93,-20.9,-20.86,-20.83,-20.79,-20.75,-20.71,-20.68,-20.64,-20.6,-20.56,-20.52,-20.48,-20.44,-20.4,-20.36,-20.32,-20.27,-20.23,-20.19,-20.14,-20.1,-20.05,-20.01,-19.96,-19.92,-19.87,-19.82,-19.78,-19.73,-19.68,-19.63,-19.58,-19.53,-19.48,-19.43,-19.38,-19.33,-19.27,-19.22,-19.17,-19.11,-19.06,-19.01,-18.95,-18.9,-18.84,-18.79,-18.73,-18.67,-18.62,-18.56,-18.5,-18.44,-18.39,-18.33,-18.27,-18.21,-18.15,-18.09,-18.03,-17.97,-17.91,-17.85,-17.79,-17.73,-17.67,-17.61,-17.55,-17.48,-17.42,-17.36,-17.3,-17.24,-17.17,-17.11,-17.05,-16.99,-16.92,-16.86,-16.8,-16.73,-16.67,-16.6,-16.54,-16.48,-16.41,-16.35,-16.28,-16.22,-16.15,-16.09,-16.02,-15.96,-15.89,-15.83,-15.76,-15.7,-15.63,-15.56,-15.5,-15.43,-15.36,-15.3,-15.23,-15.16,-15.1,-15.03,-14.96,-14.89,-14.82,-14.76,-14.69,-14.62,-14.55,-14.48,-14.41,-14.34,-14.27,-14.2,-14.13,-14.06,-13.99,-13.92,-13.85,-13.71,-13.64,-13.57,-13.5,-13.42,-13.35,-13.28,-13.21,-13.13,-13.06,-12.99,-12.92,-12.84,-12.77,-12.7,-12.62,-12.55,-12.47,-12.4,-12.32,-12.25,-12.18,-12.1,-12.03,-11.95,-11.88,-11.8,-11.73,-11.65,-11.57,-11.5,-11.42,-11.35,-11.27,-11.2,-11.12,-11.04,-10.97,-10.89,-10.82,-10.74,-10.67,-10.59,-10.51,-10.44,-10.36,-10.29,-10.21,-10.13,-10.06,-9.98,-9.9,-9.83,-</t>
  </si>
  <si>
    <t>To_Avoid_Formula9.75,-9.68,-9.6,-9.52,-9.45,-9.37,-9.3,-9.22,-9.14,-9.07,-8.99,-8.91,-8.84,-8.76,-8.69,-8.61,-8.53,-8.46,-8.38,-8.31,-8.23,-8.15,-8.08,-8.0,-7.93,-7.85,-7.78,-7.7,-7.62,-7.55,-7.47,-7.4,-7.32,-7.24,-7.17,-7.09,-7.02,-6.94,-6.86,-6.79,-6.71,-6.64,-6.56,-6.49,-6.41,-6.34,-6.26,-6.18,-6.11,-6.03,-5.96,-5.88,-5.81,-5.73,-5.66,-5.58,-5.51,-5.44,-5.36,-5.29,-5.21,-5.14,-5.06,-4.99,-4.92,-4.84,-4.77,-4.7,-4.62,-4.55,-4.48,-4.41,-4.33,-4.26,-4.19,-4.12,-4.05,-3.98,-3.91,-3.84,-3.77,-3.7,-3.63,-3.56,-3.49,-3.42,-3.36,-3.29,-3.22,-3.15,-3.09,-3.02,-2.96,-2.89,-2.83,-2.76,-2.7,-2.63,-2.57,-2.51,-2.45,-2.38,-2.32,-2.26,-2.2,-2.14,-2.08,-2.02,-1.96,-1.9,-1.85,-1.79,-1.73,-1.68,-1.62,-1.56,-1.51,-1.45,-1.4,-1.35,-1.29,-1.24,-1.19,-1.14,-1.09,-1.04,-0.99,-0.94,-0.89,-0.84,-0.79,-0.74,-0.7,-0.65,-0.6,-0.56,-0.51,-0.47,-0.42,-0.38,-0.34,-0.29,-0.25,-0.21,-0.16,-0.12,-0.08,-0.04,0.0,0.04,0.08,0.12,0.16,0.2,0.24,0.28,0.31,0.35,0.39,0.43,0.46,0.5,0.54,0.57,0.61,0.65,0.68,0.72,0.75,0.79,0.82,0.86,0.89,0.93,0.96,0.99,1.03,1.06,1.09,1.13,1.16,1.19,1.23,1.26,1.29,1.32,1.35,1.39,1.42,1.45,1.48,1.51,1.54,1.57,1.6,1.63,1.66,1.69,1.72,1.75,1.78,1.81,1.84,1.87,1.9,1.93,1.96,1.99,2.02,2.04,2.07,2.1,2.13,2.16,2.18,2.21,2.24,2.26,2.29,2.32,2.35,2.37,2.4,2.42,2.45,2.47,2.5,2.53,2.55,2.58,2.6,2.62,2.65,2.67,2.7,2.72,2.74,2.77,2.79,2.81,2.84,2.86,2.88,2.9,2.92,2.95,2.97,2.99,3.01,3.03,3.05,3.07,3.09,3.11,3.13,3.15,3.17,3.19,3.21,3.22,3.24,3.26,3.28,3.3,3.31,3.33,3.35,3.36,3.38,3.39,3.41,3.42,3.44,3.45,3.47,3.48,3.5,3.51,3.52,3.53,3.55,3.56,3.57,3.58,3.59,3.61,3.62,3.63,3.64,3.65,3.66,3.67,3.68,3.68,3.69,3.7,3.71,3.72,3.72,3.73,3.74,3.74,3.75,3.76,3.76,3.77,3.77,3.78,3.78,3.79,3.79,3.8,3.8,3.8,3.81,3.81,3.81,3.81,3.82,3.82,3.82,3.82,3.83,3.83,3.83,3.83,3.83,3.83,3.83,3.83,3.83,3.83,3.83,3.83,3.83,3.83,3.84,3.84,3.84,3.84,3.84,3.84,3.84,3.84,3.84,3.84,3.84,3.84,3.84,3.84,3.84,3.84,3.84,3.84,3.85,3.85,3.85,3.85,3.85,3.85,3.86,3.86,3.86,3.87,3.87,3.87,3.88,3.88,3.89,3.89,3.89,3.9,3.91,3.91,3.92,3.92,3.93,3.94,3.94,3.95,3.96,3.97,3.98,3.99,4.0,4.01,4.02,4.03,4.04,4.05,4.06,4.07,4.08,4.09,4.1,4.12,4.13,4.14,4.16,4.17,4.18,4.2,4.21,4.23,4.24,4.25,4.27,4.28,4.3,4.31,4.33,4.34,4.36,4.38,4.39,4.41,4.42,4.44,4.45,4.47,4.49,4.5,4.52,4.53,4.55,4.57,4.58,4.6,4.61,4.63,4.65,4.66,4.68,4.69,4.71,4.73,4.74,4.76,4.77,4.79,4.81,4.82,4.84,4.85,4.87,4.88,4.9,4.91,4.93,4.94,4.96,4.97,4.99,5.0,5.01,5.03,5.04,5.06,5.07,5.08,5.1,5.11,5.12,5.14,5.15,5.16,5.18,5.19,5.2,5.21,</t>
  </si>
  <si>
    <t>To_Avoid_Formula-34.6,-34.87,-35.14,-35.38,-35.55,-35.65,-35.67,-35.65,</t>
  </si>
  <si>
    <t>To_Avoid_Formula-35.37,-35.34,-35.33,-35.44,-35.66,-35.79,-35.76,-35.71,-35.74,-35.73,-35.49,-34.98,-34.37,-33.79,-33.27,-32.8,-32.38,-32.01,-31.75,-31.66,-31.78,-32.12,-32.63,-33.11,-33.35,-33.46,-33.59,-33.74,-33.76,-33.56,-33.17,-32.66,-32.12,-31.62,-31.13,-30.6,-30.11,-29.7,-29.38,-29.14,-28.97,-28.85,-28.76,-28.67,-28.52,-28.33,-28.19,-28.15,-28.19,-28.2,-28.19,-28.17,-28.13,-28.05,-27.96,-27.9,-27.86,-27.75,-27.51,-27.17,-26.81,-26.51,-26.3,-26.11,-25.88,-25.6,-25.38,-25.31,-25.33,-25.4,-25.55,-25.79,-26.12,-26.48,-26.81,-27.06,-27.21,-27.36,-27.57,-27.7,-27.65,-27.43,-27.2,-27.01,-26.82,-26.6,-26.36,-26.19,-26.08,-25.98,-25.87,-25.72,-25.53,-25.43,-25.51,-25.68,-25.77,-25.78,-25.81,-26.0,-26.2,-26.2,-25.99,-25.78,-25.71,-25.7,-25.63,-25.46,-25.26,-24.99,-24.61,-24.14,-23.63,-23.1,-22.59,-22.08,-21.58,-21.14,-20.84,-20.7,-20.61,-20.5,-20.49,-20.66,-20.86,-20.97,-21.03,-21.12,-21.22,-21.29,-21.31,-21.24,-21.08,-20.83,-20.45,-19.97,-19.5,-19.12,-18.8,-18.49,-18.11,-17.68,-17.3,-17.04,-16.87,-16.77,-16.66,-16.51,-16.29,-16.06,-15.9,-15.78,-15.65,-15.49,-15.33,-15.2,-15.12,-15.1,-15.14,-15.18,-15.16,-15.13,-15.14,-15.19,-15.26,-15.31,-15.29,-15.17,-15.02,-14.89,-14.74,-14.54,-14.34,-14.18,-14.06,-14.0,-14.04,-14.21,-14.43,-14.55,-14.55,-14.46,-14.32,-14.16,-13.96,-13.71,-13.4,-13.02,-12.66,-12.36,-12.15,-11.97,-11.76,-11.53,-11.34,-11.23,-11.16,-11.11,-11.0,-10.82,-10.59,-10.39,-10.21,-10.03,-9.85,-9.7,-9.62,-9.66,-9.77,-9.87,-9.94,-9.95,-10.0,-10.08,-10.13,-10.08,-9.97,-9.83,-9.67,-9.54,-9.47,-9.46,-9.51,-9.58,-9.59,-9.54,-9.51,-9.51,-9.53,-9.52,-9.38,-9.15,-8.89,-8.63,-8.4,-8.22,-8.09,-7.89,-7.61,-7.35,-7.19,-7.1,-6.97,-6.73,-6.45,-6.29,-6.26,-6.33,-6.38,-6.37,-6.29,-6.27,-6.38,-6.51,-6.49,-6.32,-6.15,-5.98,-5.82,-5.67,-5.52,-5.36,-5.14,-4.89,-4.62,-4.37,-4.11,-3.85,-3.54,-3.14,-2.75,-2.48,-2.27,-2.06,-1.85,-1.69,-1.62,-1.65,-1.71,-1.8,-1.97,-2.14,-2.24,-2.3,-2.31,-2.22,-2.0,-1.64,-1.1,-0.47,0.07,0.36,0.48,0.6,0.73,0.86,0.91,0.86,0.74,0.59,0.46,0.45,0.53,0.57,0.58,0.61,0.71,0.78,0.77,0.73,0.71,0.67,0.57,0.45,0.41,0.49,0.6,0.67,0.7,0.77,0.93,1.13,1.23,1.25,1.3,1.36,1.4,1.45,1.46,1.39,1.24,1.12,1.09,1.12,1.15,1.11,1.05,0.98,0.87,0.68,0.47,0.26,0.01,-0.32,-0.68,-0.98,-1.13,-1.18,-1.17,-1.1,-0.99,-0.83,-0.59,-0.25,0.06,0.25,0.28,0.17,0.0,-0.23,-0.55,-0.91,-1.24,-1.5,-1.7,-1.84,-1.9,-1.88,-1.78,-1.67,-1.58,-1.5,-1.44,-1.41,-1.49,-1.69,-1.94,-2.15,-2.29,-2.41,-2.53,-2.62,-2.62,-2.55,-2.43,-2.28,-2.19,-2.18,-2.15,-2.02,-1.81,-1.63,-1.49,-1.41,-1.36,-1.36,-1.37,-1.3,-1.18,-1.13,-1.18,-1.23,-1.16,-0.99,-0.8,-0.63,-0.49,-0.38,-0.32,-0.26,-0.15,0.01,0.12,0.18,0.22,0.25,0.2,0.13,0.08,0.01,-0.18,-0.45,-0.69,-0.83,-0.85,-0.79,-0.57,-0.23,0.12,0.33,0.46,0.56,0.57,0.54,0.48,0.42,0.34,0.3,0.32,0.39,0.46,0.5,0.53,0.6,0.7,0.74,0.65,0.48,0.31,0.22,0.21,0.23,0.24,0.31,0.43,0.51,0.49,0.43,0.35,0.2,-0.06,-0.32,-0.48,-0.54,-0.59,-0.64,-0.66,-0.67,-0.66,-0.61,-0.57,-0.6,-0.65,-0.67,-0.63,-0.55,-0.47,-0.38,-0.28,-0.19,-0.15,-0.14,-0.14,-0.18,-0.23,-0.28,-0.31,-0.32,-0.26,-0.17,-0.12,-0.15,-0.19,-0.21,-0.18,-0.14,-0.11,-0.11,-0.16,-0.23,-0.28,-0.23,-0.14,-0.11,-0.16,-0.24,-0.32,-0.35,-0.31,-0.19,-0.05,0.01,0.02,0.03,0.03,-0.01,-0.2,-0.36,-0.55,-0.64,-0.61,-0.55,-0.5,-0.39,-0.16,0.22,0.63,0.97,1.13,1.16,1.09,1.05,1.12,1.18,1.05,0.7,0.32,0.1,0.0,-0.05,-0.13,-0.16,-0.02,0.36,0.76,1.1,1.41,1.7,1.9,1.95,1.94,1.94,1.88,1.69,1.41,1.16,0.98,0.83,0.81,1.01,1.36,1.78,2.08,2.23,2.35,2.49,2.51,2.36,2.1,1.83,1.65,1.59,1.62,1.58,1.38,1.05,0.71,0.47,0.29,0.13,0.02,0.06,0.23,0.45,0.77,1.21,1.69,1.99,2.03,1.94,1.91,2.06,2.24,2.34,2.38,2.46,2.63,2.87,3.1,3.2,3.14,3.0,2.96,3.04,3.13,3.11,3.0,2.92,2.94,3.04,3.13,3.14,3.09,3.04,3.04,3.07,3.07,3.0,2.86,2.62,2.33,2.07,1.89,1.75,1.66,1.59,1.5,1.42,1.43,1.54,1.67,1.7,1.65,1.6,1.62,1.74,1.87,1.9,1.86,1.8,1.79,1.81,1.86,1.9,1.95,1.98,1.95,1.8,1.6,1.47,1.4,1.28,1.1,0.98,1.05,1.24,1.42,1.55,1.67,1.84,2.05,2.34,2.62,2.84,2.99,3.09,3.13,3.11,3.05,2.97,2.9,2.85,2.85,2</t>
  </si>
  <si>
    <t>To_Avoid_Formula.89,2.97,3.04,3.13,3.23,3.34,3.41,3.46,3.45,3.34,3.16,2.97,2.78,2.54,2.27,2.1,1.99,1.89,1.81,1.79,1.88,2.0,2.07,2.09,2.13,2.22,2.32,2.42,2.52,2.62,2.74,2.91,3.14,3.43,3.69,3.88,4.03,4.15,4.24,4.27,4.14,3.89,3.59,3.29,3.02,2.82,2.7,2.64,2.6,2.64,2.78,2.94,3.02,3.03,3.04,3.14,3.21,3.17,3.07,3.03,3.05,3.11,3.18,3.22,3.24,3.24,3.23,3.18,3.07,2.91,2.79,2.73,2.7,2.61,2.48,2.44,2.47,2.45,2.32,2.16,2.04,2.01,1.94,1.8,1.72,1.82,1.98,2.07,2.1,2.22,2.34,2.34,2.22,2.1,2.08,2.14,2.14,2.02,1.86,1.76,1.74,1.72,1.67,1.69,1.81,2.0,2.17,2.32,2.45,2.57,2.76,2.92,2.89,2.7,2.5,2.35,2.22,2.07,1.88,1.7,1.58,1.45,1.3,1.14,0.96,0.75,0.62,0.6,0.65,0.65,0.62,0.64,0.74,0.91,1.2,1.63,2.22,2.94,3.65,4.2,4.53,4.82,5.12,5.26,5.03,4.61,4.19,3.76,3.28,2.8,2.33,1.77,1.28,1.03,1.07,1.24,1.43,1.62,1.84,2.08,2.32,2.54,2.76,3.04,3.31,3.47,3.49,3.45,3.41,3.36,3.3,3.25,3.26,3.35,3.49,3.58,3.54,3.39,3.31,3.33,3.34,3.23,3.02,2.77,2.54,2.35,2.11,1.8,1.46,1.13,0.88,0.69,0.59,0.6,0.69,0.9,1.21,1.51,1.72,1.85,1.93,1.98,1.98,1.88,1.77,1.74,1.79,1.87,1.9,1.93,1.95,1.93,1.88,1.83,1.74,1.49,1.17,0.88,0.74,0.71,0.63,0.47,0.32,0.23,0.23,0.25,0.21,0.1,-0.02,-0.1,-0.17,-0.23,-0.28,-0.3,-0.32,-0.32,-0.28,-0.23,-0.19,-0.15,-0.1,-0.05,-0.06,-0.1,-0.09,-0.06,-0.12,-0.28,-0.46,-0.57,-0.59,-0.51,-0.37,-0.26,-0.16,-0.05,0.08,0.2,0.26,0.24,0.14,-0.01,-0.17,-0.31,-0.44,-0.54,-0.63,-0.63,-0.55,-0.4,-0.24,-0.07,0.14,0.38,0.61,0.71,0.68,0.6,0.6,0.68,0.73,0.73,0.77,0.92,1.19,1.42,1.5,1.52,1.57,1.66,1.69,1.64,1.56,1.43,1.25,1.02,0.78,0.53,0.31,0.11,-0.03,-0.12,-0.24,-0.3,-0.26,-0.21,-0.26,-0.39,-0.46,-0.36,-0.16,0.0,0.1,0.15,0.25,0.4,0.59,0.7,0.62,0.4,0.17,0.0,-0.19,-0.41,-0.63,-0.8,-0.94,-1.08,-1.24,-1.4,-1.6,-1.82,-1.93,-1.82,-1.47,-1.03,-0.67,-0.44,-0.21,0.08,0.43,0.7,0.89,1.03,1.13,1.18,1.11,1.01,0.99,1.05,1.08,1.07,1.02,1.0,1.02,1.02,0.96,0.81,0.65,0.54,0.48,0.44,0.4,0.4,0.43,0.48,</t>
  </si>
  <si>
    <t>To_Avoid_Formula-6.36,-6.33,-6.31,-6.28,-6.25,-6.23,-6.21,-6.19,</t>
  </si>
  <si>
    <t>To_Avoid_Formula-6.08,-6.06,-6.04,-6.02,-6.0,-5.98,-5.96,-5.95,-5.93,-5.92,-5.91,-5.9,-5.89,-5.88,-5.87,-5.86,-5.85,-5.85,-5.84,-5.83,-5.82,-5.82,-5.81,-5.8,-5.8,-5.79,-5.78,-5.78,-5.77,-5.76,-5.76,-5.75,-5.74,-5.73,-5.72,-5.71,-5.7,-5.69,-5.68,-5.67,-5.66,-5.65,-5.65,-5.64,-5.62,-5.61,-5.6,-5.59,-5.58,-5.57,-5.56,-5.55,-5.54,-5.53,-5.52,-5.51,-5.5,-5.49,-5.49,-5.48,-5.47,-5.45,-5.44,-5.43,-5.42,-5.41,-5.39,-5.38,-5.37,-5.35,-5.34,-5.32,-5.31,-5.3,-5.28,-5.27,-5.26,-5.24,-5.23,-5.22,-5.2,-5.19,-5.18,-5.16,-5.15,-5.14,-5.12,-5.11,-5.1,-5.09,-5.07,-5.06,-5.05,-5.04,-5.02,-5.01,-5.0,-4.99,-4.97,-4.96,-4.95,-4.94,-4.92,-4.91,-4.9,-4.88,-4.87,-4.86,-4.84,-4.83,-4.82,-4.8,-4.79,-4.77,-4.76,-4.75,-4.74,-4.73,-4.71,-4.7,-4.69,-4.68,-4.67,-4.65,-4.64,-4.63,-4.62,-4.6,-4.59,-4.58,-4.57,-4.56,-4.55,-4.54,-4.53,-4.52,-4.51,-4.5,-4.48,-4.47,-4.46,-4.45,-4.44,-4.42,-4.41,-4.4,-4.39,-4.37,-4.36,-4.34,-4.33,-4.31,-4.3,-4.28,-4.27,-4.25,-4.24,-4.22,-4.21,-4.19,-4.18,-4.17,-4.15,-4.14,-4.12,-4.11,-4.09,-4.08,-4.06,-4.05,-4.03,-4.01,-4.0,-3.98,-3.97,-3.95,-3.94,-3.92,-3.91,-3.89,-3.87,-3.86,-3.84,-3.82,-3.81,-3.79,-3.78,-3.77,-3.75,-3.74,-3.73,-3.72,-3.71,-3.69,-3.68,-3.67,-3.66,-3.65,-3.64,-3.63,-3.63,-3.62,-3.61,-3.61,-3.6,-3.6,-3.6,-3.59,-3.59,-3.58,-3.58,-3.57,-3.56,-3.56,-3.55,-3.54,-3.54,-3.53,-3.52,-3.52,-3.51,-3.51,-3.5,-3.49,-3.48,-3.48,-3.47,-3.46,-3.45,-3.43,-3.42,-3.41,-3.4,-3.39,-3.38,-3.37,-3.35,-3.34,-3.32,-3.31,-3.29,-3.27,-3.25,-3.24,-3.22,-3.2,-3.19,-3.17,-3.15,-3.14,-3.12,-3.09,-3.07,-3.05,-3.03,-3.0,-2.98,-2.95,-2.93,-2.9,-2.87,-2.85,-2.82,-2.8,-2.77,-2.75,-2.73,-2.7,-2.68,-2.65,-2.63,-2.61,-2.58,-2.56,-2.54,-2.52,-2.49,-2.47,-2.45,-2.43,-2.41,-2.39,-2.37,-2.35,-2.33,-2.31,-2.29,-2.28,-2.26,-2.25,-2.23,-2.21,-2.2,-2.18,-2.16,-2.15,-2.13,-2.11,-2.09,-2.08,-2.06,-2.04,-2.03,-2.02,-2.0,-1.99,-1.98,-1.97,-1.96,-1.95,-1.94,-1.93,-1.92,-1.92,-1.91,-1.9,-1.89,-1.88,-1.87,-1.87,-1.86,-1.85,-1.84,-1.84,-1.83,-1.83,-1.82,-1.81,-1.81,-1.8,-1.79,-1.79,-1.78,-1.77,-1.76,-1.75,-1.74,-1.74,-1.73,-1.72,-1.71,-1.71,-1.7,-1.69,-1.69,-1.68,-1.67,-1.67,-1.66,-1.66,-1.65,-1.65,-1.64,-1.63,-1.63,-1.62,-1.61,-1.6,-1.59,-1.58,-1.57,-1.56,-1.55,-1.54,-1.53,-1.52,-1.51,-1.5,-1.49,-1.48,-1.48,-1.47,-1.46,-1.45,-1.44,-1.43,-1.43,-1.42,-1.41,-1.4,-1.4,-1.39,-1.38,-1.37,-1.37,-1.36,-1.35,-1.34,-1.34,-1.33,-1.32,-1.31,-1.3,-1.29,-1.28,-1.27,-1.26,-1.25,-1.24,-1.23,-1.22,-1.21,-1.2,-1.19,-1.18,-1.17,-1.15,-1.14,-1.13,-1.12,-1.11,-1.1,-1.09,-1.08,-1.07,-1.06,-1.05,-1.04,-1.03,-1.02,-1.01,-0.99,-0.98,-0.97,-0.96,-0.95,-0.94,-0.93,-0.92,-0.91,-0.9,-0.89,-0.89,-0.88,-0.87,-0.86,-0.85,-0.84,-0.84,-0.83,-0.83,-0.82,-0.82,-0.82,-0.81,-0.81,-0.8,-0.8,-0.8,-0.79,-0.79,-0.79,-0.79,-0.78,-0.78,-0.78,-0.78,-0.78,-0.77,-0.77,-0.77,-0.77,-0.77,-0.76,-0.76,-0.76,-0.76,-0.76,-0.76,-0.76,-0.76,-0.76,-0.75,-0.75,-0.74,-0.74,-0.73,-0.72,-0.72,-0.71,-0.7,-0.7,-0.69,-0.68,-0.67,-0.67,-0.66,-0.65,-0.64,-0.63,-0.62,-0.6,-0.59,-0.58,-0.57,-0.56,-0.55,-0.53,-0.52,-0.51,-0.5,-0.49,-0.47,-0.46,-0.45,-0.44,-0.43,-0.42,-0.41,-0.4,-0.39,-0.37,-0.36,-0.35,-0.34,-0.32,-0.29,-0.28,-0.27,-0.26,-0.24,-0.23,-0.22,-0.21,-0.2,-0.19,-0.18,-0.17,-0.16,-0.15,-0.14,-0.13,-0.12,-0.11,-0.1,-0.09,-0.08,-0.07,-0.06,-0.05,-0.03,-0.02,-0.01,0.0,0.01,0.02,0.03,0.05,0.06,0.07,0.08,0.1,0.11,0.12,0.13,0.15,0.16,0.17,0.18,0.19,0.2,0.21,0.22,0.23,0.24,0.25,0.26,0.27,0.28,0.28,0.29,0.3,0.31,0.32,0.33,0.34,0.35,0.35,0.36,0.37,0.38,0.38,0.39,0.39,0.4,0.4,0.41,0.41,0.41,0.42,0.42,0.42,0.42,0.42,0.42,0.42,0.42,0.42,0.42,0.42,0.42,0.42,0.42,0.42,0.42,0.42,0.42,0.43,0.43,0.43,0.43,0.44,0.44,0.44,0.44,0.44,0.44,0.44,0.44,0.44,0.44,0.44,0.44,0.44,0.44,0.44,0.44,0.44,0.45,0.45,0.45,0.45,0.45,0.46,0.46,0.46,0.47,0.47,0.48,0.48,0.49,0.49,0.5,0.5,0.5,0.51,0.51,0.52,0.52,0.52,0.52,0.53,0.53,0.53,0.53,0.53,0.53,0.53,0.52,0.52,0.52,0.52,0.51,0.51,0.51,0.51,0.52,0.52,0.52,0.52,0.52,0.52,0.53,0.53,0.53,0.52,0.52,0.52,0.52,0.52,0.51,0.51,0.51,0.51,0.51,0.51,0.51,0.5</t>
  </si>
  <si>
    <t>To_Avoid_Formula1,0.5,0.5,0.5,0.5,0.49,0.49,0.49,0.49,0.49,0.48,0.48,0.48,0.48,0.48,0.49,0.49,0.49,0.5,0.5,0.51,0.52,0.53,0.53,0.54,0.54,0.55,0.55,0.56,0.56,0.57,0.57,0.58,0.58,0.59,0.59,0.6,0.6,0.61,0.62,0.62,0.63,0.64,0.64,0.65,0.65,0.66,0.66,0.66,0.67,0.67,0.67,0.68,0.68,0.69,0.69,0.7,0.7,0.7,0.71,0.71,0.71,0.71,0.72,0.72,0.72,0.71,0.71,0.71,0.7,0.7,0.69,0.69,0.68,0.68,0.67,0.66,0.66,0.65,0.64,0.63,0.63,0.62,0.61,0.6,0.59,0.58,0.57,0.57,0.56,0.55,0.54,0.54,0.53,0.52,0.52,0.51,0.51,0.51,0.5,0.5,0.5,0.49,0.49,0.49,0.48,0.48,0.48,0.48,0.48,0.48,0.48,0.48,0.48,0.48,0.48,0.49,0.49,0.49,0.49,0.5,0.5,0.51,0.51,0.52,0.53,0.53,0.54,0.55,0.56,0.57,0.58,0.59,0.6,0.61,0.62,0.63,0.64,0.65,0.66,0.67,0.67,0.68,0.69,0.69,0.7,0.7,0.71,0.71,0.72,0.72,0.72,0.73,0.73,0.73,0.73,0.74,0.74,0.74,0.74,0.74,0.75,0.75,0.75,0.75,0.75,0.75,0.75,0.76,0.76,0.77,0.77,0.77,0.78,0.78,0.78,0.78,0.78,0.78,0.78,0.78,0.78,0.78,0.78,0.77,0.77,0.77,0.77,0.77,0.77,0.77,0.77,0.77,0.77,0.77,0.77,0.77,0.77,0.77,0.77,0.78,0.78,0.78,0.79,0.79,0.8,0.8,0.8,0.8,0.81,0.81,0.81,0.81,0.81,0.81,0.81,0.81,0.81,0.81,0.81,0.8,0.8,0.79,0.79,0.78,0.78,0.78,0.78,0.77,0.77,0.77,0.77,0.76,0.76,0.76,0.76,0.75,0.75,0.75,0.75,0.74,0.74,0.74,0.73,0.73,0.72,0.72,0.71,0.71,0.7,0.69,0.69,0.68,0.67,0.66,0.66,0.65,0.64,0.63,0.62,0.61,0.6,0.59,0.59,0.58,0.57,0.57,0.56,0.56,0.55,0.55,0.55,0.54,0.54,0.54,0.53,0.53,0.53,0.53,0.52,0.52,0.52,0.52,0.52,0.51,0.51,0.51,0.51,0.51,0.51,0.51,0.51,0.51,0.51,0.51,0.51,0.52,0.52,0.52,0.53,0.53,0.54,0.54,0.55,0.55,0.56,0.56,0.57,0.58,0.59,0.59,0.6,0.61,0.62,0.62,0.63,0.63,0.64,0.65,0.65,0.66,0.66,0.67,0.67,0.67,0.67,0.67,0.67,0.68,0.68,0.68,0.68,0.68,0.68,0.68,0.68,0.69,0.69,0.69,0.69,0.69,0.69,0.69,0.69,0.69,0.69,0.69,0.69,0.68,0.68,0.68,0.68,</t>
  </si>
  <si>
    <t>To_Avoid_Formula1.37,1.4,1.43,1.45,1.46,1.47,1.47,1.46,</t>
  </si>
  <si>
    <t>To_Avoid_Formula1.49,1.55,1.63,1.72,1.82,1.93,2.04,2.14,2.21,2.27,2.3,2.31,2.33,2.34,2.36,2.38,2.42,2.48,2.55,2.63,2.73,2.83,2.92,3.01,3.08,3.13,3.16,3.19,3.21,3.23,3.24,3.24,3.23,3.2,3.16,3.1,3.03,2.96,2.88,2.8,2.72,2.63,2.53,2.43,2.32,2.2,2.08,1.95,1.81,1.65,1.49,1.33,1.18,1.04,0.94,0.86,0.81,0.78,0.77,0.78,0.8,0.82,0.84,0.86,0.86,0.86,0.86,0.85,0.85,0.85,0.86,0.89,0.93,1.0,1.08,1.19,1.3,1.42,1.54,1.65,1.76,1.86,1.96,2.05,2.14,2.24,2.35,2.46,2.56,2.64,2.71,2.76,2.8,2.84,2.87,2.91,2.94,2.95,2.96,2.95,2.91,2.85,2.76,2.64,2.52,2.39,2.25,2.12,1.99,1.85,1.71,1.57,1.42,1.27,1.12,0.96,0.81,0.67,0.56,0.48,0.41,0.37,0.34,0.32,0.3,0.27,0.23,0.18,0.12,0.05,-0.03,-0.09,-0.14,-0.18,-0.22,-0.24,-0.25,-0.24,-0.22,-0.2,-0.17,-0.13,-0.09,-0.03,0.05,0.13,0.21,0.28,0.34,0.38,0.41,0.42,0.42,0.39,0.35,0.31,0.27,0.25,0.24,0.24,0.26,0.31,0.38,0.46,0.57,0.68,0.8,0.93,1.07,1.22,1.38,1.54,1.69,1.81,1.92,1.99,2.04,2.07,2.07,2.06,2.05,2.05,2.06,2.08,2.12,2.16,2.2,2.23,2.24,2.22,2.17,2.09,1.98,1.85,1.69,1.53,1.35,1.18,1.01,0.86,0.73,0.63,0.57,0.55,0.55,0.58,0.63,0.71,0.82,0.96,1.13,1.31,1.51,1.73,1.96,2.21,2.45,2.7,2.93,3.14,3.34,3.53,3.7,3.85,3.97,4.07,4.14,4.19,4.22,4.21,4.18,4.11,4.02,3.9,3.76,3.61,3.45,3.28,3.12,2.96,2.81,2.66,2.51,2.35,2.2,2.06,1.93,1.83,1.77,1.73,1.73,1.76,1.82,1.91,2.03,2.14,2.26,2.38,2.48,2.57,2.65,2.72,2.78,2.85,2.92,2.99,3.07,3.13,3.16,3.17,3.16,3.13,3.08,3.03,2.96,2.89,2.82,2.76,2.71,2.67,2.64,2.62,2.6,2.6,2.59,2.58,2.55,2.5,2.41,2.29,2.15,2.0,1.83,1.67,1.5,1.33,1.17,1.02,0.9,0.79,0.71,0.64,0.59,0.55,0.52,0.5,0.48,0.46,0.44,0.42,0.42,0.43,0.46,0.5,0.55,0.59,0.64,0.68,0.73,0.76,0.79,0.8,0.8,0.8,0.79,0.78,0.75,0.71,0.65,0.58,0.5,0.4,0.28,0.17,0.06,-0.04,-0.12,-0.17,-0.21,-0.25,-0.27,-0.28,-0.28,-0.27,-0.25,-0.22,-0.2,-0.18,-0.15,-0.11,-0.07,-0.03,0.01,0.05,0.11,0.18,0.29,0.43,0.61,0.83,1.08,1.34,1.61,1.88,2.13,2.36,2.55,2.71,2.84,2.94,2.99,3.01,2.99,2.93,2.86,2.76,2.67,2.58,2.51,2.47,2.46,2.47,2.49,2.52,2.55,2.58,2.6,2.62,2.66,2.7,2.75,2.8,2.85,2.89,2.93,2.98,3.04,3.12,3.21,3.31,3.42,3.54,3.65,3.75,3.86,3.97,4.08,4.2,4.32,4.42,4.51,4.56,4.57,4.54,4.46,4.34,4.18,3.97,3.73,3.46,3.19,2.91,2.65,2.4,2.17,1.98,1.81,1.69,1.62,1.58,1.59,1.64,1.72,1.83,1.96,2.11,2.25,2.38,2.51,2.62,2.72,2.78,2.82,2.82,2.79,2.75,2.7,2.64,2.57,2.49,2.4,2.32,2.24,2.17,2.12,2.07,2.04,2.02,2.02,2.04,2.08,2.14,2.21,2.29,2.38,2.5,2.63,2.77,2.9,3.0,3.09,3.15,3.17,3.17,3.13,3.07,2.98,2.88,2.77,2.67,2.57,2.48,2.4,2.32,2.24,2.15,2.05,1.94,1.81,1.69,1.57,1.45,1.34,1.24,1.14,1.04,0.94,0.83,0.71,0.59,0.46,0.34,0.21,0.09,-0.01,-0.09,-0.14,-0.16,-0.14,-0.09,-0.02,0.09,0.21,0.35,0.49,0.62,0.9,1.04,1.18,1.31,1.43,1.53,1.63,1.71,1.77,1.81,1.81,1.79,1.73,1.66,1.57,1.45,1.31,1.16,0.98,0.8,0.62,0.43,0.26,0.11,-0.02,-0.12,-0.19,-0.23,-0.26,-0.26,-0.24,-0.21,-0.16,-0.09,-0.03,0.03,0.09,0.15,0.21,0.27,0.33,0.38,0.42,0.45,0.46,0.48,0.49,0.5,0.53,0.56,0.61,0.67,0.76,0.85,0.95,1.05,1.16,1.26,1.36,1.45,1.54,1.61,1.66,1.69,1.7,1.7,1.69,1.67,1.65,1.62,1.58,1.53,1.48,1.41,1.33,1.25,1.17,1.11,1.07,1.04,1.02,1.0,0.99,0.97,0.94,0.9,0.84,0.77,0.69,0.61,0.53,0.46,0.4,0.36,0.35,0.36,0.4,0.46,0.55,0.66,0.77,0.88,0.99,1.1,1.19,1.27,1.32,1.34,1.34,1.31,1.25,1.16,1.05,0.93,0.79,0.65,0.52,0.41,0.32,0.26,0.22,0.19,0.18,0.19,0.22,0.26,0.32,0.39,0.5,0.62,0.77,0.93,1.09,1.24,1.38,1.5,1.6,1.67,1.71,1.72,1.7,1.67,1.63,1.57,1.5,1.42,1.34,1.25,1.15,1.06,0.96,0.86,0.77,0.69,0.63,0.59,0.57,0.56,0.57,0.57,0.59,0.6,0.61,0.62,0.62,0.61,0.61,0.62,0.64,0.68,0.72,0.78,0.83,0.88,0.92,0.95,0.96,0.96,0.96,0.95,0.95,0.95,0.95,0.96,0.97,0.99,1.02,1.05,1.08,1.11,1.14,1.18,1.21,1.26,1.31,1.36,1.41,1.44,1.48,1.51,1.53,1.55,1.56,1.56,1.56,1.57,1.58,1.6,1.62,1.64,1.68,1.71,1.75,1.8,1.85,1.9,1.93,1.95,1.95,1.93,1.9,1.83,1.75,1.65,1.54,1.42,1.3,1.19,1.08,0.97,0.87,0.79,0.73,0.69,0.69,0.71,0.75,0.82,0.9,1.01,1.13,1.26,1.4,1.57,1.77,1.98,2.19,2.38,2.55,2.7,2.84,2.94,3.02,3.06,3.07,3.05,3.0,2.92,2.81,2.7,2.57,2.43,2.29,2.15,2.01,1.9,1.8,1.71,1.66,1.62,1.61,1.63,1</t>
  </si>
  <si>
    <t>To_Avoid_Formula.68,1.74,1.82,1.92,2.02,2.14,2.26,2.37,2.49,2.62,2.74,2.87,2.99,3.11,3.2,3.27,3.33,3.37,3.41,3.42,3.43,3.42,3.41,3.39,3.38,3.36,3.34,3.31,3.29,3.26,3.23,3.2,3.16,3.13,3.1,3.06,3.03,2.99,2.96,2.92,2.88,2.83,2.78,2.73,2.67,2.61,2.54,2.49,2.44,2.42,2.41,2.42,2.45,2.48,2.52,2.57,2.63,2.68,2.74,2.79,2.84,2.91,2.98,3.06,3.15,3.25,3.33,3.42,3.49,3.56,3.62,3.67,3.71,3.73,3.74,3.75,3.74,3.71,3.68,3.62,3.55,3.48,3.41,3.33,3.23,3.13,3.01,2.89,2.77,2.65,2.53,2.41,2.3,2.19,2.09,2.01,1.95,1.91,1.88,1.87,1.88,1.9,1.93,1.97,2.01,2.04,2.06,2.08,2.1,2.11,2.13,2.14,2.17,2.22,2.29,2.37,2.48,2.59,2.69,2.79,2.89,2.98,3.05,3.1,3.14,3.15,3.15,3.13,3.1,3.05,2.99,2.9,2.8,2.71,2.62,2.55,2.5,2.48,2.46,2.46,2.45,2.45,2.44,2.43,2.42,2.39,2.36,2.32,2.28,2.23,2.18,2.12,2.06,1.99,1.92,1.84,1.77,1.69,1.62,1.55,1.49,1.43,1.36,1.28,1.21,1.13,1.07,1.01,0.96,0.94,0.94,0.96,1.02,1.1,1.19,1.3,1.41,1.53,1.65,1.77,1.89,2.01,2.14,2.26,2.38,2.5,2.6,2.69,2.74,2.78,2.79,2.79,2.77,2.73,2.66,2.59,2.53,2.48,2.46,2.46,2.48,2.51,2.56,2.63,2.7,2.79,2.88,2.98,3.08,3.19,3.3,3.43,3.58,3.74,3.9,4.06,4.22,4.37,4.5,4.59,4.65,4.67,4.66,4.61,4.54,4.44,4.31,4.16,3.99,3.8,3.61,3.41,3.19,2.95,2.71,2.46,2.21,1.98,1.75,1.53,1.32,1.11,0.92,0.73,0.56,0.39,0.24,0.11,-0.01,-0.11,-0.19,</t>
  </si>
  <si>
    <t>To_Avoid_Formula-0.66,-0.79,-0.88,-1.01,-1.11,-1.08,-0.97,-0.95,</t>
  </si>
  <si>
    <t>To_Avoid_Formula-0.66,-0.58,-0.5,-0.59,-0.81,-0.94,-0.97,-1.05,-1.24,-1.37,-1.29,-0.96,-0.44,0.09,0.51,0.82,1.13,1.45,1.62,1.54,1.32,1.02,0.57,0.07,-0.22,-0.32,-0.4,-0.42,-0.23,0.1,0.38,0.65,0.97,1.28,1.46,1.56,1.67,1.77,1.79,1.74,1.67,1.59,1.47,1.35,1.31,1.3,1.23,1.12,1.05,0.97,0.82,0.68,0.68,0.7,0.58,0.32,0.1,-0.03,-0.16,-0.26,-0.28,-0.29,-0.42,-0.61,-0.72,-0.69,-0.63,-0.64,-0.67,-0.73,-0.95,-1.25,-1.51,-1.72,-1.95,-2.09,-2.06,-2.03,-2.12,-2.19,-2.07,-1.87,-1.76,-1.72,-1.62,-1.46,-1.34,-1.33,-1.41,-1.58,-1.85,-2.13,-2.29,-2.48,-2.85,-3.28,-3.56,-3.7,-3.79,-3.74,-3.44,-2.9,-2.24,-1.56,-0.93,-0.31,0.33,1.01,1.71,2.39,3.1,3.82,4.5,5.03,5.43,5.83,6.22,6.45,6.44,6.35,6.28,6.13,5.77,5.28,4.85,4.5,4.12,3.75,3.44,3.14,2.8,2.5,2.25,1.92,1.5,1.14,0.81,0.38,-0.1,-0.47,-0.71,-0.93,-1.11,-1.25,-1.44,-1.73,-1.98,-2.02,-1.89,-1.79,-1.78,-1.69,-1.47,-1.26,-1.12,-0.96,-0.81,-0.84,-1.0,-1.1,-1.11,-1.11,-1.15,-1.12,-1.06,-1.03,-0.95,-0.78,-0.63,-0.57,-0.51,-0.31,-0.11,-0.03,0.02,0.13,0.2,0.09,-0.07,-0.14,-0.18,-0.29,-0.39,-0.42,-0.49,-0.61,-0.68,-0.65,-0.63,-0.72,-0.87,-0.99,-1.1,-1.25,-1.38,-1.44,-1.52,-1.68,-1.78,-1.74,-1.67,-1.68,-1.67,-1.59,-1.57,-1.63,-1.68,-1.7,-1.73,-1.75,-1.69,-1.55,-1.51,-1.63,-1.71,-1.66,-1.58,-1.56,-1.48,-1.34,-1.21,-1.13,-1.04,-0.96,-0.92,-0.9,-0.85,-0.77,-0.73,-0.73,-0.65,-0.45,-0.26,-0.19,-0.14,-0.08,-0.03,0.06,0.25,0.45,0.55,0.58,0.71,0.95,1.13,1.16,1.15,1.19,1.22,1.24,1.33,1.37,1.24,1.05,1.02,1.04,0.96,0.84,0.8,0.75,0.63,0.53,0.53,0.53,0.44,0.37,0.4,0.46,0.45,0.51,0.66,0.76,0.73,0.67,0.72,0.81,0.79,0.72,0.71,0.69,0.51,0.35,0.34,0.4,0.43,0.51,0.71,0.91,1.03,1.11,1.14,1.0,0.74,0.51,0.39,0.32,0.21,0.06,-0.06,-0.16,-0.28,-0.33,-0.26,-0.18,-0.16,-0.07,0.13,0.27,0.38,0.57,0.83,0.98,1.02,1.1,1.24,1.35,1.39,1.4,1.39,1.3,1.16,1.07,0.96,0.75,0.56,0.46,0.4,0.32,0.22,0.12,0.03,-0.09,-0.19,-0.21,-0.2,-0.24,-0.3,-0.3,-0.29,-0.4,-0.58,-0.7,-0.77,-0.88,-1.04,-1.13,-1.18,-1.22,-1.21,-1.07,-0.96,-0.93,-0.87,-0.62,-0.36,-0.32,-0.42,-0.49,-0.5,-0.57,-0.71,-0.86,-0.98,-1.09,-1.13,-1.09,-1.04,-1.03,-1.01,-0.89,-0.77,-0.71,-0.67,-0.58,-0.5,-0.55,-0.64,-0.68,-0.69,-0.65,-0.54,-0.36,-0.22,-0.09,0.12,0.42,0.62,0.7,0.81,1.01,1.16,1.19,1.2,1.23,1.22,1.11,1.01,1.0,1.01,0.92,0.82,0.76,0.72,0.68,0.65,0.62,0.53,0.36,0.23,0.1,-0.06,-0.21,-0.31,-0.41,-0.54,-0.63,-0.64,-0.62,-0.62,-0.63,-0.64,-0.7,-0.85,-0.98,-0.99,-0.94,-0.91,-0.84,-0.68,-0.53,-0.44,-0.33,-0.19,-0.05,0.02,0.08,0.15,0.24,0.31,0.43,0.6,0.73,0.81,0.9,1.04,1.1,1.05,0.98,0.99,0.97,0.89,0.81,0.83,0.86,0.84,0.79,0.77,0.78,0.73,0.62,0.5,0.41,0.36,0.41,0.51,0.52,0.39,0.22,0.12,0.04,-0.1,-0.24,-0.3,-0.33,-0.4,-0.43,-0.38,-0.35,-0.36,-0.36,-0.35,-0.43,-0.51,-0.53,-0.55,-0.66,-0.85,-0.94,-0.9,-0.88,-0.94,-0.98,-0.96,-0.95,-0.98,-0.93,-0.83,-0.78,-0.75,-0.64,-0.48,-0.33,-0.19,-0.04,0.11,0.21,0.27,0.4,0.56,0.71,0.85,0.99,1.03,0.92,0.73,0.6,0.27,0.08,-0.05,-0.12,-0.17,-0.14,-0.06,-0.03,-0.12,-0.16,-0.06,0.11,0.2,0.23,0.25,0.26,0.29,0.32,0.29,0.15,-0.02,-0.11,-0.09,-0.06,-0.09,-0.05,0.17,0.43,0.53,0.52,0.57,0.59,0.46,0.27,0.18,0.09,-0.12,-0.39,-0.59,-0.72,-0.86,-1.01,-1.07,-1.06,-1.04,-0.96,-0.9,-0.98,-1.13,-1.12,-1.04,-1.1,-1.27,-1.37,-1.3,-1.17,-1.05,-0.92,-0.77,-0.67,-0.58,-0.43,-0.25,-0.08,0.1,0.42,0.77,0.97,1.03,1.13,1.3,1.33,1.14,0.86,0.68,0.65,0.71,0.79,0.81,0.73,0.62,0.62,0.69,0.65,0.45,0.26,0.19,0.2,0.2,0.21,0.19,0.08,-0.05,-0.08,-0.06,-0.12,-0.26,-0.35,-0.38,-0.42,-0.49,-0.55,-0.65,-0.86,-1.08,-1.19,-1.24,-1.34,-1.41,-1.34,-1.21,-1.15,-1.1,-0.93,-0.75,-0.71,-0.77,-0.77,-0.69,-0.6,-0.51,-0.44,-0.43,-0.46,-0.44,-0.32,-0.2,-0.2,-0.23,-0.18,-0.11,-0.18,-0.32,-0.32,-0.21,-0.12,-0.09,0.02,0.2,0.38,0.52,0.63,0.69,0.73,0.84,1.06,1.25,1.32,1.38,1.48,1.52,1.43,1.33,1.27,1.2,1.09,1.02,1.01,0.98,0.94,0.94,0.97,0.96,0.91,0.91,0.9,0.79,0.6,0.45,0.31,0.07,-0.19,-0.34,-0.45,-0.61,-0.73,-0.74,-0.68,-0.65,-0.58,-0.44,-0.31,-0.29,-0.28,-0.2,-0.1,-0.04,0.02,0.16,0.33,0.51,0.69,0.84,0.91,0.85,0.79,0.74,0.61,0.38,0.17,0.03,-0.13,-0.31,-0.39,-</t>
  </si>
  <si>
    <t>To_Avoid_Formula0.37,-0.4,-0.45,-0.41,-0.31,-0.3,-0.38,-0.4,-0.28,-0.21,-0.31,-0.42,-0.43,-0.43,-0.45,-0.4,-0.28,-0.2,-0.22,-0.22,-0.17,-0.14,-0.15,-0.09,0.06,0.21,0.23,0.14,0.07,-0.05,-0.35,-0.79,-1.26,-1.65,-1.87,-2.04,-2.18,-2.3,-2.28,-2.11,-1.87,-1.74,-1.53,-1.29,-1.12,-1.01,-0.93,-0.7,-0.34,0.05,0.36,0.71,1.1,1.46,1.75,2.08,2.48,2.83,3.09,3.42,3.79,4.06,4.19,4.31,4.39,4.31,4.06,3.78,3.52,3.21,2.87,2.54,2.16,1.68,1.16,0.69,0.2,-0.37,-0.93,-1.3,-1.49,-1.63,-1.77,-1.88,-1.92,-1.93,-1.87,-1.71,-1.45,-1.1,-0.59,-0.04,0.34,0.49,0.7,1.02,1.21,1.04,0.77,0.59,0.41,0.19,0.03,-0.01,-0.12,-0.24,-0.18,0.08,0.26,0.28,0.27,0.28,0.26,0.19,0.1,0.06,0.03,0.0,-0.06,-0.16,-0.33,-0.53,-0.66,-0.67,-0.69,-0.76,-0.77,-0.69,-0.7,-0.86,-1.03,-1.13,-1.25,-1.42,-1.59,-1.75,-1.94,-2.12,-2.15,-2.15,-2.23,-2.32,-2.25,-2.09,-1.94,-1.76,-1.5,-1.22,-0.98,-0.7,-0.41,-0.19,-0.07,0.08,0.31,0.49,0.53,0.57,0.77,1.01,1.17,1.27,1.4,1.54,1.58,1.58,1.59,1.52,1.32,1.08,0.84,0.61,0.42,0.27,0.14,-0.02,-0.26,-0.46,-0.56,-0.66,-0.81,-0.96,-1.07,-1.22,-1.39,-1.49,-1.51,-1.54,-1.59,-1.56,-1.47,-1.46,-1.52,-1.56,-1.51,-1.5,-1.59,-1.64,-1.58,-1.5,-1.52,-1.51,-1.44,-1.34,-1.27,-1.17,-1.06,-0.99,-0.95,-0.88,-0.77,-0.71,-0.76,-0.83,-0.81,-0.81,-0.93,-1.07,-1.11,-1.08,-1.06,-1.01,-0.91,-0.77,-0.59,-0.35,-0.02,0.29,0.38,0.32,0.25,0.26,0.31,0.35,0.42,0.53,0.69,0.94,1.21,1.31,1.32,1.37,1.48,1.46,1.33,1.22,1.15,1.05,0.93,0.83,0.69,0.51,0.36,0.36,0.4,0.31,0.2,0.22,0.36,0.44,0.45,0.49,0.57,0.66,0.75,0.82,0.81,0.73,0.7,0.83,0.93,0.78,0.48,0.26,0.13,-0.07,-0.33,-0.51,-0.57,-0.55,-0.49,-0.31,-0.12,-0.06,-0.04,0.12,0.47,0.85,1.14,1.33,1.5,1.66,1.86,2.09,2.26,2.34,2.41,2.53,2.61,2.47,2.28,2.21,2.23,2.16,2.06,1.99,1.93,1.84,1.77,1.7,1.57,1.39,1.27,1.27,1.21,1.05,0.97,1.01,1.01,</t>
  </si>
  <si>
    <t>To_Avoid_Formula-2.05,-2.06,-2.04,-2.09,-2.15,-2.13,-2.07,-2.1,</t>
  </si>
  <si>
    <t>To_Avoid_Formula-2.15,-2.13,-2.08,-2.14,-2.3,-2.42,-2.51,-2.69,-2.94,-3.15,-3.26,-3.24,-3.06,-2.8,-2.6,-2.45,-2.25,-2.0,-1.82,-1.79,-1.81,-1.82,-1.92,-2.12,-2.26,-2.28,-2.29,-2.22,-2.03,-1.77,-1.64,-1.57,-1.42,-1.25,-1.18,-1.18,-1.14,-1.05,-0.99,-0.95,-0.9,-0.83,-0.79,-0.76,-0.67,-0.58,-0.52,-0.45,-0.31,-0.19,-0.17,-0.15,-0.01,0.14,0.13,0.0,-0.09,-0.15,-0.26,-0.41,-0.48,-0.5,-0.6,-0.76,-0.87,-0.86,-0.79,-0.71,-0.6,-0.52,-0.57,-0.67,-0.71,-0.72,-0.78,-0.81,-0.73,-0.65,-0.69,-0.75,-0.71,-0.67,-0.72,-0.82,-0.85,-0.83,-0.85,-0.94,-1.1,-1.35,-1.71,-2.12,-2.44,-2.76,-3.18,-3.65,-4.03,-4.33,-4.58,-4.61,-4.4,-4.04,-3.63,-3.18,-2.66,-2.11,-1.54,-0.94,-0.31,0.31,0.94,1.59,2.22,2.73,3.16,3.63,4.13,4.51,4.76,5.0,5.3,5.51,5.55,5.53,5.56,5.61,5.58,5.56,5.6,5.61,5.54,5.45,5.35,5.12,4.73,4.34,3.98,3.55,3.08,2.72,2.43,2.14,1.91,1.77,1.62,1.39,1.18,1.14,1.25,1.32,1.34,1.45,1.7,1.92,2.09,2.29,2.51,2.58,2.55,2.54,2.61,2.66,2.7,2.81,2.96,3.07,3.18,3.35,3.48,3.53,3.58,3.75,3.93,4.01,4.08,4.26,4.43,4.49,4.5,4.54,4.55,4.43,4.3,4.21,4.07,3.85,3.65,3.52,3.39,3.18,2.95,2.76,2.57,2.31,2.08,1.96,1.83,1.63,1.44,1.35,1.27,1.13,1.01,0.96,0.86,0.69,0.55,0.5,0.46,0.42,0.44,0.51,0.49,0.33,0.17,0.1,0.01,-0.14,-0.24,-0.26,-0.27,-0.28,-0.26,-0.24,-0.29,-0.4,-0.46,-0.48,-0.53,-0.64,-0.72,-0.73,-0.76,-0.88,-1.02,-1.1,-1.17,-1.22,-1.22,-1.18,-1.17,-1.19,-1.14,-1.01,-0.96,-0.98,-0.97,-0.87,-0.78,-0.74,-0.66,-0.59,-0.63,-0.73,-0.76,-0.8,-0.95,-1.14,-1.24,-1.35,-1.53,-1.69,-1.78,-1.88,-2.08,-2.25,-2.32,-2.36,-2.48,-2.57,-2.55,-2.5,-2.56,-2.64,-2.61,-2.51,-2.47,-2.43,-2.32,-2.22,-2.23,-2.24,-2.15,-2.01,-1.93,-1.84,-1.68,-1.59,-1.64,-1.76,-1.87,-2.02,-2.21,-2.38,-2.46,-2.48,-2.52,-2.55,-2.52,-2.47,-2.46,-2.45,-2.37,-2.25,-2.18,-2.04,-1.83,-1.64,-1.45,-1.16,-0.8,-0.52,-0.33,-0.09,0.18,0.36,0.46,0.56,0.66,0.66,0.56,0.49,0.44,0.34,0.22,0.18,0.2,0.18,0.16,0.17,0.22,0.22,0.19,0.2,0.25,0.27,0.28,0.35,0.45,0.46,0.4,0.38,0.42,0.45,0.44,0.43,0.4,0.31,0.25,0.28,0.28,0.17,0.06,0.11,0.19,0.13,0.01,-0.02,0.04,0.06,0.04,0.02,-0.01,-0.07,-0.1,-0.08,-0.09,-0.2,-0.31,-0.34,-0.35,-0.4,-0.47,-0.46,-0.41,-0.42,-0.46,-0.48,-0.5,-0.5,-0.42,-0.28,-0.21,-0.19,-0.1,0.08,0.21,0.27,0.36,0.49,0.55,0.51,0.48,0.51,0.52,0.44,0.38,0.38,0.36,0.29,0.26,0.25,0.22,0.13,0.04,-0.03,-0.15,-0.33,-0.46,-0.58,-0.77,-0.98,-1.11,-1.22,-1.36,-1.46,-1.44,-1.38,-1.36,-1.34,-1.26,-1.21,-1.27,-1.37,-1.41,-1.44,-1.56,-1.7,-1.73,-1.7,-1.67,-1.6,-1.46,-1.28,-1.16,-1.06,-0.91,-0.78,-0.69,-0.57,-0.4,-0.23,-0.11,0.01,0.17,0.28,0.35,0.45,0.61,0.71,0.69,0.66,0.73,0.8,0.78,0.76,0.82,0.92,0.98,1.0,1.06,1.14,1.2,1.3,1.46,1.52,1.43,1.29,1.2,1.12,0.97,0.85,0.81,0.78,0.69,0.61,0.61,0.6,0.54,0.5,0.48,0.4,0.32,0.3,0.31,0.2,0.0,-0.12,-0.14,-0.2,-0.31,-0.38,-0.37,-0.4,-0.47,-0.49,-0.45,-0.43,-0.41,-0.3,-0.14,-0.04,0.03,0.16,0.34,0.48,0.59,0.73,0.88,1.0,1.11,1.26,1.35,1.28,1.14,1.06,0.87,0.77,0.73,0.69,0.61,0.6,0.64,0.61,0.4,0.16,0.07,0.09,0.14,0.19,0.28,0.36,0.39,0.43,0.51,0.58,0.6,0.63,0.69,0.74,0.75,0.79,0.93,1.03,0.96,0.82,0.77,0.7,0.54,0.39,0.35,0.3,0.16,0.01,-0.04,-0.06,-0.14,-0.24,-0.34,-0.48,-0.67,-0.83,-0.94,-1.11,-1.34,-1.42,-1.38,-1.38,-1.47,-1.48,-1.38,-1.29,-1.24,-1.14,-0.95,-0.74,-0.54,-0.33,-0.11,0.08,0.27,0.52,0.78,0.86,0.78,0.69,0.66,0.6,0.45,0.27,0.14,0.08,0.09,0.16,0.22,0.15,0.01,-0.06,-0.05,-0.08,-0.19,-0.26,-0.27,-0.27,-0.27,-0.22,-0.16,-0.19,-0.31,-0.36,-0.37,-0.42,-0.52,-0.58,-0.61,-0.66,-0.74,-0.78,-0.82,-0.94,-1.06,-1.1,-1.13,-1.25,-1.36,-1.35,-1.27,-1.26,-1.3,-1.27,-1.23,-1.27,-1.37,-1.41,-1.42,-1.46,-1.49,-1.49,-1.5,-1.56,-1.59,-1.53,-1.49,-1.55,-1.64,-1.64,-1.6,-1.64,-1.72,-1.72,-1.62,-1.53,-1.46,-1.34,-1.24,-1.19,-1.16,-1.12,-1.12,-1.17,-1.15,-1.03,-0.94,-0.92,-0.86,-0.73,-0.63,-0.62,-0.62,-0.56,-0.52,-0.54,-0.54,-0.51,-0.5,-0.52,-0.49,-0.44,-0.43,-0.44,-0.38,-0.3,-0.28,-0.31,-0.31,-0.32,-0.4,-0.51,-0.58,-0.64,-0.77,-0.88,-0.92,-0.93,-0.98,-0.97,-0.86,-0.76,-0.79,-0.83,-0.8,-0.74,-0.71,-0.69,-0.6,-0.51,-0.42,-0.3,-0.16,-0.07,-0.09,-0.11,-0.07,-0.0</t>
  </si>
  <si>
    <t>To_Avoid_Formula5,-0.08,-0.07,-0.02,-0.02,-0.08,-0.09,-0.04,-0.05,-0.13,-0.15,-0.13,-0.15,-0.22,-0.24,-0.16,-0.12,-0.18,-0.23,-0.22,-0.23,-0.28,-0.25,-0.15,-0.07,-0.07,-0.06,0.02,0.12,0.19,0.32,0.51,0.69,0.76,0.75,0.71,0.57,0.28,-0.13,-0.57,-0.97,-1.27,-1.52,-1.71,-1.92,-2.08,-2.12,-2.04,-2.04,-1.99,-1.9,-1.81,-1.72,-1.66,-1.49,-1.21,-0.87,-0.52,-0.1,0.34,0.74,1.08,1.49,1.94,2.33,2.61,3.0,3.46,3.84,4.12,4.36,4.6,4.76,4.83,4.88,4.9,4.84,4.76,4.69,4.54,4.25,3.89,3.56,3.21,2.75,2.28,1.95,1.72,1.5,1.29,1.12,0.99,0.86,0.75,0.7,0.69,0.72,0.88,1.12,1.3,1.39,1.58,1.89,2.16,2.27,2.33,2.47,2.61,2.7,2.83,3.06,3.25,3.37,3.55,3.79,3.89,3.83,3.76,3.68,3.58,3.43,3.26,3.14,3.03,2.91,2.82,2.75,2.64,2.49,2.4,2.43,2.44,2.36,2.31,2.32,2.26,2.13,2.02,1.93,1.77,1.55,1.38,1.26,1.1,0.94,0.9,0.89,0.82,0.76,0.83,0.95,1.03,1.11,1.21,1.3,1.3,1.32,1.38,1.42,1.41,1.47,1.63,1.78,1.84,1.91,2.11,2.31,2.43,2.52,2.65,2.81,2.89,2.95,3.01,3.03,2.97,2.89,2.79,2.61,2.4,2.24,2.15,2.0,1.73,1.45,1.25,1.08,0.89,0.69,0.5,0.26,-0.02,-0.24,-0.39,-0.57,-0.77,-0.91,-1.0,-1.15,-1.38,-1.6,-1.73,-1.86,-2.08,-2.3,-2.4,-2.45,-2.54,-2.61,-2.64,-2.69,-2.81,-2.94,-3.03,-3.14,-3.29,-3.4,-3.47,-3.55,-3.71,-3.83,-3.86,-3.91,-4.08,-4.3,-4.42,-4.5,-4.62,-4.76,-4.87,-4.93,-4.96,-4.92,-4.79,-4.66,-4.66,-4.75,-4.83,-4.86,-4.89,-4.92,-4.88,-4.81,-4.75,-4.63,-4.46,-4.36,-4.33,-4.26,-4.15,-4.12,-4.18,-4.2,-4.16,-4.13,-4.1,-4.06,-4.06,-4.13,-4.18,-4.13,-4.06,-4.1,-4.21,-4.23,-4.13,-4.03,-3.95,-3.88,-3.85,-3.85,-3.83,-3.77,-3.77,-3.87,-3.93,-3.84,-3.74,-3.78,-3.92,-3.99,-4.01,-4.11,-4.27,-4.36,-4.35,-4.3,-4.19,-3.96,-3.72,-3.57,-3.46,-3.26,-2.97,-2.74,-2.62,-2.53,-2.39,-2.24,-2.06,-1.85,-1.66,-1.5,-1.3,-1.04,-0.78,-0.67,-0.61,-0.46,-0.28,-0.16,-0.05,0.1,0.24,0.34,0.46,0.62,0.75,0.82,0.93,1.13,1.25,1.27,1.35,1.52,1.66,</t>
  </si>
  <si>
    <t>To_Avoid_Formula0.17,0.35,0.55,0.64,0.7,0.78,0.86,0.82,</t>
  </si>
  <si>
    <t>To_Avoid_Formula0.68,0.7,0.74,0.74,0.69,0.62,0.51,0.31,0.08,-0.11,-0.32,-0.5,-0.56,-0.52,-0.48,-0.47,-0.38,-0.21,-0.06,0.03,0.16,0.39,0.6,0.66,0.66,0.7,0.77,0.89,1.08,1.21,1.12,0.92,0.8,0.74,0.6,0.38,0.24,0.2,0.19,0.19,0.24,0.32,0.4,0.46,0.54,0.6,0.65,0.75,0.95,1.1,1.14,1.17,1.29,1.4,1.34,1.17,1.06,0.95,0.72,0.43,0.22,0.1,-0.05,-0.24,-0.38,-0.43,-0.38,-0.25,-0.06,0.11,0.18,0.24,0.39,0.56,0.65,0.71,0.83,0.93,0.93,0.87,0.81,0.68,0.46,0.23,0.07,-0.04,-0.18,-0.36,-0.57,-0.84,-1.22,-1.64,-1.98,-2.24,-2.51,-2.77,-2.97,-3.13,-3.21,-3.01,-2.57,-2.1,-1.71,-1.28,-0.75,-0.17,0.37,0.86,1.35,1.78,2.15,2.48,2.76,2.91,2.99,3.12,3.27,3.34,3.35,3.42,3.56,3.6,3.52,3.45,3.46,3.41,3.27,3.14,3.07,2.95,2.74,2.47,2.15,1.68,1.01,0.32,-0.28,-0.88,-1.45,-1.88,-2.24,-2.61,-2.87,-2.97,-3.0,-3.1,-3.16,-3.07,-2.87,-2.72,-2.59,-2.35,-1.99,-1.68,-1.44,-1.15,-0.85,-0.67,-0.57,-0.45,-0.31,-0.19,-0.06,0.14,0.37,0.55,0.67,0.8,0.88,0.87,0.86,0.94,1.03,1.04,1.06,1.21,1.39,1.52,1.6,1.66,1.61,1.4,1.16,0.97,0.71,0.37,0.03,-0.24,-0.5,-0.78,-1.02,-1.18,-1.36,-1.6,-1.77,-1.8,-1.79,-1.87,-1.95,-1.95,-1.97,-2.03,-2.05,-1.99,-1.99,-2.04,-2.02,-1.85,-1.65,-1.46,-1.25,-1.02,-0.88,-0.86,-0.87,-0.84,-0.85,-0.94,-0.99,-0.93,-0.83,-0.72,-0.54,-0.38,-0.32,-0.34,-0.31,-0.23,-0.18,-0.2,-0.26,-0.28,-0.33,-0.47,-0.6,-0.64,-0.64,-0.65,-0.65,-0.59,-0.53,-0.44,-0.32,-0.18,-0.13,-0.1,0.03,0.28,0.49,0.62,0.74,0.87,0.95,0.96,0.97,0.9,0.72,0.51,0.41,0.3,0.13,-0.02,-0.11,-0.23,-0.44,-0.62,-0.67,-0.69,-0.82,-0.94,-0.94,-0.85,-0.84,-0.84,-0.74,-0.55,-0.38,-0.18,0.1,0.36,0.53,0.69,0.91,1.12,1.24,1.32,1.39,1.32,1.05,0.68,0.38,0.19,0.05,-0.06,-0.09,-0.06,0.0,0.09,0.28,0.48,0.61,0.67,0.76,0.88,0.98,1.11,1.28,1.43,1.6,1.88,2.2,2.42,2.58,2.77,2.93,2.95,2.85,2.79,2.74,2.56,2.25,1.97,1.77,1.55,1.32,1.17,1.08,0.96,0.85,0.83,0.86,0.83,0.73,0.63,0.58,0.53,0.48,0.49,0.54,0.55,0.48,0.45,0.5,0.56,0.59,0.58,0.46,0.25,0.05,-0.09,-0.26,-0.56,-0.88,-1.07,-1.19,-1.37,-1.53,-1.53,-1.41,-1.31,-1.2,-1.09,-1.02,-1.02,-1.02,-1.01,-1.05,-1.24,-1.45,-1.57,-1.65,-1.76,-1.86,-1.86,-1.78,-1.69,-1.61,-1.54,-1.5,-1.46,-1.34,-1.18,-1.14,-1.19,-1.17,-1.07,-1.0,-0.95,-0.89,-0.83,-0.87,-0.99,-1.07,-1.06,-1.04,-1.08,-1.1,-1.09,-1.12,-1.16,-1.11,-1.04,-1.05,-1.16,-1.27,-1.33,-1.43,-1.55,-1.6,-1.63,-1.74,-1.89,-1.93,-1.92,-1.92,-1.87,-1.67,-1.43,-1.25,-1.06,-0.77,-0.49,-0.34,-0.3,-0.25,-0.24,-0.39,-0.6,-0.69,-0.65,-0.56,-0.43,-0.17,0.11,0.35,0.56,0.8,0.99,1.12,1.23,1.39,1.55,1.67,1.76,1.85,1.94,2.04,2.19,2.39,2.47,2.4,2.3,2.3,2.27,2.13,2.01,2.03,2.1,2.12,2.15,2.24,2.35,2.38,2.4,2.45,2.42,2.21,1.95,1.75,1.53,1.28,1.08,0.99,0.89,0.71,0.53,0.42,0.32,0.17,0.05,-0.02,-0.12,-0.23,-0.24,-0.23,-0.33,-0.52,-0.65,-0.7,-0.79,-0.92,-0.96,-0.91,-0.91,-0.98,-1.0,-0.95,-0.9,-0.84,-0.68,-0.49,-0.41,-0.39,-0.27,-0.08,0.08,0.2,0.33,0.41,0.43,0.44,0.52,0.56,0.44,0.27,0.18,0.03,-0.01,0.01,-0.02,-0.14,-0.2,-0.2,-0.31,-0.64,-1.03,-1.28,-1.36,-1.32,-1.2,-1.01,-0.86,-0.81,-0.74,-0.54,-0.27,-0.05,0.09,0.19,0.25,0.27,0.31,0.35,0.24,-0.03,-0.31,-0.48,-0.64,-0.83,-0.93,-0.88,-0.85,-0.88,-0.86,-0.71,-0.55,-0.49,-0.48,-0.54,-0.72,-1.03,-1.3,-1.45,-1.58,-1.74,-1.75,-1.58,-1.38,-1.22,-1.0,-0.72,-0.53,-0.43,-0.25,0.09,0.48,0.85,1.14,1.4,1.61,1.78,1.92,2.0,1.89,1.57,1.21,0.91,0.69,0.53,0.4,0.3,0.18,0.12,0.18,0.24,0.15,-0.04,-0.19,-0.23,-0.26,-0.28,-0.22,-0.16,-0.15,-0.16,-0.05,0.11,0.14,0.05,-0.03,-0.04,-0.07,-0.1,-0.1,-0.09,-0.13,-0.17,-0.14,-0.08,-0.06,-0.02,0.07,0.13,0.07,-0.01,0.03,0.14,0.17,0.1,0.05,0.02,-0.05,-0.13,-0.15,-0.17,-0.27,-0.36,-0.36,-0.34,-0.36,-0.37,-0.32,-0.29,-0.36,-0.45,-0.45,-0.38,-0.32,-0.3,-0.23,-0.1,0.04,0.18,0.32,0.35,0.27,0.19,0.14,0.07,-0.06,-0.14,-0.16,-0.2,-0.26,-0.24,-0.12,-0.02,0.02,0.08,0.19,0.27,0.28,0.28,0.29,0.25,0.2,0.2,0.2,0.17,0.14,0.18,0.28,0.35,0.4,0.48,0.54,0.55,0.54,0.52,0.47,0.34,0.23,0.16,0.07,-0.07,-0.11,-0.02,0.03,-0.06,-0.17,-0.19,-0.18,-0.21,-0.24,-0.23,-0.24,-0.28,-0.27,-0.19,-0.15,-0.19,-0.22,-0.17,-0.05,0.06,0.22,0.41,0.52,0.53,0.53,0.57,0.53,0.4,0.</t>
  </si>
  <si>
    <t>To_Avoid_Formula26,0.19,0.11,0.01,-0.03,0.0,-0.01,-0.06,-0.06,-0.04,-0.08,-0.16,-0.17,-0.09,-0.03,-0.04,-0.03,0.07,0.21,0.33,0.48,0.65,0.79,0.84,0.83,0.74,0.53,0.2,-0.18,-0.56,-0.91,-1.18,-1.36,-1.46,-1.6,-1.76,-1.83,-1.74,-1.69,-1.64,-1.54,-1.39,-1.19,-1.02,-0.81,-0.54,-0.18,0.23,0.69,1.12,1.46,1.73,2.05,2.38,2.56,2.62,2.78,3.01,3.17,3.22,3.2,3.2,3.2,3.2,3.17,3.07,2.9,2.71,2.55,2.31,1.92,1.47,1.08,0.68,0.21,-0.24,-0.58,-0.86,-1.15,-1.39,-1.55,-1.7,-1.87,-2.04,-2.2,-2.37,-2.55,-2.65,-2.63,-2.58,-2.5,-2.3,-1.99,-1.64,-1.29,-0.91,-0.49,-0.09,0.25,0.62,1.04,1.44,1.71,1.89,1.98,1.87,1.59,1.33,1.06,0.77,0.46,0.16,-0.08,-0.32,-0.54,-0.67,-0.7,-0.74,-0.82,-0.83,-0.71,-0.63,-0.66,-0.71,-0.72,-0.75,-0.8,-0.78,-0.76,-0.87,-1.03,-1.06,-1.01,-0.98,-0.96,-0.85,-0.7,-0.57,-0.45,-0.21,0.04,0.19,0.28,0.35,0.35,0.23,0.07,-0.01,-0.07,-0.12,-0.08,0.07,0.24,0.35,0.48,0.68,0.83,0.89,0.93,1.03,1.15,1.2,1.24,1.28,1.29,1.29,1.32,1.29,1.11,0.85,0.68,0.61,0.49,0.22,-0.09,-0.32,-0.47,-0.61,-0.75,-0.88,-1.07,-1.29,-1.45,-1.54,-1.65,-1.79,-1.88,-1.91,-1.99,-2.15,-2.28,-2.32,-2.33,-2.4,-2.49,-2.47,-2.35,-2.22,-2.07,-1.93,-1.85,-1.9,-1.97,-1.97,-1.99,-2.05,-2.08,-2.04,-1.98,-1.97,-1.88,-1.68,-1.5,-1.46,-1.48,-1.42,-1.32,-1.31,-1.36,-1.4,-1.39,-1.35,-1.27,-1.11,-0.93,-0.83,-0.76,-0.66,-0.55,-0.49,-0.41,-0.25,-0.09,0.01,0.11,0.28,0.44,0.56,0.69,0.84,0.93,0.97,1.05,1.2,1.37,1.53,1.69,1.81,1.83,1.85,1.92,2.0,1.96,1.83,1.73,1.75,1.81,1.89,1.91,1.81,1.65,1.53,1.48,1.39,1.2,1.02,0.98,1.0,0.95,0.88,0.88,0.89,0.83,0.72,0.68,0.7,0.75,0.84,1.05,1.27,1.38,1.47,1.58,1.65,1.56,1.33,1.12,1.04,0.98,0.92,0.87,0.85,0.84,0.89,1.03,1.18,1.23,1.24,1.29,1.34,1.33,1.33,1.38,1.41,1.38,1.37,1.43,1.49,1.5,1.51,1.57,1.55,1.43,1.34,1.34,1.29,</t>
  </si>
  <si>
    <t>To_Avoid_Formula1.55,1.11,0.64,0.1,-0.53,-1.17,-1.7,-2.05,</t>
  </si>
  <si>
    <t>To_Avoid_Formula-1.38,-1.09,-0.91,-0.84,-0.79,-0.65,-0.38,-0.16,-0.09,-0.06,0.17,0.58,1.03,1.51,2.05,2.57,2.96,3.31,3.69,4.0,4.01,3.65,3.08,2.63,2.38,2.03,1.39,0.63,0.04,-0.29,-0.37,-0.28,-0.11,0.13,0.54,1.18,2.01,2.94,3.73,4.22,4.49,4.74,4.98,5.09,5.04,4.85,4.47,3.97,3.44,2.92,2.41,1.93,1.57,1.33,1.18,1.06,0.98,1.01,1.16,1.36,1.52,1.68,1.85,2.07,2.32,2.59,2.79,2.82,2.71,2.55,2.36,2.07,1.63,1.03,0.35,-0.25,-0.7,-1.06,-1.46,-1.82,-2.05,-2.05,-1.89,-1.68,-1.42,-1.05,-0.57,-0.06,0.4,0.83,1.19,1.49,1.84,2.14,2.2,1.97,1.66,1.42,1.2,0.83,0.4,0.16,0.2,0.3,0.27,0.17,0.09,0.06,0.17,0.52,1.07,1.63,2.15,2.71,3.41,4.11,4.62,4.85,4.94,5.02,5.1,5.13,4.97,4.6,4.13,3.64,3.11,2.51,1.88,1.3,0.78,0.33,0.06,0.01,0.24,0.64,1.0,1.37,1.86,2.37,2.86,3.35,3.82,4.19,4.42,4.54,4.58,4.57,4.54,4.39,4.07,3.72,3.47,3.31,3.16,2.91,2.56,2.19,1.89,1.7,1.61,1.54,1.37,1.1,0.81,0.59,0.49,0.48,0.47,0.44,0.46,0.58,0.77,0.96,1.12,1.16,1.09,0.93,0.76,0.7,0.76,0.83,0.85,0.87,0.94,1.03,1.14,1.31,1.52,1.71,1.85,2.07,2.45,2.91,3.21,3.32,3.3,3.21,3.15,3.14,3.13,3.01,2.81,2.62,2.5,2.45,2.35,2.1,1.76,1.47,1.29,1.21,1.11,0.92,0.68,0.51,0.42,0.38,0.36,0.31,0.23,0.16,0.15,0.19,0.28,0.39,0.44,0.48,0.55,0.62,0.7,0.82,0.94,1.04,1.15,1.25,1.37,1.62,1.97,2.24,2.36,2.41,2.54,2.8,3.06,3.09,2.88,2.56,2.25,2.03,1.93,1.82,1.51,1.1,0.86,0.86,0.96,0.99,0.91,0.78,0.77,0.91,1.18,1.49,1.74,1.92,2.15,2.54,2.97,3.35,3.57,3.67,3.71,3.76,3.82,3.83,3.73,3.49,3.18,2.82,2.4,1.98,1.6,1.23,0.83,0.53,0.48,0.63,0.96,1.38,1.76,1.98,2.13,2.3,2.53,2.83,3.04,3.11,3.05,2.9,2.68,2.45,2.16,1.67,1.05,0.54,0.35,0.3,0.18,0.0,-0.15,-0.24,-0.3,-0.29,-0.17,0.03,0.15,0.14,0.12,0.19,0.32,0.42,0.45,0.48,0.56,0.65,0.74,0.88,1.02,0.97,0.75,0.52,0.43,0.43,0.38,0.18,-0.08,-0.25,-0.38,-0.61,-0.89,-1.14,-1.44,-1.78,-2.07,-2.22,-2.25,-2.27,-2.3,-2.25,-2.11,-1.88,-1.56,-1.13,-0.62,-0.22,0.01,0.16,0.32,0.45,0.43,0.22,-0.06,-0.33,-0.6,-0.84,-1.07,-1.29,-1.53,-1.73,-1.83,-1.78,-1.61,-1.42,-1.26,-1.14,-1.03,-0.91,-0.79,-0.71,-0.69,-0.71,-0.75,-0.77,-0.76,-0.7,-0.69,-0.74,-0.74,-0.53,-0.13,0.31,0.66,0.89,1.05,1.17,1.25,1.32,1.37,1.3,1.11,0.97,1.02,1.16,1.22,1.18,1.14,1.11,1.09,1.1,1.2,1.37,1.43,1.36,1.35,1.42,1.43,1.29,1.07,0.8,0.45,0.05,-0.3,-0.51,-0.59,-0.64,-0.58,-0.35,-0.06,0.1,0.22,0.36,0.44,0.45,0.48,0.6,0.79,0.99,1.15,1.24,1.25,1.07,0.76,0.48,0.37,0.28,0.1,-0.09,-0.23,-0.26,-0.21,-0.11,-0.06,-0.02,0.04,0.05,-0.01,-0.1,-0.25,-0.5,-0.8,-0.97,-0.96,-0.85,-0.81,-0.85,-0.89,-0.91,-0.97,-1.04,-1.08,-1.09,-1.07,-1.01,-0.83,-0.5,-0.15,0.1,0.26,0.39,0.49,0.52,0.52,0.48,0.38,0.29,0.29,0.33,0.4,0.46,0.43,0.32,0.19,0.07,0.01,0.01,0.03,0.03,0.02,0.0,0.0,0.08,0.18,0.15,0.01,-0.12,-0.18,-0.16,-0.1,-0.01,0.08,0.11,0.13,0.19,0.26,0.27,-0.06,-0.25,-0.38,-0.4,-0.29,-0.2,-0.2,-0.2,-0.1,0.21,0.61,0.94,1.1,1.17,1.18,1.25,1.49,1.72,1.69,1.3,0.88,0.6,0.39,0.1,-0.35,-0.79,-0.98,-0.78,-0.4,0.01,0.37,0.58,0.72,0.9,1.24,1.61,1.79,1.69,1.46,1.29,1.14,0.85,0.46,0.24,0.26,0.37,0.37,0.33,0.41,0.55,0.57,0.47,0.41,0.42,0.49,0.61,0.78,0.76,0.37,-0.31,-1.07,-1.6,-1.94,-2.22,-2.46,-2.44,-2.13,-1.65,-1.06,-0.44,0.1,0.38,0.46,0.56,0.86,1.35,1.77,2.05,2.25,2.43,2.56,2.64,2.64,2.43,1.93,1.31,0.96,1.0,1.19,1.2,0.94,0.69,0.61,0.66,0.67,0.51,0.22,-0.06,-0.16,-0.07,0.07,0.05,-0.18,-0.51,-0.78,-0.93,-1.04,-1.19,-1.38,-1.54,-1.64,-1.67,-1.6,-1.49,-1.41,-1.37,-1.35,-1.26,-1.0,-0.59,-0.2,0.02,0.1,0.14,0.2,0.31,0.44,0.47,0.4,0.31,0.24,0.15,0.01,-0.15,-0.34,-0.59,-0.8,-0.87,-0.75,-0.55,-0.39,-0.32,-0.23,-0.11,0.07,0.39,0.83,1.24,1.52,1.69,1.84,2.01,2.07,1.92,1.66,1.43,1.3,1.22,1.13,1.0,0.79,0.61,0.49,0.42,0.37,0.32,0.23,0.11,0.0,-0.12,-0.31,-0.57,-0.79,-0.98,-1.16,-1.32,-1.44,-1.46,-1.41,-1.39,-1.36,-1.21,-0.94,-0.65,-0.36,-0.01,0.35,0.64,0.93,1.25,1.62,1.9,2.0,2.03,2.08,2.16,2.13,1.92,1.57,1.17,0.77,0.4,0.08,-0.21,-0.5,-0.83,-1.05,-1.1,-1.09,-1.13,-1.21,-1.22,-1.01,-0.68,-0.42,-0.22,0.0,0.24,0.41,0.54,0.62,0.6,0.46,0.3,0.16,0.04,-0.14,-0.35,-0.48,-0.47,-0.46,-0.54,-0.61,-0.64,-0.72,-0.89,-1.08,-1.2,-1.22,-1.24</t>
  </si>
  <si>
    <t>To_Avoid_Formula,-1.26,-1.18,-0.97,-0.75,-0.64,-0.51,-0.27,-0.1,-0.13,-0.23,-0.22,-0.07,0.09,0.14,0.08,0.05,0.04,-0.08,-0.27,-0.4,-0.41,-0.4,-0.34,-0.17,0.1,0.34,0.49,0.63,0.77,0.87,0.85,0.74,0.61,0.51,0.4,0.19,-0.11,-0.42,-0.72,-1.02,-1.3,-1.61,-2.01,-2.3,-2.29,-2.06,-1.85,-1.73,-1.58,-1.33,-0.97,-0.51,0.06,0.77,1.63,2.51,3.24,3.78,4.2,4.52,4.61,4.38,3.98,3.54,3.03,2.38,1.6,0.69,-0.45,-1.66,-2.62,-3.13,-3.29,-3.38,-3.5,-3.42,-2.94,-2.29,-1.65,-1.0,-0.25,0.51,1.14,1.71,2.17,2.37,2.29,2.06,1.82,1.64,1.51,1.41,1.26,1.0,0.63,0.28,0.03,-0.13,-0.26,-0.43,-0.63,-0.82,-0.96,-1.14,-1.45,-1.89,-2.36,-2.7,-2.85,-2.8,-2.72,-2.64,-2.44,-2.02,-1.51,-1.05,-0.69,-0.42,-0.13,0.18,0.42,0.64,0.86,1.1,1.27,1.31,1.23,1.05,0.72,0.37,0.11,-0.12,-0.44,-0.82,-1.1,-1.14,-1.06,-1.11,-1.32,-1.55,-1.67,-1.7,-1.7,-1.72,-1.78,-1.85,-1.84,-1.66,-1.4,-1.16,-1.05,-1.03,-0.95,-0.75,-0.54,-0.43,-0.39,-0.35,-0.26,-0.16,-0.08,0.01,0.11,0.11,0.0,-0.15,-0.25,-0.27,-0.23,-0.14,-0.06,0.0,0.05,0.13,0.26,0.36,0.33,0.2,0.11,0.11,0.15,0.14,0.05,-0.12,-0.26,-0.29,-0.25,-0.19,-0.16,-0.06,0.12,0.37,0.57,0.68,0.77,0.91,1.11,1.28,1.36,1.4,1.47,1.59,1.67,1.57,1.38,1.19,1.05,0.98,0.97,0.96,0.83,0.57,0.29,0.05,-0.24,-0.62,-1.09,-1.45,-1.62,-1.76,-1.88,-1.92,-1.9,-1.91,-1.95,-1.89,-1.61,-1.19,-0.77,-0.43,-0.15,0.15,0.43,0.71,0.94,0.93,0.66,0.38,0.26,0.2,0.05,-0.27,-0.64,-0.95,-1.18,-1.4,-1.66,-2.0,-2.41,-2.63,-2.44,-1.87,-1.2,-0.67,-0.25,0.19,0.71,1.23,1.64,1.98,2.27,2.54,2.78,2.94,2.94,2.8,2.52,2.11,1.74,1.46,1.22,0.93,0.6,0.26,-0.08,-0.38,-0.59,-0.7,-0.67,-0.61,-0.59,-0.62,-0.6,</t>
  </si>
  <si>
    <t>To_Avoid_Formula50.07,50.07,50.07,50.07,50.07,50.07,50.07,50.07,</t>
  </si>
  <si>
    <t>To_Avoid_Formula50.07,50.07,50.07,50.07,50.07,50.07,50.07,50.08,50.08,50.08,50.08,50.08,50.08,50.08,50.08,50.08,50.08,50.08,50.08,50.08,50.08,50.08,50.08,50.08,50.08,50.08,50.08,50.08,50.08,50.09,50.09,50.09,50.09,50.09,50.09,50.09,50.09,50.09,50.09,50.09,50.09,50.09,50.09,50.09,50.09,50.09,50.09,50.09,50.09,50.09,50.09,50.1,50.1,50.1,50.1,50.1,50.1,50.1,50.1,50.1,50.1,50.1,50.1,50.1,50.1,50.1,50.1,50.1,50.1,50.1,50.1,50.1,50.1,50.11,50.11,50.11,50.11,50.11,50.11,50.11,50.11,50.11,50.11,50.11,50.11,50.11,50.11,50.11,50.11,50.11,50.11,50.11,50.11,50.11,50.12,50.12,50.12,50.12,50.12,50.12,50.12,50.12,50.12,50.12,50.12,50.12,50.12,50.12,50.12,50.12,50.12,50.12,50.12,50.12,50.13,50.13,50.13,50.13,50.13,50.13,50.13,50.13,50.13,50.13,50.13,50.13,50.13,50.13,50.13,50.13,50.13,50.13,50.13,50.13,50.13,50.14,50.14,50.14,50.14,50.14,50.14,50.14,50.14,50.14,50.14,50.14,50.14,50.14,50.14,50.14,50.14,50.14,50.14,50.14,50.15,50.15,50.15,50.15,50.15,50.15,50.15,50.15,50.15,50.15,50.15,50.15,50.15,50.15,50.15,50.15,50.15,50.15,50.15,50.15,50.16,50.16,50.16,50.16,50.16,50.16,50.16,50.16,50.16,50.16,50.16,50.16,50.16,50.16,50.16,50.16,50.16,50.16,50.16,50.16,50.17,50.17,50.17,50.17,50.17,50.17,50.17,50.17,50.17,50.17,50.17,50.17,50.17,50.17,50.17,50.17,50.17,50.17,50.17,50.18,50.18,50.18,50.18,50.18,50.18,50.18,50.18,50.18,50.18,50.18,50.18,50.18,50.18,50.18,50.18,50.18,50.18,50.18,50.19,50.19,50.19,50.19,50.19,50.19,50.19,50.19,50.19,50.19,50.19,50.19,50.19,50.19,50.19,50.19,50.19,50.19,50.19,50.19,50.2,50.2,50.2,50.2,50.2,50.2,50.2,50.2,50.2,50.2,50.2,50.2,50.2,50.2,50.2,50.2,50.2,50.2,50.2,50.21,50.21,50.21,50.21,50.21,50.21,50.21,50.21,50.21,50.21,50.21,50.21,50.21,50.21,50.21,50.21,50.21,50.21,50.21,50.21,50.21,50.22,50.22,50.22,50.22,50.22,50.22,50.22,50.22,50.22,50.22,50.22,50.22,50.22,50.22,50.22,50.22,50.22,50.22,50.22,50.22,50.23,50.23,50.23,50.23,50.23,50.23,50.23,50.23,50.23,50.23,50.23,50.23,50.23,50.23,50.23,50.23,50.23,50.23,50.23,50.23,50.23,50.24,50.24,50.24,50.24,50.24,50.24,50.24,50.24,50.24,50.24,50.24,50.24,50.24,50.24,50.24,50.24,50.24,50.24,50.24,50.24,50.24,50.25,50.25,50.25,50.25,50.25,50.25,50.25,50.25,50.25,50.25,50.25,50.25,50.25,50.25,50.25,50.25,50.25,50.25,50.25,50.25,50.25,50.25,50.26,50.26,50.26,50.26,50.26,50.26,50.26,50.26,50.26,50.26,50.26,50.26,50.26,50.26,50.26,50.26,50.26,50.26,50.26,50.26,50.26,50.26,50.26,50.26,50.27,50.27,50.27,50.27,50.27,50.27,50.27,50.27,50.27,50.27,50.27,50.27,50.27,50.27,50.27,50.27,50.27,50.27,50.27,50.27,50.27,50.27,50.27,50.28,50.28,50.28,50.28,50.28,50.28,50.28,50.28,50.28,50.28,50.28,50.28,50.28,50.28,50.28,50.28,50.28,50.28,50.28,50.28,50.28,50.28,50.28,50.29,50.29,50.29,50.29,50.29,50.29,50.29,50.29,50.29,50.29,50.29,50.29,50.29,50.29,50.29,50.29,50.29,50.29,50.29,50.29,50.29,50.29,50.29,50.29,50.29,50.3,50.3,50.3,50.3,50.3,50.3,50.3,50.3,50.3,50.3,50.3,50.3,50.3,50.3,50.3,50.3,50.3,50.3,50.3,50.3,50.3,50.3,50.3,50.31,50.31,50.31,50.31,50.31,50.31,50.31,50.31,50.31,50.31,50.31,50.31,50.31,50.31,50.31,50.31,50.31,50.31,50.31,50.31,50.31,50.31,50.31,50.32,50.32,50.32,50.32,50.32,50.32,50.32,50.32,50.32,50.32,50.32,50.32,50.32,50.32,50.32,50.32,50.32,50.32,50.32,50.32,50.32,50.32,50.32,50.33,50.33,50.33,50.33,50.33,50.33,50.33,50.33,50.33,50.33,50.33,50.33,50.33,50.33,50.33,50.33,50.33,50.33,50.33,50.33,50.33,50.33,50.34,50.34,50.34,50.34,50.34,50.34,50.34,50.34,50.34,50.34,50.34,50.34,50.34,50.34,50.34,50.34,50.34,50.34,50.34,50.34,50.34,50.34,50.35,50.35,50.35,50.35,50.35,50.35,50.35,50.35,50.35,50.35,50.35,50.35,50.35,50.35,50.35,50.35,50.35,50.35,50.35,50.35,50.35,50.35,50.36,50.36,50.36,50.36,50.36,50.36,50.36,50.36,50.36,50.36,50.36,50.36,50.36,50.36,50.36,50.36,50.36,50.36,50.36,50.36,50.37,50.37,50.37,50.37,50.37,50.37,50.37,50.37,50.37,50.37,50.37,50.37,50.37,50.37,50.37,50.37,50.37,50.37,50.37,50.37,50.37,50.38,50.38,50.38,50.38,50.38,50.38,50.38,50.38,50.38,50.38,50.38,50.38,50.38,50.38,50.38,50.38,50.38,</t>
  </si>
  <si>
    <t>To_Avoid_Formula50.38,50.38,50.38,50.39,50.39,50.39,50.39,50.39,50.39,50.39,50.39,50.39,50.39,50.39,50.39,50.39,50.39,50.39,50.39,50.39,50.39,50.39,50.4,50.4,50.4,50.4,50.4,50.4,50.4,50.4,50.4,50.4,50.4,50.4,50.4,50.4,50.4,50.4,50.4,50.4,50.4,50.41,50.41,50.41,50.41,50.41,50.41,50.41,50.41,50.41,50.41,50.41,50.41,50.41,50.41,50.41,50.41,50.41,50.41,50.41,50.42,50.42,50.42,50.42,50.42,50.42,50.42,50.42,50.42,50.42,50.42,50.42,50.42,50.42,50.42,50.42,50.42,50.42,50.42,50.43,50.43,50.43,50.43,50.43,50.43,50.43,50.43,50.43,50.43,50.43,50.43,50.43,50.43,50.43,50.43,50.43,50.43,50.43,50.44,50.44,50.44,50.44,50.44,50.44,50.44,50.44,50.44,50.44,50.44,50.44,50.44,50.44,50.44,50.44,50.44,50.44,50.45,50.45,50.45,50.45,50.45,50.45,50.45,50.45,50.45,50.45,50.45,50.45,50.45,50.45,50.45,50.45,50.45,50.45,50.45,50.46,50.46,50.46,50.46,50.46,50.46,50.46,50.46,50.46,50.46,50.46,50.46,50.46,50.46,50.46,50.46,50.46,50.46,50.46,50.47,50.47,50.47,50.47,50.47,50.47,50.47,50.47,50.47,50.47,50.47,50.47,50.47,50.47,50.47,50.47,50.47,50.47,50.47,50.47,50.48,50.48,50.48,50.48,50.48,50.48,50.48,50.48,50.48,50.48,50.48,50.48,50.48,50.48,50.48,50.48,50.48,50.48,50.48,50.48,50.48,50.49,50.49,50.49,50.49,50.49,50.49,50.49,50.49,50.49,50.49,50.49,50.49,50.49,50.49,50.49,50.49,50.49,50.49,50.49,50.49,50.49,50.5,50.5,50.5,50.5,50.5,50.5,50.5,50.5,50.5,50.5,50.5,50.5,50.5,50.5,50.5,50.5,50.5,50.5,50.5,50.5,50.5,50.5,50.5,50.51,50.51,50.51,50.51,50.51,50.51,50.51,50.51,50.51,50.51,50.51,50.51,50.51,50.51,50.51,50.51,50.51,50.51,50.51,50.51,50.51,50.51,50.51,50.52,50.52,50.52,50.52,50.52,50.52,50.52,50.52,50.52,50.52,50.52,50.52,50.52,50.52,50.52,50.52,50.52,50.52,50.52,50.52,50.52,50.52,50.52,50.52,50.52,50.53,50.53,50.53,50.53,50.53,50.53,50.53,50.53,50.53,50.53,50.53,50.53,50.53,50.53,50.53,50.53,50.53,50.53,50.53,50.53,50.53,50.53,50.53,50.53,50.53,50.53,50.54,50.54,50.54,50.54,50.54,50.54,50.54,50.54,50.54,50.54,50.54,50.54,50.54,50.54,50.54,50.54,50.54,50.54,50.54,50.54,50.54,50.54,50.54,50.54,50.54,50.54,50.54,50.54,50.55,50.55,50.55,50.55,50.55,50.55,50.55,50.55,50.55,50.55,50.55,50.55,50.55,50.55,50.55,50.55,50.55,50.55,50.55,50.55,50.55,50.55,50.55,50.55,50.55,50.55,50.55,50.56,50.56,50.56,50.56,50.56,50.56,50.56,</t>
  </si>
  <si>
    <t>To_Avoid_Formula0.78,0.72,0.66,0.64,0.65,0.65,0.66,0.67,0.66,0.61,0.53,0.45,0.38,0.3,0.26,0.26,0.27,0.25,0.23,0.26,0.33,0.36,0.37,0.36,0.37,0.39,0.4,0.41,0.42,0.44,0.44,0.4,0.35,0.33,0.32,0.32,0.3,0.28,0.23,0.14,0.02,-0.08,-0.19,-0.32,-0.41,-0.44,-0.45,-0.45,-0.44,-0.43,-0.44,-0.5,-0.57,-0.67,-0.78,-0.91,-1.01,-1.03,-1.01,-0.99,-0.97,-0.92,-0.85,-0.79,-0.76,-0.75,-0.76,-0.76,-0.73,-0.68,-0.63,-0.56,-0.48,-0.35,-0.21,-0.1,-0.06,-0.02,0.01,0.01,0.02,0.01,0.02,0.03,0.08,0.13,0.18,0.24,0.29,0.33,0.32,0.29,0.29,0.36,0.45,0.5,0.49,0.49,0.5,0.45,0.33,0.23,0.18,0.14,0.08,0.03,0.05,0.11,0.2,0.26,0.29,0.25,0.17,0.08,0.03,0.0,-0.02,-0.05,-0.09,-0.15,-0.21,-0.25,-0.26,-0.24,-0.23,-0.25,-0.27,-0.23,-0.13,-0.05,0.02,0.07,0.11,0.16,0.18,0.13,0.04,-0.05,-0.11,-0.19,-0.25,-0.27,-0.28,-0.29,-0.31,-0.37,-0.41,-0.43,-0.43,-0.5,-0.6,-0.68,-0.75,-0.79,-0.79,-0.74,-0.66,-0.62,-0.6,-0.61,-0.63,-0.64,-0.67,-0.69,-0.71,-0.71,-0.67,-0.58,-0.51,-0.48,-0.43,-0.35,-0.26,-0.22,-0.23,-0.27,-0.3,-0.33,-0.33,-0.32,-0.31,-0.32,-0.35,-0.41,-0.49,-0.58,-0.66,-0.73,-0.79,-0.84,-0.89,-0.9,-0.87,-0.79,-0.72,-0.64,-0.57,-0.55,-0.56,-0.61,-0.68,-0.74,-0.74,-0.73,-0.69,-0.62,-0.54,-0.47,-0.41,-0.37,-0.33,-0.29,-0.26,-0.24,-0.21,-0.19,-0.15,-0.07,0.05,0.15,0.24,0.3,0.36,0.43,0.5,0.53,0.53,0.53,0.55,0.54,0.53,0.55,0.55,0.56,0.56,0.56,0.59,0.64,0.66,0.62,0.57,0.56,0.57,0.6,0.61,0.59,0.56,0.53,0.52,0.49,0.46,0.44,0.4,0.33,0.29,0.28,0.31,0.34,0.39,0.46,0.51,0.56,0.61,0.62,0.56,0.49,0.46,0.49,0.52,0.54,0.58,0.65,0.73,0.81,0.9,1.0,1.05,1.07,1.03,0.94,0.83,0.77,0.72,0.68,0.69,0.72,0.77,0.81,0.84,0.81,0.73,0.58,0.38,0.17,-0.06,-0.26,-0.36,-0.43,-0.47,-0.5,-0.5,-0.51,-0.51,-0.55,-0.61,-0.66,-0.73,-0.79,-0.82,-0.83,-0.83,-0.83,-0.82,-0.87,-0.94,-0.99,-1.01,-1.02,-1.04,-1.08,-1.1,-1.08,-1.03,-0.99,-0.99,-0.98,-0.99,-1.0,-0.99,-0.96,-0.96,-1.0,-0.99,-0.95,-0.86,-0.77,-0.68,-0.61,-0.56,-0.55,-0.55,-0.56,-0.57,-0.58,-0.6,-0.62,-0.61,-0.56,-0.52,-0.52,-0.54,-0.57,-0.6,-0.66,-0.68,-0.66,-0.63,-0.58,-0.52,-0.45,-0.37,-0.29,-0.26,-0.27,-0.29,-0.34,-0.39,-0.43,-0.46,-0.49,-0.54,-0.58,-0.59,-0.6,-0.59,-0.55,-0.54,-0.56,-0.6,-0.66,-0.69,-0.72,-0.77,-0.82,-0.82,-0.78,-0.72,-0.69,-0.65,-0.59,-0.51,-0.41,-0.34,-0.28,-0.23,-0.18,-0.15,-0.12,-0.1,-0.08,-0.05,-0.02,-0.01,-0.01,-0.02,0.01,0.06,0.08,0.05,-0.03,-0.13,-0.2,-0.29,-0.38,-0.44,-0.46,-0.45,-0.42,-0.34,-0.3,-0.3,-0.36,-0.43,-0.5,-0.53,-0.54,-0.56,-0.6,-0.58,-0.52,-0.44,-0.34,-0.23,-0.18,-0.14,-0.11,-0.09,-0.06,-0.01,0.07,0.17,0.28,0.4,0.53,0.66,0.79,0.88,0.93,0.97,1.03,1.12,1.24,1.37,1.5,1.62,1.67,1.68,1.69,1.73,1.77,1.77,1.78,1.85,1.97,2.06,2.12,2.19,2.25,2.32,2.36,2.35,2.31,2.23,2.14,2.04,2.0,2.01,2.02,2.01,2.05,2.14,2.21,2.25,2.29,2.3,2.29,2.28,2.31,2.35,2.36,2.36,2.36,2.35,2.33,2.33,2.35,2.36,2.32,2.26,2.22,2.17,2.11,2.05,2.01,1.98,1.93,1.87,1.82,1.79,1.77,1.74,1.67,1.58,1.5,1.42,1.35,1.26,1.14,1.03,0.95,0.93,0.9,0.85,0.74,0.6,0.44,0.31,0.23,0.19,0.13,0.06,0.01,-0.01,-0.04,-0.08,-0.12,-0.18,-0.24,-0.28,-0.28,-0.28,-0.31,-0.34,-0.36,-0.36,-0.36,-0.36,-0.39,-0.46,-0.57,-0.66,-0.71,-0.73,-0.74,-0.75,-0.78,-0.84,-0.91,-0.98,-1.03,-1.1,-1.22,-1.34,-1.45,-1.54,-1.63,-1.71,-1.74,-1.7,-1.59,-1.47,-1.35,-1.29,-1.25,-1.24,-1.24,-1.27,-1.27,-1.23,-1.15,-1.05,-0.94,-0.82,-0.69,-0.55,-0.46,-0.41,-0.38,-0.35,-0.3,-0.26,-0.22,-0.2,-0.17,-0.14,-0.12,-0.11,-0.12,-0.14,-0.15,-0.15,-0.19,-0.25,-0.27,-0.25,-0.25,-0.3,-0.37,-0.43,-0.5,-0.57,-0.62,-0.68,-0.74,-0.75,-0.72,-0.69,-0.65,-0.6,-0.56,-0.53,-0.52,-0.51,-0.52,-0.55,-0.58,-0.63,-0.72,-0.81,-0.86,-0.86,-0.84,-0.81,-0.77,-0.72,-0.7,-0.72,-0.77,-0.82,-0.85,-0.9,-0.93,-0.93,-0.87,-0.75,-0.62,-0.52,-0.4,-0.28,-0.2,-0.16,-0.14,-0.09,-0.02,0.05,0.1,0.15,0.21,0.27,0.32,0.35,0.37,0.36,0.32,0.29,0.29,0.3,0.3,0.3,0.3,0.33,0.38,0.42,0.43,0.43,0.38,0.3,0.22,0.18,0.14,0.07,0.01,-0.03,-0.03,-0.01,0.02,0.05,0.08,0.1,0.07,0.02,0.0,-0.02,-0.05,-0.05,-0.01,0.03,0.07,0.09,0.11,0.12,0.13,0.17,0.25,0.31,0.36,0.41,0.48,0.54,0.55,0.55,0.55,0.55,0.53,0.5,0.45,0</t>
  </si>
  <si>
    <t>To_Avoid_Formula.39,0.34,0.29,0.23,0.15,0.07,-0.01,-0.07,-0.11,-0.15,-0.18,-0.18,-0.16,-0.11,-0.06,-0.02,0.04,0.11,0.13,0.12,0.12,0.19,0.27,0.33,0.35,0.34,0.33,0.29,0.24,0.21,0.24,0.3,0.37,0.42,0.49,0.53,0.54,0.53,0.53,0.55,0.55,0.53,0.52,0.53,0.56,0.61,0.66,0.7,0.72,0.7,0.67,0.64,0.64,0.63,0.63,0.65,0.67,0.66,0.65,0.65,0.66,0.63,0.57,0.52,0.48,0.43,0.36,0.33,0.35,0.39,0.4,0.42,0.43,0.4,0.33,0.23,0.17,0.11,0.07,0.04,0.06,0.09,0.14,0.18,0.23,0.25,0.26,0.24,0.24,0.25,0.25,0.27,0.3,0.34,0.33,0.3,0.26,0.26,0.22,0.13,0.05,0.0,-0.06,-0.15,-0.21,-0.21,-0.21,-0.24,-0.28,-0.28,-0.25,-0.25,-0.32,-0.45,-0.57,-0.66,-0.7,-0.78,-0.92,-1.02,-1.05,-1.05,-1.09,-1.14,-1.19,-1.25,-1.3,-1.34,-1.32,-1.3,-1.31,-1.32,-1.3,-1.29,-1.28,-1.25,-1.23,-1.22,-1.2,-1.14,-1.06,-1.01,-0.99,-0.95,-0.91,-0.87,-0.84,-0.82,-0.79,-0.77,-0.77,-0.77,-0.78,-0.8,-0.81,-0.77,-0.75,-0.76,-0.76,-0.73,-0.7,-0.7,-0.7,-0.68,-0.62,-0.57,-0.54,-0.52,-0.55,-0.62,-0.7,-0.77,-0.82,-0.83,-0.8,-0.76,-0.73,-0.74,-0.76,-0.79,-0.84,-0.92,-1.02,-1.07,-1.12,-1.17,-1.2,-1.19,-1.19,-1.24,-1.3,-1.34,-1.34,-1.31,-1.26,-1.23,-1.21,-1.2,-1.17,-1.09,-0.99,-0.9,-0.82,-0.71,-0.58,-0.47,-0.38,-0.3,-0.24,-0.2,-0.15,-0.06,0.04,0.14,0.2,0.21,0.19,0.14,0.09,0.04,0.0,-0.02,-0.01,0.01,0.05,0.1,0.17,0.22,0.23,0.23,0.23,0.23,0.24,0.26,0.32,0.36,0.36,0.38,0.44,0.52,0.58,0.55,0.47,0.36,0.28,0.26,0.27,0.29,0.29,0.29,0.31,0.36,0.43,0.49,0.59,0.71,0.83,0.9,0.97,1.06,1.12,1.11,1.07,1.07,1.08,1.11,1.16,1.23,1.31,1.39,1.46,1.52,1.55,1.54,1.53,1.53,1.53,1.54,1.55,1.53,1.48,1.4,1.32,1.27,1.22,1.19,1.17,1.15,1.13,1.14,1.15,1.17,1.17,1.17,1.17,1.21,1.29,1.35,1.34,1.3,1.26,1.24,1.23,1.23,1.19,1.1,1.02,1.0,0.99,0.96,0.93,0.89,0.85,0.81,0.75,0.69,0.63,0.62,0.6,0.52,0.38,0.24,0.1,0.0,-0.07,</t>
  </si>
  <si>
    <t>To_Avoid_Formula0.3,0.2,0.1,0.05,0.03,0.01,-0.01,-0.03,-0.06,-0.13,-0.23,-0.32,-0.4,-0.48,-0.52,-0.52,-0.51,-0.53,-0.55,-0.51,-0.44,-0.4,-0.4,-0.4,-0.4,-0.38,-0.36,-0.36,-0.35,-0.33,-0.32,-0.36,-0.4,-0.42,-0.42,-0.41,-0.42,-0.43,-0.47,-0.54,-0.64,-0.72,-0.8,-0.89,-0.94,-0.93,-0.9,-0.85,-0.8,-0.75,-0.72,-0.74,-0.77,-0.82,-0.89,-0.96,-1.0,-0.97,-0.88,-0.81,-0.74,-0.64,-0.52,-0.43,-0.35,-0.31,-0.29,-0.25,-0.18,-0.11,-0.03,0.06,0.16,0.3,0.44,0.55,0.59,0.62,0.64,0.63,0.62,0.61,0.6,0.61,0.64,0.67,0.7,0.74,0.78,0.79,0.76,0.7,0.67,0.72,0.78,0.8,0.76,0.73,0.71,0.63,0.49,0.37,0.3,0.25,0.18,0.12,0.13,0.19,0.26,0.31,0.32,0.26,0.17,0.07,0.01,-0.02,-0.04,-0.07,-0.12,-0.18,-0.23,-0.26,-0.26,-0.24,-0.22,-0.23,-0.24,-0.19,-0.09,-0.01,0.05,0.09,0.13,0.17,0.17,0.12,0.02,-0.07,-0.14,-0.21,-0.26,-0.28,-0.27,-0.28,-0.29,-0.33,-0.36,-0.36,-0.35,-0.4,-0.48,-0.54,-0.58,-0.59,-0.56,-0.48,-0.39,-0.32,-0.29,-0.28,-0.28,-0.28,-0.29,-0.29,-0.29,-0.27,-0.21,-0.12,-0.04,0.01,0.06,0.14,0.23,0.26,0.25,0.2,0.16,0.14,0.13,0.14,0.14,0.13,0.1,0.04,-0.04,-0.12,-0.19,-0.25,-0.29,-0.33,-0.35,-0.34,-0.29,-0.19,-0.11,-0.02,0.05,0.07,0.07,0.01,-0.05,-0.1,-0.1,-0.08,-0.03,0.05,0.13,0.19,0.24,0.28,0.31,0.34,0.35,0.36,0.37,0.37,0.39,0.45,0.55,0.62,0.68,0.71,0.72,0.75,0.78,0.77,0.72,0.69,0.66,0.61,0.56,0.54,0.51,0.48,0.44,0.41,0.41,0.42,0.4,0.33,0.25,0.21,0.2,0.19,0.18,0.14,0.08,0.03,0.0,-0.05,-0.09,-0.13,-0.18,-0.25,-0.3,-0.31,-0.29,-0.26,-0.21,-0.16,-0.11,-0.07,-0.03,-0.04,-0.11,-0.19,-0.22,-0.2,-0.17,-0.15,-0.12,-0.05,0.01,0.07,0.15,0.23,0.26,0.25,0.19,0.08,-0.05,-0.11,-0.17,-0.21,-0.2,-0.17,-0.13,-0.09,-0.06,-0.09,-0.18,-0.32,-0.52,-0.7,-0.9,-1.05,-1.11,-1.13,-1.12,-1.09,-1.04,-0.99,-0.95,-0.93,-0.94,-0.94,-0.96,-0.96,-0.93,-0.88,-0.83,-0.77,-0.72,-0.71,-0.73,-0.72,-0.68,-0.64,-0.61,-0.6,-0.57,-0.5,-0.39,-0.31,-0.27,-0.23,-0.19,-0.17,-0.12,-0.06,-0.03,-0.03,0.0,0.07,0.18,0.29,0.39,0.47,0.52,0.53,0.53,0.52,0.51,0.5,0.48,0.46,0.48,0.52,0.55,0.55,0.52,0.48,0.45,0.39,0.36,0.38,0.4,0.44,0.49,0.55,0.62,0.67,0.69,0.65,0.6,0.53,0.46,0.41,0.37,0.32,0.26,0.21,0.19,0.17,0.18,0.2,0.2,0.17,0.12,0.06,0.02,-0.02,-0.07,-0.12,-0.12,-0.08,-0.02,0.01,0.05,0.1,0.16,0.25,0.3,0.33,0.36,0.38,0.39,0.39,0.38,0.37,0.38,0.37,0.36,0.33,0.29,0.28,0.31,0.31,0.24,0.13,0.02,-0.07,-0.17,-0.27,-0.33,-0.35,-0.34,-0.3,-0.23,-0.19,-0.2,-0.26,-0.34,-0.4,-0.43,-0.43,-0.44,-0.47,-0.44,-0.37,-0.29,-0.19,-0.09,-0.04,-0.01,0.01,0.02,0.04,0.08,0.15,0.22,0.31,0.41,0.5,0.59,0.68,0.73,0.73,0.72,0.73,0.77,0.84,0.91,0.98,1.03,1.02,0.95,0.9,0.88,0.85,0.79,0.74,0.75,0.8,0.83,0.83,0.83,0.82,0.82,0.79,0.71,0.61,0.47,0.33,0.19,0.11,0.08,0.05,0.01,0.02,0.07,0.11,0.12,0.11,0.09,0.04,0.0,0.01,0.02,0.0,-0.03,-0.06,-0.09,-0.14,-0.16,-0.15,-0.16,-0.22,-0.28,-0.34,-0.39,-0.45,-0.51,-0.55,-0.57,-0.6,-0.65,-0.68,-0.7,-0.7,-0.7,-0.75,-0.8,-0.86,-0.89,-0.93,-0.97,-1.05,-1.11,-1.12,-1.09,-1.06,-1.06,-1.1,-1.18,-1.26,-1.32,-1.32,-1.28,-1.26,-1.24,-1.21,-1.15,-1.09,-1.05,-1.02,-0.99,-0.97,-0.93,-0.85,-0.77,-0.72,-0.68,-0.62,-0.55,-0.48,-0.42,-0.38,-0.39,-0.43,-0.45,-0.43,-0.38,-0.32,-0.27,-0.24,-0.23,-0.25,-0.25,-0.24,-0.25,-0.29,-0.34,-0.39,-0.4,-0.43,-0.43,-0.38,-0.28,-0.11,0.08,0.24,0.34,0.42,0.46,0.49,0.48,0.51,0.58,0.67,0.79,0.89,1.02,1.14,1.26,1.33,1.35,1.35,1.35,1.37,1.37,1.37,1.36,1.34,1.33,1.31,1.27,1.21,1.15,1.1,1.05,0.97,0.88,0.81,0.8,0.76,0.67,0.57,0.48,0.38,0.29,0.22,0.15,0.08,0.05,0.07,0.08,0.1,0.13,0.16,0.17,0.15,0.14,0.11,0.06,0.01,-0.05,-0.15,-0.26,-0.31,-0.31,-0.3,-0.28,-0.24,-0.2,-0.18,-0.21,-0.28,-0.33,-0.36,-0.4,-0.44,-0.44,-0.37,-0.25,-0.13,-0.04,0.06,0.16,0.21,0.22,0.22,0.23,0.27,0.31,0.33,0.34,0.36,0.38,0.39,0.38,0.36,0.31,0.24,0.18,0.14,0.12,0.09,0.06,0.04,0.04,0.06,0.07,0.06,0.03,-0.04,-0.14,-0.23,-0.29,-0.34,-0.41,-0.47,-0.51,-0.51,-0.48,-0.45,-0.42,-0.38,-0.37,-0.39,-0.44,-0.46,-0.47,-0.49,-0.48,-0.43,-0.38,-0.34,-0.3,-0.28,-0.27,-0.26,-0.21,-0.13,-0.07,-0.03,0.02,0.08,0.13,0.13,0.11,0.1,0.09,0.07,0.03,-0.03,-0.09,-0.13,-0.18,-0.24,-0.3,-0.37,-0.</t>
  </si>
  <si>
    <t>To_Avoid_Formula44,-0.47,-0.49,-0.51,-0.51,-0.49,-0.44,-0.36,-0.3,-0.24,-0.16,-0.09,-0.05,-0.06,-0.04,0.03,0.12,0.18,0.19,0.18,0.17,0.13,0.08,0.06,0.1,0.16,0.22,0.27,0.33,0.36,0.36,0.34,0.33,0.34,0.33,0.3,0.28,0.27,0.3,0.33,0.37,0.4,0.4,0.36,0.32,0.28,0.26,0.25,0.24,0.25,0.25,0.24,0.22,0.2,0.2,0.16,0.1,0.04,0.0,-0.05,-0.12,-0.14,-0.11,-0.07,-0.06,-0.04,-0.02,-0.05,-0.12,-0.21,-0.26,-0.3,-0.33,-0.34,-0.31,-0.25,-0.2,-0.15,-0.09,-0.06,-0.05,-0.05,-0.05,-0.04,-0.03,-0.01,0.02,0.07,0.06,0.03,0.0,0.0,-0.04,-0.12,-0.18,-0.22,-0.26,-0.34,-0.38,-0.36,-0.33,-0.34,-0.36,-0.34,-0.28,-0.26,-0.31,-0.41,-0.51,-0.56,-0.57,-0.61,-0.7,-0.76,-0.74,-0.7,-0.68,-0.69,-0.69,-0.7,-0.7,-0.69,-0.62,-0.55,-0.52,-0.48,-0.42,-0.37,-0.33,-0.26,-0.2,-0.17,-0.12,-0.03,0.07,0.13,0.18,0.22,0.27,0.32,0.35,0.37,0.4,0.42,0.42,0.42,0.41,0.38,0.37,0.4,0.42,0.4,0.4,0.42,0.43,0.42,0.41,0.43,0.46,0.5,0.52,0.51,0.47,0.38,0.29,0.2,0.15,0.13,0.16,0.19,0.21,0.19,0.16,0.12,0.06,-0.02,-0.12,-0.17,-0.21,-0.26,-0.27,-0.25,-0.25,-0.29,-0.34,-0.36,-0.35,-0.3,-0.24,-0.2,-0.18,-0.17,-0.13,-0.05,0.05,0.13,0.2,0.29,0.4,0.49,0.55,0.6,0.62,0.62,0.64,0.68,0.74,0.79,0.8,0.76,0.69,0.6,0.51,0.41,0.34,0.28,0.26,0.25,0.26,0.27,0.31,0.33,0.3,0.27,0.23,0.2,0.18,0.17,0.2,0.21,0.17,0.16,0.19,0.24,0.25,0.2,0.08,-0.06,-0.15,-0.19,-0.19,-0.19,-0.2,-0.22,-0.21,-0.17,-0.12,-0.07,0.0,0.1,0.19,0.23,0.27,0.32,0.34,0.3,0.23,0.19,0.17,0.17,0.19,0.23,0.28,0.32,0.35,0.38,0.37,0.32,0.27,0.23,0.2,0.18,0.16,0.12,0.03,-0.07,-0.16,-0.22,-0.28,-0.31,-0.34,-0.36,-0.38,-0.37,-0.35,-0.34,-0.33,-0.33,-0.33,-0.29,-0.21,-0.15,-0.16,-0.21,-0.24,-0.26,-0.26,-0.26,-0.29,-0.37,-0.43,-0.44,-0.43,-0.44,-0.45,-0.47,-0.49,-0.5,-0.53,-0.57,-0.59,-0.57,-0.56,-0.61,-0.7,-0.8,-0.89,-0.93,-0.95,</t>
  </si>
  <si>
    <t>To_Avoid_Formula5.22,5.24,5.25,5.26,5.27,5.28,5.29,5.3,5.32,5.33,5.34,5.35,5.36,5.37,5.38,5.39,5.4,5.41,5.42,5.43,5.44,5.45,5.46,5.46,5.47,5.48,5.49,5.5,5.51,5.52,5.52,5.53,5.54,5.55,5.55,5.56,5.57,5.57,5.58,5.59,5.59,5.6,5.6,5.61,5.61,5.62,5.62,5.63,5.63,5.63,5.64,5.64,5.64,5.64,5.65,5.65,5.65,5.65,5.65,5.66,5.66,5.66,5.66,5.66,5.66,5.66,5.66,5.66,5.66,5.65,5.65,5.65,5.65,5.65,5.65,5.64,5.64,5.64,5.63,5.63,5.62,5.62,5.62,5.61,5.61,5.6,5.6,5.59,5.58,5.58,5.57,5.56,5.56,5.55,5.54,5.53,5.53,5.52,5.51,5.5,5.49,5.48,5.48,5.47,5.46,5.45,5.44,5.43,5.42,5.41,5.39,5.38,5.37,5.36,5.35,5.34,5.33,5.31,5.3,5.29,5.28,5.26,5.25,5.24,5.22,5.21,5.2,5.18,5.17,5.15,5.14,5.12,5.11,5.09,5.08,5.06,5.05,5.03,5.01,5.0,4.98,4.96,4.95,4.93,4.91,4.89,4.88,4.86,4.84,4.82,4.8,4.78,4.76,4.75,4.73,4.71,4.69,4.67,4.65,4.63,4.61,4.59,4.57,4.54,4.52,4.5,4.48,4.46,4.44,4.42,4.4,4.37,4.35,4.33,4.31,4.29,4.26,4.24,4.22,4.2,4.17,4.15,4.13,4.1,4.08,4.06,4.03,4.01,3.99,3.96,3.94,3.92,3.89,3.87,3.84,3.82,3.8,3.77,3.75,3.72,3.7,3.67,3.65,3.62,3.6,3.57,3.55,3.52,3.49,3.47,3.44,3.42,3.39,3.36,3.34,3.31,3.28,3.26,3.23,3.2,3.17,3.15,3.12,3.09,3.06,3.03,3.0,2.97,2.95,2.92,2.89,2.86,2.83,2.8,2.77,2.73,2.7,2.67,2.64,2.61,2.58,2.55,2.51,2.48,2.45,2.41,2.38,2.35,2.31,2.28,2.24,2.21,2.17,2.14,2.1,2.07,2.03,1.99,1.96,1.92,1.88,1.85,1.81,1.77,1.73,1.69,1.65,1.62,1.58,1.54,1.5,1.45,1.41,1.37,1.33,1.29,1.25,1.2,1.16,1.12,1.08,1.03,0.99,0.94,0.9,0.86,0.81,0.77,0.72,0.67,0.63,0.58,0.54,0.49,0.44,0.39,0.35,0.3,0.25,0.2,0.15,0.11,0.06,0.01,-0.04,-0.09,-0.14,-0.19,-0.24,-0.29,-0.35,-0.4,-0.45,-0.5,-0.55,-0.61,-0.66,-0.71,-0.76,-0.82,-0.87,-0.93,-0.98,-1.03,-1.09,-1.14,-1.2,-1.25,-1.31,-1.36,-1.42,-1.47,-1.53,-1.58,-1.64,-1.7,-1.75,-1.81,-1.86,-1.92,-1.98,-2.03,-2.09,-2.14,-2.2,-2.26,-2.31,-2.37,-2.42,-2.48,-2.53,-2.59,-2.64,-2.7,-2.76,-2.81,-2.86,-2.92,-2.97,-3.03,-3.08,-3.14,-3.19,-3.24,-3.3,-3.35,-3.4,-3.46,-3.51,-3.56,-3.61,-3.66,-3.72,-3.77,-3.82,-3.87,-3.92,-3.97,-4.02,-4.07,-4.11,-4.16,-4.21,-4.26,-4.31,-4.35,-4.4,-4.44,-4.49,-4.54,-4.58,-4.62,-4.67,-4.71,-4.76,-4.8,-4.84,-4.88,-4.92,-4.96,-5.0,-5.04,-5.08,-5.12,-5.16,-5.2,-5.24,-5.28,-5.31,-5.35,-5.38,-5.42,-5.46,-5.49,-5.53,-5.56,-5.59,-5.63,-5.66,-5.69,-5.73,-5.76,-5.79,-5.82,-5.85,-5.88,-5.91,-5.94,-5.97,-6.0,-6.03,-6.06,-6.08,-6.11,-6.14,-6.17,-6.19,-6.22,-6.24,-6.27,-6.3,-6.32,-6.34,-6.37,-6.39,-6.42,-6.44,-6.46,-6.48,-6.51,-6.53,-6.55,-6.57,-6.59,-6.61,-6.63,-6.65,-6.67,-6.69,-6.71,-6.73,-6.75,-6.76,-6.78,-6.8,-6.81,-6.83,-6.85,-6.86,-6.88,-6.89,-6.91,-6.92,-6.94,-6.95,-6.96,-6.98,-6.99,-7.0,-7.01,-7.02,-7.04,-7.05,-7.06,-7.07,-7.08,-7.08,-7.09,-7.1,-7.11,-7.12,-7.12,-7.13,-7.14,-7.14,-7.15,-7.15,-7.16,-7.16,-7.17,-7.17,-7.18,-7.18,-7.18,-7.18,-7.19,-7.19,-7.19,-7.19,-7.19,-7.19,-7.19,-7.19,-7.19,-7.19,-7.19,-7.18,-7.18,-7.18,-7.17,-7.17,-7.17,-7.16,-7.16,-7.15,-7.15,-7.14,-7.14,-7.13,-7.12,-7.12,-7.11,-7.1,-7.09,-7.08,-7.08,-7.07,-7.06,-7.05,-7.04,-7.03,-7.02,-7.0,-6.99,-6.98,-6.97,-6.96,-6.94,-6.93,-6.91,-6.9,-6.89,-6.87,-6.85,-6.84,-6.82,-6.81,-6.79,-6.77,-6.75,-6.73,-6.71,-6.7,-6.68,-6.66,-6.63,-6.61,-6.59,-6.57,-6.55,-6.52,-6.5,-6.48,-6.45,-6.43,-6.4,-6.38,-6.35,-6.33,-6.3,-6.28,-6.25,-6.22,-6.19,-6.16,-6.14,-6.11,-6.08,-6.05,-6.02,-5.99,-5.96,-5.93,-5.9,-5.87,-5.84,-5.8,-5.77,-5.74,-5.71,-5.68,-5.64,-5.61,-5.58,-5.55,-5.51,-5.48,-5.45,-5.41,-5.38,-5.35,-5.31,-5.28,-5.25,-5.21,-5.18,-5.14,-5.11,-5.08,-5.04,-5.01,-4.98,-4.94,-4.91,-4.88,-4.84,-4.81,-4.78,-4.74,-4.71,-4.68,-4.65,-4.61,-4.58,-4.55,-4.52,-4.49,-4.45,-4.42,-4.39,-4.36,-4.33,-4.3,-4.27,-4.24,-4.21,-4.18,-4.15,-4.12,-4.09,-4.06,-4.04,-4.01,-3.98,-3.95,-3.92,-3.9,-3.87,-3.84,-3.82,-3.79,-3.76,-3.74,-3.71,-3.69,-3.66,-3.64,-3.61,-3.59,-3.56,-3.54,-3.51,-3.49,-3.46,-3.44,-3.42,-3.39,-3.37,-3.35,-3.32,-3.3,-3.28,-3.26,-3.23,-3.21,-3.19,-3.17,-3.15,-3.13,-3.1,-3.08,-3.06,-3.04,-3.02,-3.0,-2.98,-2.96,-2.94,-2.92,-2.89,-2.87,-2.85,-2.83,-2.81,-2.79,-2.77,-2.75,-2.73,-2.71,-2.69,-2.67,-2.65,-2.63,-2.61,</t>
  </si>
  <si>
    <t>To_Avoid_Formula-2.59,-2.57,-2.54,-2.52,-2.5,-2.48,-2.46,-2.44,-2.42,-2.4,-2.38,-2.36,-2.34,-2.32,-2.3,-2.28,-2.26,-2.25,-2.23,-2.21,-2.19,-2.17,-2.15,-2.13,-2.11,-2.1,-2.08,-2.06,-2.04,-2.02,-2.01,-1.99,-1.97,-1.95,-1.94,-1.92,-1.9,-1.89,-1.87,-1.85,-1.84,-1.82,-1.81,-1.79,-1.77,-1.74,-1.73,-1.71,-1.7,-1.68,-1.67,-1.65,-1.64,-1.62,-1.61,-1.6,-1.58,-1.57,-1.55,-1.54,-1.53,-1.51,-1.5,-1.49,-1.48,-1.46,-1.45,-1.44,-1.43,-1.41,-1.4,-1.39,-1.38,-1.37,-1.36,-1.35,-1.34,-1.33,-1.32,-1.31,-1.3,-1.29,-1.28,-1.27,-1.26,-1.25,-1.24,-1.24,-1.23,-1.22,-1.22,-1.21,-1.2,-1.2,-1.19,-1.19,-1.18,-1.18,-1.17,-1.17,-1.16,-1.16,-1.16,-1.15,-1.15,-1.15,-1.15,-1.15,-1.14,-1.14,-1.14,-1.14,-1.14,-1.14,-1.14,-1.14,-1.14,-1.14,-1.14,-1.14,-1.14,-1.15,-1.15,-1.15,-1.15,-1.15,-1.16,-1.16,-1.16,-1.17,-1.17,-1.18,-1.18,-1.19,-1.19,-1.2,-1.2,-1.21,-1.21,-1.22,-1.23,-1.23,-1.24,-1.25,-1.26,-1.26,-1.27,-1.28,-1.29,-1.29,-1.3,-1.31,-1.32,-1.33,-1.34,-1.35,-1.36,-1.36,-1.37,-1.38,-1.39,-1.4,-1.41,-1.42,-1.43,-1.44,-1.45,-1.46,-1.47,-1.48,-1.49,-1.5,-1.51,-1.52,-1.53,-1.54,-1.55,-1.56,-1.57,-1.58,-1.59,-1.6,-1.62,-1.63,-1.64,-1.65,-1.66,-1.67,-1.68,-1.69,-1.7,-1.71,-1.72,-1.73,-1.74,-1.75,-1.76,-1.77,-1.78,-1.79,-1.81,-1.82,-1.83,-1.84,-1.85,-1.86,-1.87,-1.88,-1.89,-1.9,-1.91,-1.92,-1.93,-1.94,-1.95,-1.96,-1.97,-1.98,-1.99,-2.0,-2.02,-2.03,-2.04,-2.05,-2.06,-2.07,-2.08,-2.09,-2.1,-2.11,-2.12,-2.13,-2.15,-2.16,-2.17,-2.18,-2.19,-2.2,-2.21,-2.22,-2.24,-2.25,-2.26,-2.27,-2.28,-2.29,-2.3,-2.32,-2.33,-2.34,-2.35,-2.36,-2.37,-2.38,-2.39,-2.4,-2.42,-2.43,-2.44,-2.45,-2.46,-2.47,-2.48,-2.49,-2.5,-2.51,-2.52,-2.53,-2.54,-2.55,-2.56,-2.57,-2.58,-2.59,-2.6,-2.6,-2.61,-2.62,-2.63,-2.64,-2.65,-2.65,-2.66,-2.67,-2.68,-2.69,-2.69,-2.7,-2.71,-2.71,-2.72,-2.73,-2.73,-2.74,-2.74,-2.75,-2.76,-2.76,-2.77,-2.77,-2.78,-2.78,-2.79,-2.79,-2.79,-2.8,-2.8,-2.8,-2.81,-2.81,-2.81,-2.82,-2.82,-2.82,-2.82,-2.82,-2.82,-2.82,-2.83,-2.83,-2.83,-2.83,-2.82,-2.82,-2.82,-2.82,-2.82,</t>
  </si>
  <si>
    <t>To_Avoid_Formula0.56,0.69,0.87,1.03,1.14,1.22,1.29,1.4,1.49,1.54,1.53,1.44,1.29,1.13,1.04,0.95,0.85,0.75,0.69,0.65,0.65,0.7,0.79,0.89,0.97,0.99,1.04,1.13,1.25,1.26,1.16,1.0,0.83,0.67,0.51,0.38,0.22,0.14,0.17,0.32,0.55,0.81,1.07,1.32,1.47,1.55,1.6,1.61,1.53,1.38,1.26,1.18,1.16,1.18,1.23,1.32,1.44,1.53,1.57,1.54,1.48,1.37,1.24,1.1,0.93,0.81,0.8,0.88,0.96,0.97,0.91,0.84,0.85,0.89,0.88,0.77,0.63,0.51,0.39,0.24,0.07,-0.06,-0.11,-0.18,-0.31,-0.38,-0.25,0.05,0.41,0.65,0.75,0.86,0.99,1.03,0.94,0.82,0.74,0.69,0.59,0.46,0.37,0.27,0.15,0.03,-0.05,-0.11,-0.16,-0.19,-0.16,-0.09,-0.03,0.06,0.24,0.51,0.78,1.01,1.13,1.21,1.29,1.35,1.37,1.38,1.39,1.43,1.48,1.54,1.62,1.77,1.96,2.02,1.95,1.76,1.59,1.45,1.33,1.18,1.02,0.82,0.6,0.47,0.47,0.56,0.67,0.77,0.85,0.95,1.09,1.18,1.15,1.06,1.03,1.02,1.01,1.01,1.03,1.05,1.1,1.21,1.36,1.49,1.57,1.65,1.71,1.72,1.67,1.63,1.62,1.62,1.56,1.45,1.39,1.44,1.61,1.77,1.87,1.96,2.1,2.24,2.24,2.1,1.84,1.59,1.39,1.15,0.89,0.66,0.55,0.55,0.59,0.62,0.67,0.71,0.76,0.78,0.8,0.83,0.86,0.85,0.8,0.75,0.74,0.71,0.66,0.64,0.71,0.8,0.85,0.83,0.82,0.84,0.89,0.95,0.96,0.94,0.97,1.05,1.14,1.22,1.26,1.25,1.26,1.34,1.42,1.4,1.3,1.18,1.11,1.09,1.04,1.0,1.02,1.11,1.19,1.21,1.23,1.31,1.44,1.51,1.46,1.33,1.26,1.28,1.34,1.33,1.24,1.13,1.04,1.02,1.01,1.02,1.05,1.09,1.1,1.1,1.14,1.21,1.25,1.22,1.11,0.91,0.7,0.57,0.51,0.54,0.68,0.92,1.21,1.56,2.04,2.56,2.95,3.11,3.14,3.07,2.87,2.64,2.4,2.18,1.97,1.74,1.52,1.33,1.17,1.07,1.03,1.02,1.01,1.03,1.04,1.03,1.05,1.09,1.15,1.24,1.36,1.4,1.33,1.26,1.24,1.21,1.19,1.21,1.2,1.16,1.16,1.23,1.28,1.27,1.21,1.16,1.17,1.23,1.27,1.26,1.29,1.4,1.61,1.87,2.07,2.2,2.31,2.42,2.49,2.51,2.52,2.58,2.66,2.76,2.87,2.97,3.07,3.14,3.14,3.04,2.91,2.88,2.97,3.05,3.09,3.06,3.05,3.18,3.38,3.49,3.45,3.36,3.3,3.23,3.16,3.15,3.17,3.18,3.2,3.27,3.38,3.5,3.61,3.69,3.7,3.67,3.61,3.53,3.45,3.36,3.24,3.09,2.96,2.87,2.8,2.76,2.66,2.45,2.16,1.93,1.8,1.71,1.54,1.28,1.09,1.07,1.19,1.26,1.25,1.28,1.41,1.58,1.68,1.75,1.85,1.98,2.1,2.17,2.16,2.17,2.28,2.44,2.59,2.72,2.87,3.09,3.43,3.72,3.86,3.86,3.83,3.81,3.76,3.64,3.5,3.4,3.35,3.37,3.38,3.36,3.31,3.23,3.1,2.91,2.7,2.54,2.38,2.16,1.92,1.69,1.45,1.21,1.01,0.75,0.45,0.16,-0.04,-0.23,-0.44,-0.6,-0.72,-0.77,-0.82,-0.82,-0.69,-0.52,-0.39,-0.28,-0.16,0.04,0.29,0.59,0.87,1.14,1.4,1.63,1.81,1.99,2.13,2.18,2.17,2.13,2.06,1.99,1.99,1.99,1.92,1.81,1.81,1.87,1.86,1.77,1.68,1.61,1.57,1.56,1.54,1.49,1.41,1.38,1.39,1.38,1.29,1.19,1.16,1.21,1.25,1.26,1.28,1.35,1.45,1.57,1.7,1.85,1.97,2.07,2.21,2.37,2.55,2.74,2.88,2.89,2.77,2.64,2.52,2.33,1.96,1.49,1.11,0.85,0.63,0.43,0.24,0.08,0.03,0.08,0.18,0.25,0.33,0.49,0.72,0.92,1.03,1.07,1.14,1.25,1.39,1.51,1.51,1.42,1.28,1.19,1.18,1.17,1.12,1.07,1.06,1.12,1.21,1.29,1.36,1.37,1.36,1.33,1.31,1.23,1.07,0.85,0.67,0.61,0.6,0.54,0.34,0.09,-0.1,-0.2,-0.28,-0.35,-0.37,-0.35,-0.35,-0.46,-0.68,-0.92,-1.03,-1.03,-0.97,-0.93,-0.92,-0.88,-0.77,-0.61,-0.39,-0.13,0.12,0.35,0.58,0.82,0.98,1.05,1.1,1.21,1.39,1.55,1.64,1.7,1.74,1.81,1.95,2.17,2.39,2.57,2.74,2.98,3.25,3.46,3.55,3.51,3.39,3.24,3.07,2.9,2.75,2.62,2.53,2.41,2.24,2.07,2.02,2.06,2.08,1.97,1.8,1.73,1.79,1.88,1.81,1.56,1.35,1.29,1.32,1.35,1.38,1.46,1.57,1.67,1.76,1.86,2.0,2.16,2.31,2.38,2.39,2.44,2.54,2.63,2.6,2.44,2.25,2.14,2.06,1.91,1.7,1.49,1.32,1.14,1.01,1.02,1.15,1.22,1.2,1.17,1.23,1.35,1.5,1.67,1.78,1.84,1.86,1.84,1.79,1.74,1.67,1.58,1.51,1.51,1.53,1.57,1.63,1.72,1.84,1.98,2.12,2.24,2.33,2.34,2.28,2.13,1.96,1.85,1.78,1.69,1.5,1.27,1.04,0.88,0.83,0.85,0.86,0.84,0.8,0.8,0.87,1.02,1.16,1.24,1.25,1.29,1.41,1.58,1.71,1.73,1.74,1.84,2.0,2.11,2.13,2.11,2.1,2.08,2.01,2.0,2.12,2.29,2.37,2.35,2.28,2.22,2.2,2.19,2.13,1.98,1.8,1.67,1.59,1.52,1.43,1.35,1.26,1.15,1.04,0.95,0.85,0.74,0.58,0.33,0.06,-0.12,-0.16,-0.2,-0.37,-0.53,-0.6,-0.58,-0.57,-0.56,-0.5,-0.33,-0.06,0.22,0.53,0.91,1.34,1.7,1.94,2.11,2.22,2.33,2.48,2.61,2.65,2.64,2.66,2.73,2.84,3.01,3.06,3.11,3.16,3.22,3.3,3.35,3.41,3.46,3.45,3.37,3.26,3.06,2.77,2.44,2.18,1.96,1.8,1.68,1.59,1.55,1.58,1.67,1.82,1.94,1.97,1</t>
  </si>
  <si>
    <t>To_Avoid_Formula.85,1.65,1.47,1.33,1.22,1.1,0.94,0.77,0.62,0.53,0.55,0.66,0.75,0.83,0.91,1.01,1.08,1.16,1.2,1.16,1.1,1.09,1.15,1.22,1.3,1.38,1.5,1.63,1.78,2.01,2.34,2.67,2.89,2.94,2.93,2.99,3.12,3.16,3.03,2.88,2.81,2.82,2.77,2.65,2.49,2.37,2.28,2.1,1.82,1.54,1.36,1.24,1.2,1.26,1.35,1.41,1.5,1.67,1.85,2.0,2.18,2.45,2.69,2.79,2.83,2.88,2.96,3.07,3.19,3.29,3.33,3.28,3.14,2.98,2.84,2.74,2.63,2.48,2.26,2.01,1.9,1.9,1.89,1.8,1.75,1.76,1.75,1.72,1.76,1.87,1.93,1.89,1.79,1.68,1.61,1.59,1.62,1.69,1.78,1.93,2.15,2.42,2.69,2.93,3.17,3.35,3.39,3.37,3.34,3.29,3.14,2.95,2.74,2.64,2.64,2.65,2.63,2.61,2.63,2.71,2.85,3.0,3.11,3.22,3.34,3.42,3.47,3.6,3.8,3.94,3.88,3.69,3.55,3.45,3.34,3.19,3.04,2.84,2.64,2.58,2.61,2.59,2.52,2.54,2.66,2.83,2.98,3.06,3.13,3.3,3.48,3.5,3.36,3.18,3.0,2.8,2.54,2.27,2.14,2.13,2.14,2.1,2.02,1.97,2.03,2.21,2.46,2.6,2.55,2.35,2.17,2.04,1.88,1.62,1.25,0.93,0.71,0.58,0.55,0.6,0.72,0.91,1.15,1.4,1.71,2.1,2.44,2.67,2.74,2.72,2.8,2.96,3.09,3.07,3.0,2.93,2.88,2.79,2.64,2.45,2.24,2.04,1.87,1.78,1.79,1.8,1.71,1.59,1.56,1.6,1.6,1.53,1.41,1.33,1.28,1.2,1.12,1.11,1.14,1.11,0.99,0.88,0.85,0.89,0.92,0.92,0.89,0.88,0.94,1.18,1.5,1.72,1.83,1.97,2.14,2.23,2.27,2.27,2.25,2.25,2.22,2.11,1.92,1.73,1.55,1.37,1.21,1.06,0.94,0.83,0.75,0.7,0.67,0.64,0.61,0.57,</t>
  </si>
  <si>
    <t>To_Avoid_Formula0.68,0.67,0.67,0.67,0.67,0.67,0.66,0.66,0.66,0.66,0.65,0.65,0.65,0.65,0.65,0.64,0.64,0.64,0.64,0.63,0.63,0.63,0.63,0.63,0.63,0.63,0.63,0.63,0.63,0.62,0.62,0.62,0.61,0.61,0.6,0.59,0.59,0.58,0.58,0.57,0.56,0.56,0.55,0.54,0.53,0.53,0.52,0.51,0.5,0.49,0.48,0.47,0.46,0.45,0.44,0.43,0.42,0.41,0.4,0.39,0.38,0.37,0.36,0.35,0.34,0.33,0.32,0.31,0.3,0.29,0.28,0.28,0.27,0.26,0.25,0.24,0.23,0.22,0.21,0.2,0.19,0.19,0.18,0.18,0.17,0.17,0.16,0.16,0.16,0.16,0.16,0.16,0.16,0.16,0.16,0.16,0.17,0.17,0.17,0.18,0.18,0.19,0.19,0.2,0.2,0.21,0.22,0.22,0.23,0.24,0.24,0.25,0.26,0.26,0.27,0.28,0.28,0.29,0.3,0.3,0.31,0.31,0.32,0.33,0.33,0.34,0.34,0.35,0.36,0.36,0.37,0.38,0.38,0.39,0.39,0.4,0.4,0.41,0.41,0.41,0.42,0.42,0.42,0.41,0.41,0.41,0.4,0.4,0.39,0.39,0.38,0.38,0.37,0.36,0.36,0.35,0.34,0.33,0.32,0.31,0.3,0.29,0.28,0.27,0.25,0.24,0.23,0.22,0.21,0.19,0.18,0.17,0.16,0.14,0.13,0.11,0.1,0.09,0.07,0.06,0.04,0.03,0.01,0.0,-0.02,-0.04,-0.05,-0.07,-0.08,-0.1,-0.11,-0.13,-0.14,-0.15,-0.16,-0.17,-0.18,-0.18,-0.19,-0.2,-0.2,-0.21,-0.22,-0.22,-0.23,-0.24,-0.24,-0.25,-0.25,-0.25,-0.26,-0.26,-0.26,-0.26,-0.26,-0.26,-0.27,-0.27,-0.27,-0.27,-0.27,-0.27,-0.27,-0.28,-0.28,-0.28,-0.28,-0.28,-0.29,-0.29,-0.29,-0.29,-0.29,-0.29,-0.29,-0.29,-0.29,-0.29,-0.29,-0.29,-0.29,-0.29,-0.29,-0.29,-0.3,-0.3,-0.3,-0.3,-0.31,-0.31,-0.32,-0.32,-0.32,-0.33,-0.33,-0.33,-0.34,-0.34,-0.35,-0.35,-0.36,-0.36,-0.37,-0.38,-0.39,-0.4,-0.41,-0.41,-0.42,-0.43,-0.44,-0.45,-0.45,-0.46,-0.47,-0.47,-0.48,-0.49,-0.5,-0.51,-0.52,-0.53,-0.53,-0.54,-0.55,-0.56,-0.57,-0.58,-0.59,-0.6,-0.61,-0.62,-0.63,-0.64,-0.65,-0.67,-0.68,-0.69,-0.7,-0.71,-0.72,-0.73,-0.74,-0.75,-0.76,-0.76,-0.77,-0.78,-0.79,-0.8,-0.8,-0.81,-0.82,-0.82,-0.82,-0.83,-0.83,-0.83,-0.83,-0.83,-0.83,-0.83,-0.83,-0.83,-0.83,-0.83,-0.83,-0.82,-0.82,-0.82,-0.81,-0.81,-0.81,-0.8,-0.8,-0.79,-0.79,-0.78,-0.77,-0.77,-0.76,-0.75,-0.74,-0.73,-0.72,-0.71,-0.7,-0.69,-0.68,-0.67,-0.66,-0.65,-0.64,-0.63,-0.62,-0.61,-0.6,-0.59,-0.58,-0.57,-0.56,-0.55,-0.54,-0.53,-0.52,-0.51,-0.5,-0.49,-0.49,-0.48,-0.47,-0.47,-0.46,-0.45,-0.44,-0.43,-0.42,-0.42,-0.41,-0.4,-0.39,-0.38,-0.38,-0.37,-0.37,-0.36,-0.35,-0.35,-0.34,-0.34,-0.34,-0.33,-0.33,-0.32,-0.32,-0.32,-0.32,-0.32,-0.32,-0.32,-0.32,-0.33,-0.33,-0.33,-0.33,-0.33,-0.33,-0.33,-0.33,-0.34,-0.34,-0.35,-0.35,-0.36,-0.36,-0.37,-0.38,-0.38,-0.39,-0.39,-0.4,-0.41,-0.41,-0.42,-0.43,-0.43,-0.44,-0.44,-0.45,-0.46,-0.46,-0.47,-0.47,-0.47,-0.47,-0.48,-0.48,-0.48,-0.48,-0.48,-0.48,-0.48,-0.48,-0.48,-0.48,-0.47,-0.47,-0.47,-0.47,-0.46,-0.46,-0.45,-0.45,-0.44,-0.44,-0.44,-0.43,-0.43,-0.42,-0.41,-0.41,-0.4,-0.39,-0.38,-0.37,-0.35,-0.34,-0.33,-0.31,-0.3,-0.29,-0.28,-0.26,-0.25,-0.24,-0.23,-0.22,-0.2,-0.19,-0.18,-0.17,-0.16,-0.15,-0.14,-0.14,-0.13,-0.13,-0.12,-0.12,-0.11,-0.11,-0.11,-0.1,-0.1,-0.1,-0.09,-0.09,-0.09,-0.08,-0.08,-0.08,-0.08,-0.07,-0.07,-0.07,-0.06,-0.06,-0.06,-0.06,-0.05,-0.05,-0.05,-0.05,-0.05,-0.05,-0.06,-0.06,-0.07,-0.07,-0.08,-0.08,-0.09,-0.09,-0.1,-0.1,-0.11,-0.12,-0.12,-0.13,-0.14,-0.14,-0.15,-0.16,-0.16,-0.17,-0.18,-0.18,-0.19,-0.2,-0.2,-0.21,-0.21,-0.22,-0.23,-0.23,-0.24,-0.24,-0.25,-0.26,-0.26,-0.27,-0.28,-0.29,-0.29,-0.3,-0.31,-0.31,-0.32,-0.33,-0.33,-0.34,-0.35,-0.35,-0.36,-0.37,-0.37,-0.37,-0.38,-0.38,-0.38,-0.39,-0.39,-0.39,-0.39,-0.4,-0.4,-0.4,-0.41,-0.41,-0.41,-0.41,-0.41,-0.41,-0.4,-0.4,-0.4,-0.39,-0.39,-0.39,-0.38,-0.38,-0.37,-0.37,-0.36,-0.35,-0.35,-0.34,-0.33,-0.32,-0.31,-0.31,-0.3,-0.29,-0.28,-0.27,-0.26,-0.25,-0.24,-0.23,-0.22,-0.21,-0.2,-0.19,-0.18,-0.17,-0.15,-0.14,-0.13,-0.11,-0.1,-0.09,-0.08,-0.06,-0.05,-0.03,-0.02,0.0,0.01,0.03,0.04,0.06,0.07,0.08,0.09,0.1,0.11,0.12,0.13,0.14,0.15,0.15,0.16,0.17,0.17,0.18,0.19,0.19,0.2,0.2,0.21,0.21,0.22,0.22,0.23,0.23,0.23,0.24,0.24,0.25,0.25,0.25,0.26,0.26,0.26,0.26,0.26,0.26,0.26,0.25,0.25,0.25,0.24,0.24,0.24,0.23,0.23,0.23,0.22,0.22,0.22,0.21,0.21,0.21,0.21,0.21,0.2,0.2,0.2,0.2,0.2,0.2,0.2,0.2,0.2,0.2,0.2,0.2,0.2,0.2,0.2,0.2,0.2,0.2,0.2,0.2,0.2,0.19,0.19,0.19,0.18,0.18,0.17</t>
  </si>
  <si>
    <t>To_Avoid_Formula,0.17,0.17,0.16,0.16,0.15,0.15,0.15,0.14,0.14,0.14,0.14,0.13,0.13,0.13,0.12,0.12,0.11,0.11,0.1,0.1,0.1,0.09,0.09,0.08,0.08,0.08,0.07,0.07,0.06,0.06,0.05,0.05,0.04,0.04,0.03,0.03,0.02,0.02,0.01,0.01,0.0,0.0,0.0,-0.01,-0.01,-0.02,-0.02,-0.03,-0.03,-0.04,-0.04,-0.04,-0.05,-0.05,-0.06,-0.06,-0.06,-0.07,-0.07,-0.07,-0.07,-0.08,-0.08,-0.08,-0.08,-0.08,-0.08,-0.08,-0.08,-0.08,-0.09,-0.09,-0.1,-0.1,-0.1,-0.11,-0.11,-0.11,-0.12,-0.12,-0.12,-0.13,-0.13,-0.14,-0.14,-0.14,-0.15,-0.15,-0.15,-0.15,-0.16,-0.16,-0.16,-0.16,-0.16,-0.16,-0.15,-0.15,-0.15,-0.15,-0.15,-0.15,-0.15,-0.14,-0.14,-0.14,-0.14,-0.14,-0.15,-0.15,-0.15,-0.15,-0.16,-0.16,-0.16,-0.17,-0.17,-0.18,-0.18,-0.18,-0.19,-0.19,-0.19,-0.19,-0.19,-0.19,-0.19,-0.19,-0.19,-0.18,-0.18,-0.18,-0.18,-0.18,-0.18,-0.18,-0.18,-0.18,-0.17,-0.17,-0.17,-0.17,-0.17,-0.17,-0.18,-0.18,-0.18,-0.18,-0.18,-0.18,-0.18,-0.18,-0.18,-0.17,-0.17,-0.17,-0.16,-0.16,-0.16,-0.15,-0.15,-0.14,-0.14,-0.13,-0.13,-0.13,-0.12,-0.12,-0.11,-0.11,-0.1,-0.1,-0.09,-0.09,-0.09,-0.08,-0.08,-0.08,-0.08,-0.08,-0.08,-0.07,-0.07,-0.07,-0.07,-0.07,-0.07,-0.07,-0.07,-0.07,-0.06,-0.06,-0.06,-0.06,-0.05,-0.05,-0.05,-0.05,-0.05,-0.04,-0.04,-0.04,-0.04,-0.04,-0.04,-0.04,-0.04,-0.04,-0.04,-0.04,-0.04,-0.03,-0.03,-0.03,-0.03,-0.03,-0.03,-0.03,-0.02,-0.02,-0.02,-0.02,-0.02,-0.02,-0.02,-0.01,-0.01,-0.01,-0.01,0.0,0.0,0.0,0.0,0.01,0.01,0.01,0.02,0.02,0.02,0.03,0.03,0.04,0.04,0.05,0.05,0.06,0.06,0.07,0.07,0.08,0.08,0.09,0.09,0.1,0.1,0.11,0.11,0.12,0.12,0.12,0.13,0.13,0.13,0.14,0.14,0.15,0.15,0.15,0.15,0.16,0.16,0.16,0.17,0.17,0.18,0.18,0.19,0.19,0.19,0.2,0.2,0.21,0.21,0.21,0.22,0.22,0.23,0.23,0.23,0.23,0.24,0.24,0.24,0.24,0.24,0.24,0.24,0.25,0.25,0.25,0.25,0.26,0.26,0.26,0.27,0.27,0.27,0.28,0.28,0.28,0.29,0.29,0.3,0.3,0.3,0.31,0.31,0.31,0.32,0.32,0.32,0.32,0.33,0.33,0.33,0.32,0.32,0.32,0.32,</t>
  </si>
  <si>
    <t>To_Avoid_Formula0.0,0.0,0.0,0.0,0.0,0.0,0.0,0.0,0.0,0.0,0.0,0.0,0.0,0.0,0.0,0.0,0.0,0.0,0.0,0.0,0.0,0.0,0.0,0.0,0.0,0.0,0.0,0.0,0.0,0.0,0.0,0.0,0.0,0.0,0.0,0.0,0.0,0.0,0.0,0.0,0.0,0.0,0.0,0.0,0.0,0.0,0.0,0.0,0.0,0.0,0.0,0.0,0.0,0.0,0.0,0.0,0.0,0.0,0.0,0.0,0.0,</t>
  </si>
  <si>
    <t>To_Avoid_Formula-0.25,-0.3,-0.34,-0.36,-0.35,-0.33,-0.31,-0.28,-0.25,-0.21,-0.16,-0.1,-0.02,0.06,0.13,0.2,0.26,0.31,0.35,0.38,0.39,0.38,0.37,0.34,0.32,0.29,0.26,0.23,0.19,0.15,0.11,0.07,0.02,-0.04,-0.11,-0.17,-0.23,-0.27,-0.3,-0.32,-0.33,-0.33,-0.32,-0.3,-0.28,-0.25,-0.22,-0.19,-0.15,-0.09,-0.01,0.1,0.22,0.35,0.48,0.62,0.75,0.86,0.92,0.94,0.92,0.87,0.78,0.68,0.58,0.48,0.38,0.28,0.2,0.14,0.08,0.03,-0.01,-0.05,-0.08,-0.11,-0.14,-0.15,-0.16,-0.15,-0.13,-0.1,-0.07,-0.05,-0.06,-0.09,-0.14,-0.19,-0.25,-0.29,-0.32,-0.32,-0.3,-0.27,-0.26,-0.25,-0.25,-0.28,-0.32,-0.38,-0.45,-0.53,-0.61,-0.68,-0.73,-0.76,-0.78,-0.79,-0.77,-0.72,-0.64,-0.52,-0.38,-0.22,-0.05,0.14,0.34,0.55,0.76,0.96,1.16,1.35,1.53,1.7,1.89,2.08,2.27,2.47,2.66,2.84,3.01,3.16,3.28,3.36,3.41,3.41,3.36,3.27,3.13,2.97,2.79,2.62,2.46,2.32,2.21,2.12,2.04,1.97,1.93,1.92,1.92,1.95,2.0,2.06,2.13,2.21,2.3,2.38,2.45,2.5,2.54,2.56,2.56,2.54,2.5,2.43,2.36,2.27,2.18,2.08,1.97,1.86,1.75,1.64,1.53,1.41,1.3,1.17,1.04,0.91,0.8,0.7,0.61,0.54,0.49,0.44,0.42,0.41,0.42,0.45,0.5,0.57,0.66,0.76,0.87,1.0,1.11,1.22,1.32,1.4,1.46,1.49,1.48,1.45,1.39,1.32,1.23,1.15,1.06,0.96,0.86,0.75,0.64,0.53,0.42,0.32,0.23,0.15,0.09,0.07,0.07,0.11,0.17,0.24,0.33,0.41,0.5,0.58,0.65,0.71,0.76,0.8,0.84,0.87,0.9,0.93,0.95,0.97,0.99,1.01,1.03,1.04,1.06,1.07,1.09,1.12,1.14,1.17,1.2,1.21,1.21,1.21,1.2,1.19,1.17,1.15,1.13,1.12,1.12,1.14,1.16,1.19,1.22,1.25,1.28,1.3,1.32,1.33,1.34,1.37,1.42,1.48,1.55,1.63,1.72,1.8,1.89,1.96,2.03,2.08,2.12,2.15,2.16,2.18,2.19,2.19,2.19,2.18,2.17,2.16,2.14,2.12,2.11,2.09,2.08,2.08,2.08,2.09,2.1,2.1,2.1,2.09,2.07,2.04,2.01,1.97,1.93,1.89,1.84,1.8,1.76,1.72,1.68,1.64,1.61,1.59,1.57,1.57,1.56,1.57,1.57,1.56,1.56,1.54,1.51,1.47,1.41,1.35,1.28,1.2,1.12,1.04,0.97,0.92,0.87,0.84,0.82,0.81,0.81,0.82,0.83,0.85,0.89,0.93,0.98,1.04,1.11,1.18,1.26,1.32,1.37,1.4,1.41,1.39,1.35,1.29,1.22,1.13,1.04,0.95,0.86,0.78,0.7,0.64,0.57,0.52,0.48,0.45,0.43,0.43,0.44,0.46,0.49,0.53,0.58,0.62,0.67,0.72,0.78,0.85,0.92,1.01,1.1,1.19,1.27,1.36,1.44,1.51,1.58,1.62,1.64,1.64,1.61,1.56,1.49,1.4,1.3,1.19,1.08,0.96,0.85,0.74,0.63,0.52,0.42,0.33,0.26,0.2,0.17,0.16,0.17,0.19,0.23,0.29,0.36,0.43,0.51,0.58,0.67,0.75,0.85,0.94,1.04,1.13,1.22,1.31,1.39,1.46,1.52,1.56,1.6,1.63,1.65,1.67,1.68,1.67,1.65,1.62,1.57,1.52,1.46,1.4,1.33,1.27,1.22,1.18,1.16,1.15,1.15,1.16,1.17,1.19,1.22,1.25,1.3,1.35,1.41,1.49,1.57,1.66,1.75,1.83,1.9,1.94,1.97,1.98,1.97,1.94,1.9,1.85,1.8,1.76,1.72,1.68,1.65,1.62,1.6,1.6,1.6,1.6,1.6,1.61,1.61,1.6,1.59,1.58,1.55,1.51,1.47,1.43,1.38,1.33,1.27,1.21,1.15,1.08,1.02,0.96,0.9,0.84,0.79,0.74,0.69,0.67,0.65,0.65,0.67,0.72,0.78,0.87,0.99,1.12,1.26,1.42,1.58,1.75,1.92,2.09,2.25,2.39,2.53,2.67,2.81,2.95,3.08,3.2,3.31,3.41,3.49,3.55,3.59,3.59,3.56,3.52,3.46,3.38,3.29,3.19,3.09,2.99,2.9,2.83,2.76,2.71,2.66,2.61,2.58,2.55,2.55,2.56,2.58,2.61,2.64,2.67,2.7,2.73,2.74,2.76,2.77,2.78,2.8,2.81,2.82,2.81,2.8,2.77,2.75,2.72,2.7,2.67,2.64,2.62,2.61,2.59,2.58,2.56,2.53,2.49,2.45,2.39,2.32,2.24,2.15,2.05,1.94,1.83,1.73,1.62,1.51,1.4,1.3,1.21,1.13,1.07,1.03,1.0,0.98,0.97,0.98,1.0,1.04,1.1,1.17,1.27,1.4,1.54,1.69,1.84,1.96,2.07,2.15,2.2,2.24,2.26,2.27,2.26,2.26,2.25,2.24,2.22,2.2,2.18,2.17,2.16,2.17,2.18,2.21,2.25,2.31,2.39,2.49,2.6,2.72,2.84,2.94,3.03,3.11,3.17,3.23,3.27,3.29,3.31,3.32,3.32,3.31,3.29,3.26,3.2,3.12,3.02,2.9,2.77,2.63,2.48,2.32,2.17,2.03,1.89,1.76,1.63,1.5,1.36,1.23,1.1,1.0,0.91,0.83,0.77,0.72,0.69,0.66,0.64,0.63,0.62,0.62,0.62,0.64,0.67,0.7,0.75,0.8,0.86,0.94,1.03,1.13,1.23,1.32,1.41,1.49,1.57,1.65,1.72,1.78,1.82,1.84,1.85,1.85,1.82,1.78,1.72,1.64,1.57,1.48,1.4,1.31,1.22,1.12,1.03,0.94,0.85,0.75,0.65,0.54,0.43,0.33,0.24,0.16,0.09,0.05,0.02,0.0,0.0,0.01,0.02,0.04,0.06,0.08,0.09,0.1,0.09,0.08,0.07,0.06,0.06,0.08,0.11,0.15,0.21,0.27,0.36,0.48,0.61,0.75,0.9,1.03,1.12,1.19,1.22,1.21,1.17,1.09,0.98,0.87,0.75,0.63,0.51,0.39,0.28,0.18,0.02,-0.05,-0.12,-0.19,-0.26,-0.33,-0.4,-0.46,-0.5,-0.53,-0.54,-0.53,-0.49,-0.43,-0.36,-0.29,-0.21,-0.14,-0.06,0.03,0.12,0.21,0.3</t>
  </si>
  <si>
    <t>To_Avoid_Formula,0.4,0.51,0.62,0.73,0.84,0.94,1.02,1.1,1.16,1.21,1.24,1.24,1.23,1.2,1.16,1.11,1.05,0.99,0.93,0.86,0.79,0.72,0.66,0.6,0.54,0.48,0.44,0.39,0.36,0.32,0.29,0.26,0.22,0.17,0.14,0.1,0.08,0.05,0.03,0.02,0.01,0.01,0.0,-0.01,-0.03,-0.05,-0.06,-0.07,-0.06,-0.03,0.03,0.12,0.22,0.34,0.47,0.61,0.73,0.83,0.92,0.98,1.03,1.05,1.05,1.02,0.97,0.9,0.81,0.71,0.61,0.5,0.4,0.31,0.21,0.13,0.05,-0.03,-0.09,-0.14,-0.17,-0.18,-0.18,-0.17,-0.15,-0.12,-0.09,-0.06,-0.02,0.02,0.08,0.14,0.21,0.27,0.32,0.36,0.39,0.4,0.39,0.35,0.29,0.21,0.12,0.03,-0.06,-0.15,-0.21,-0.24,-0.25,-0.23,-0.18,-0.12,-0.04,0.06,0.17,0.29,0.41,0.54,0.65,0.74,0.83,0.91,0.98,1.05,1.11,1.18,1.26,1.34,1.43,1.51,1.6,1.67,1.73,1.78,1.8,1.81,1.8,1.76,1.71,1.64,1.57,1.5,1.44,1.37,1.31,1.26,1.22,1.18,1.15,1.11,1.08,1.05,1.02,1.01,1.01,1.02,1.03,1.06,1.09,1.13,1.17,1.21,1.24,1.27,1.31,1.36,1.42,1.48,1.53,1.58,1.6,1.6,1.58,1.55,1.5,1.44,1.37,1.31,1.25,1.19,1.13,1.06,0.97,0.88,0.78,0.68,0.58,0.49,0.4,0.32,0.24,0.18,0.12,0.08,0.04,0.0,-0.03,-0.07,-0.09,-0.12,-0.15,-0.19,-0.22,-0.25,-0.28,-0.29,-0.29,-0.28,-0.26,-0.22,-0.17,-0.11,-0.04,0.03,0.09,0.14,0.18,0.2,0.21,0.2,0.18,0.13,0.06,-0.01,-0.08,-0.16,-0.25,-0.33,-0.41,-0.48,-0.54,-0.59,-0.62,-0.63,-0.61,-0.57,-0.52,-0.47,-0.43,-0.39,-0.35,-0.32,-0.31,-0.3,-0.29,-0.29,-0.29,-0.28,-0.26,-0.24,-0.21,-0.18,-0.16,-0.15,-0.15,-0.15,-0.17,-0.18,-0.2,-0.22,-0.22,</t>
  </si>
  <si>
    <t>To_Avoid_Formula0.93,0.87,0.89,0.9,0.85,0.79,0.72,0.61,0.47,0.37,0.3,0.16,-0.09,-0.28,-0.35,-0.43,-0.58,-0.67,-0.68,-0.7,-0.78,-0.84,-0.82,-0.81,-0.84,-0.86,-0.84,-0.85,-0.87,-0.85,-0.88,-1.02,-1.17,-1.24,-1.24,-1.29,-1.37,-1.37,-1.32,-1.31,-1.31,-1.24,-1.13,-1.05,-1.02,-0.96,-0.9,-0.91,-0.97,-1.01,-1.02,-1.1,-1.18,-1.17,-1.1,-1.07,-1.05,-0.95,-0.82,-0.79,-0.82,-0.84,-0.82,-0.81,-0.84,-0.85,-0.83,-0.85,-0.88,-0.87,-0.88,-0.92,-0.92,-0.83,-0.76,-0.83,-0.95,-1.03,-1.08,-1.19,-1.31,-1.34,-1.31,-1.34,-1.36,-1.21,-0.9,-0.55,-0.17,0.17,0.4,0.55,0.66,0.72,0.64,0.44,0.28,0.28,0.33,0.31,0.33,0.37,0.35,0.28,0.28,0.36,0.42,0.45,0.57,0.71,0.75,0.69,0.7,0.81,0.9,0.92,0.93,0.98,0.99,0.93,0.88,0.85,0.78,0.63,0.51,0.42,0.32,0.27,0.3,0.35,0.35,0.33,0.38,0.43,0.39,0.3,0.23,0.12,-0.02,-0.09,-0.06,0.02,0.1,0.19,0.24,0.25,0.27,0.31,0.27,0.17,0.11,0.07,0.0,-0.02,0.0,-0.05,-0.19,-0.21,-0.11,-0.05,-0.09,-0.08,-0.03,-0.01,-0.02,0.01,0.05,0.01,-0.11,-0.23,-0.3,-0.35,-0.34,-0.3,-0.28,-0.32,-0.3,-0.19,-0.13,-0.19,-0.29,-0.3,-0.28,-0.38,-0.51,-0.58,-0.59,-0.62,-0.62,-0.57,-0.5,-0.45,-0.34,-0.21,-0.11,-0.04,0.06,0.18,0.27,0.35,0.49,0.65,0.76,0.9,1.1,1.28,1.32,1.31,1.33,1.33,1.29,1.26,1.22,1.09,0.95,0.84,0.72,0.56,0.37,0.11,-0.13,-0.26,-0.32,-0.4,-0.49,-0.56,-0.61,-0.63,-0.65,-0.75,-0.87,-0.9,-0.87,-0.92,-0.99,-0.99,-0.94,-0.88,-0.87,-0.91,-0.92,-0.81,-0.63,-0.54,-0.55,-0.54,-0.5,-0.46,-0.39,-0.32,-0.29,-0.22,-0.11,-0.02,0.05,0.13,0.17,0.14,0.06,-0.03,-0.17,-0.27,-0.25,-0.16,-0.06,0.11,0.31,0.51,0.71,0.9,0.95,0.83,0.66,0.44,0.15,-0.12,-0.33,-0.51,-0.66,-0.78,-0.9,-0.99,-1.02,-1.06,-1.09,-1.02,-0.88,-0.74,-0.59,-0.43,-0.34,-0.23,-0.03,0.24,0.51,0.68,0.73,0.77,0.92,1.08,1.18,1.28,1.37,1.38,1.35,1.37,1.37,1.3,1.2,1.07,0.9,0.79,0.74,0.64,0.52,0.42,0.38,0.35,0.29,0.22,0.1,0.0,-0.11,-0.28,-0.42,-0.41,-0.35,-0.29,-0.21,-0.11,-0.07,-0.12,-0.2,-0.35,-0.55,-0.66,-0.6,-0.53,-0.49,-0.47,-0.46,-0.43,-0.36,-0.29,-0.34,-0.43,-0.41,-0.32,-0.28,-0.25,-0.15,-0.03,0.07,0.17,0.23,0.18,0.09,0.04,-0.02,-0.12,-0.2,-0.26,-0.37,-0.53,-0.66,-0.73,-0.78,-0.76,-0.7,-0.63,-0.54,-0.48,-0.55,-0.64,-0.6,-0.45,-0.35,-0.34,-0.3,-0.16,0.03,0.23,0.36,0.45,0.61,0.84,0.99,1.06,1.15,1.26,1.37,1.44,1.45,1.34,1.24,1.19,1.14,0.99,0.83,0.71,0.6,0.51,0.37,0.11,-0.25,-0.6,-0.93,-1.23,-1.51,-1.78,-2.0,-2.1,-2.11,-2.18,-2.23,-2.14,-2.03,-2.04,-2.04,-1.91,-1.69,-1.53,-1.37,-1.15,-0.92,-0.67,-0.38,-0.07,0.19,0.45,0.79,1.12,1.35,1.51,1.71,1.96,2.16,2.32,2.5,2.65,2.71,2.73,2.71,2.62,2.52,2.48,2.48,2.39,2.24,2.09,1.93,1.72,1.49,1.2,0.84,0.45,0.07,-0.29,-0.57,-0.79,-1.05,-1.33,-1.44,-1.46,-1.55,-1.66,-1.65,-1.58,-1.6,-1.62,-1.51,-1.36,-1.28,-1.17,-0.96,-0.79,-0.76,-0.81,-0.77,-0.65,-0.56,-0.51,-0.42,-0.28,-0.14,0.03,0.22,0.37,0.37,0.34,0.43,0.6,0.74,0.88,1.02,1.07,1.03,1.02,1.1,1.11,0.92,0.72,0.64,0.59,0.52,0.48,0.52,0.56,0.58,0.63,0.74,0.8,0.77,0.73,0.77,0.77,0.65,0.52,0.47,0.46,0.43,0.38,0.3,0.14,-0.09,-0.28,-0.4,-0.56,-0.79,-0.95,-0.97,-0.93,-0.89,-0.81,-0.71,-0.71,-0.8,-0.84,-0.83,-0.89,-1.03,-1.21,-1.32,-1.35,-1.37,-1.42,-1.61,-1.92,-2.28,-2.49,-2.56,-2.54,-2.37,-2.02,-1.7,-1.61,-1.77,-1.92,-1.88,-1.71,-1.53,-1.4,-1.22,-0.95,-0.62,-0.26,0.13,0.52,0.85,1.16,1.47,1.66,1.65,1.49,1.37,1.38,1.41,1.42,1.43,1.44,1.42,1.43,1.49,1.54,1.51,1.45,1.46,1.45,1.3,1.04,0.78,0.48,0.13,-0.22,-0.53,-0.84,-1.24,-1.66,-2.0,-2.37,-2.81,-3.24,-3.54,-3.76,-3.95,-4.09,-4.14,-4.05,-3.81,-3.45,-3.15,-3.03,-2.87,-2.54,-2.0,-1.45,-0.93,-0.31,0.33,0.87,1.34,1.87,2.39,2.85,3.26,3.65,4.01,4.31,4.61,4.87,4.97,4.87,4.72,4.67,4.64,4.51,4.35,4.26,4.2,4.13,4.09,4.12,4.11,3.97,3.84,3.72,3.53,3.25,3.02,2.93,2.81,2.57,2.29,2.05,1.8,1.53,1.26,1.04,0.84,0.61,0.4,0.29,0.19,0.06,-0.01,0.05,0.12,0.1,0.06,0.03,-0.04,-0.23,-0.44,-0.56,-0.63,-0.71,-0.82,-0.95,-1.11,-1.32,-1.47,-1.5,-1.52,-1.64,-1.78,-1.83,-1.87,-1.93,-1.96,-2.0,-2.17,-2.39,-2.5,-2.53,-2.62,-2.81,-2.94,-2.89,-2.72,-2.61,-2.58,-2.58,-2.54,-2.43,-2.28,-2.08,-1.86,-1.63,-1.37,-1.12,-0.91,-0.68,-0.36,-0.02,0.24,0.37,0.49,0.6,0</t>
  </si>
  <si>
    <t>To_Avoid_Formula.61,0.54,0.49,0.41,0.22,0.0,-0.15,-0.26,-0.42,-0.58,-0.69,-0.8,-1.01,-1.15,-1.13,-1.06,-1.09,-1.12,-1.0,-0.81,-0.7,-0.61,-0.46,-0.25,-0.01,0.26,0.56,0.85,1.08,1.29,1.49,1.62,1.57,1.44,1.4,1.4,1.27,1.08,0.97,0.95,0.9,0.81,0.8,0.73,0.62,0.56,0.49,0.33,0.13,-0.05,-0.23,-0.5,-0.81,-1.14,-1.51,-1.96,-2.32,-2.64,-2.92,-3.2,-3.5,-3.7,-3.82,-3.91,-3.96,-3.95,-3.97,-4.07,-4.19,-4.16,-4.05,-3.94,-3.79,-3.55,-3.29,-3.02,-2.7,-2.27,-1.75,-1.24,-0.77,-0.34,0.01,0.32,0.65,0.97,1.18,1.29,1.46,1.64,1.72,1.68,1.69,1.68,1.59,1.4,1.26,1.26,1.23,1.05,0.77,0.47,0.21,-0.02,-0.25,-0.48,-0.7,-0.86,-0.87,-0.84,-0.81,-0.74,-0.58,-0.35,-0.21,-0.17,-0.06,0.15,0.35,0.52,0.79,1.13,1.42,1.71,2.1,2.49,2.76,2.97,3.29,3.61,3.74,3.75,3.83,4.02,4.16,4.21,4.23,4.26,4.21,4.03,3.84,3.7,3.54,3.32,3.09,2.79,2.42,2.08,1.86,1.63,1.25,0.85,0.55,0.27,-0.06,-0.31,-0.43,-0.53,-0.73,-0.93,-1.05,-1.15,-1.22,-1.22,-1.1,-0.97,-0.95,-0.9,-0.73,-0.5,-0.34,-0.17,0.02,0.11,0.07,0.05,0.1,0.1,0.05,0.0,0.07,0.19,0.28,0.39,0.6,0.81,0.97,1.15,1.39,1.55,1.53,1.46,1.43,1.35,1.25,1.16,1.06,0.83,0.46,0.1,-0.19,-0.48,-0.75,-0.96,-1.15,-1.36,-1.49,-1.5,-1.48,-1.57,-1.67,-1.65,-1.55,-1.5,-1.54,-1.52,-1.32,-1.11,-1.09,-1.19,-1.28,-1.4,-1.62,-1.83,-2.03,-2.14,-2.12,-1.96,-1.8,-1.71,-1.61,-1.4,-1.04,-0.67,-0.42,-0.31,-0.26,-0.16,-0.03,0.09,0.09,-0.06,-0.17,-0.19,-0.27,-0.43,-0.65,-0.81,-0.85,-0.92,-0.94,-0.87,-0.68,-0.55,-0.5,-0.56,-0.71,-0.79,-0.74,-0.6,-0.58,-0.61,-0.59,-0.5,-0.44,-0.43,-0.36,-0.28,-0.27,-0.33,-0.33,-0.22,-0.08,-0.08,-0.12,-0.04,0.11,0.22,0.29,0.34,0.39,0.41,0.41,0.45,0.52,0.58,0.62,0.65,0.68,0.69,0.74,0.81,0.79,0.65,0.49,0.38,0.36,0.39,0.39,0.38,0.38,0.4,0.37,0.31,0.21,0.13,0.17,0.26,0.22,0.03,-0.12,-0.19,-0.23,-0.28,-0.29,-0.25,-0.22,-0.19,-0.14,-0.06,-0.01,0.0,0.05,</t>
  </si>
  <si>
    <t>To_Avoid_Formula1.7,1.73,1.83,1.92,1.99,2.06,2.12,2.13,2.1,2.12,2.22,2.27,2.24,2.23,2.32,2.39,2.38,2.42,2.52,2.59,2.58,2.56,2.6,2.63,2.62,2.65,2.7,2.7,2.7,2.76,2.84,2.83,2.79,2.83,2.91,2.94,2.93,2.96,2.98,2.9,2.77,2.71,2.69,2.66,2.63,2.66,2.71,2.71,2.7,2.74,2.78,2.73,2.64,2.62,2.64,2.59,2.54,2.57,2.66,2.69,2.67,2.68,2.73,2.78,2.79,2.79,2.76,2.65,2.52,2.47,2.44,2.36,2.28,2.29,2.3,2.21,2.08,1.98,1.89,1.75,1.6,1.51,1.43,1.3,1.21,1.26,1.37,1.46,1.57,1.73,1.86,1.92,1.93,1.96,1.9,1.73,1.56,1.55,1.59,1.59,1.6,1.64,1.62,1.55,1.53,1.58,1.6,1.59,1.64,1.7,1.67,1.53,1.42,1.37,1.31,1.22,1.17,1.18,1.16,1.09,1.04,1.02,0.94,0.79,0.64,0.52,0.38,0.24,0.18,0.2,0.24,0.31,0.45,0.56,0.57,0.55,0.53,0.5,0.43,0.38,0.37,0.35,0.34,0.35,0.34,0.28,0.22,0.2,0.17,0.1,0.04,-0.02,-0.1,-0.16,-0.16,-0.25,-0.44,-0.55,-0.54,-0.56,-0.66,-0.7,-0.69,-0.68,-0.68,-0.64,-0.6,-0.64,-0.74,-0.82,-0.89,-0.99,-1.09,-1.15,-1.21,-1.3,-1.37,-1.33,-1.27,-1.27,-1.25,-1.16,-1.06,-1.08,-1.13,-1.13,-1.15,-1.24,-1.32,-1.36,-1.37,-1.39,-1.35,-1.27,-1.22,-1.19,-1.14,-1.03,-0.93,-0.83,-0.69,-0.51,-0.36,-0.2,-0.01,0.16,0.23,0.28,0.36,0.4,0.39,0.4,0.41,0.35,0.25,0.15,0.04,-0.12,-0.29,-0.51,-0.74,-0.9,-0.98,-1.05,-1.1,-1.11,-1.13,-1.16,-1.18,-1.28,-1.43,-1.53,-1.57,-1.66,-1.78,-1.85,-1.89,-1.9,-1.89,-1.89,-1.9,-1.83,-1.71,-1.64,-1.63,-1.58,-1.52,-1.49,-1.44,-1.4,-1.39,-1.36,-1.26,-1.18,-1.13,-1.08,-1.05,-1.06,-1.06,-1.06,-1.11,-1.16,-1.14,-1.09,-1.07,-1.03,-0.95,-0.91,-0.9,-0.9,-0.96,-1.07,-1.17,-1.27,-1.41,-1.52,-1.59,-1.65,-1.69,-1.72,-1.76,-1.79,-1.8,-1.84,-1.9,-1.88,-1.8,-1.72,-1.61,-1.49,-1.43,-1.37,-1.21,-0.99,-0.77,-0.6,-0.48,-0.37,-0.18,0.04,0.21,0.35,0.51,0.61,0.65,0.7,0.75,0.76,0.76,0.72,0.61,0.52,0.5,0.46,0.37,0.27,0.16,0.05,-0.05,-0.14,-0.26,-0.37,-0.47,-0.61,-0.73,-0.72,-0.67,-0.63,-0.56,-0.47,-0.43,-0.47,-0.49,-0.55,-0.67,-0.74,-0.72,-0.67,-0.63,-0.57,-0.54,-0.56,-0.56,-0.52,-0.51,-0.54,-0.46,-0.32,-0.23,-0.17,-0.06,0.07,0.19,0.29,0.34,0.27,0.17,0.12,0.09,0.03,0.0,0.01,-0.05,-0.16,-0.24,-0.26,-0.26,-0.23,-0.17,-0.1,0.01,0.13,0.18,0.16,0.21,0.35,0.48,0.57,0.65,0.74,0.83,0.96,1.07,1.12,1.21,1.36,1.48,1.54,1.61,1.7,1.8,1.9,1.97,1.92,1.83,1.76,1.69,1.55,1.37,1.2,0.98,0.8,0.65,0.45,0.14,-0.17,-0.48,-0.74,-0.98,-1.25,-1.53,-1.71,-1.81,-1.96,-2.09,-2.06,-1.98,-2.0,-2.0,-1.92,-1.73,-1.56,-1.41,-1.18,-0.93,-0.66,-0.36,-0.01,0.33,0.67,1.05,1.44,1.73,1.94,2.18,2.46,2.69,2.87,3.02,3.13,3.19,3.23,3.23,3.12,2.98,2.89,2.85,2.74,2.58,2.44,2.3,2.12,1.93,1.72,1.46,1.16,0.87,0.58,0.32,0.11,-0.13,-0.38,-0.52,-0.6,-0.74,-0.85,-0.84,-0.8,-0.86,-0.93,-0.88,-0.76,-0.7,-0.63,-0.47,-0.33,-0.3,-0.34,-0.32,-0.27,-0.24,-0.22,-0.17,-0.08,-0.01,0.1,0.23,0.32,0.29,0.23,0.29,0.41,0.53,0.63,0.77,0.9,1.01,1.14,1.35,1.53,1.6,1.68,1.82,1.93,1.97,2.04,2.19,2.3,2.36,2.39,2.46,2.51,2.46,2.37,2.33,2.27,2.14,2.02,1.98,1.96,1.9,1.83,1.79,1.71,1.57,1.43,1.32,1.16,0.94,0.78,0.73,0.71,0.67,0.68,0.72,0.69,0.59,0.52,0.52,0.47,0.36,0.24,0.14,0.07,-0.03,-0.14,-0.31,-0.62,-1.01,-1.33,-1.53,-1.65,-1.63,-1.45,-1.27,-1.27,-1.46,-1.65,-1.72,-1.72,-1.73,-1.76,-1.73,-1.62,-1.45,-1.26,-1.06,-0.85,-0.67,-0.48,-0.27,-0.16,-0.2,-0.35,-0.44,-0.44,-0.46,-0.47,-0.44,-0.39,-0.37,-0.33,-0.27,-0.24,-0.29,-0.34,-0.32,-0.35,-0.53,-0.79,-1.01,-1.2,-1.43,-1.67,-1.86,-2.09,-2.43,-2.83,-3.19,-3.59,-4.06,-4.55,-4.99,-5.42,-5.8,-6.1,-6.28,-6.39,-6.4,-6.29,-6.16,-6.11,-6.05,-5.88,-5.53,-5.14,-4.78,-4.28,-3.77,-3.33,-2.91,-2.41,-1.92,-1.46,-1.02,-0.54,-0.03,0.43,0.87,1.3,1.64,1.85,2.03,2.25,2.49,2.66,2.82,3.05,3.3,3.52,3.76,4.0,4.14,4.2,4.3,4.42,4.42,4.3,4.21,4.26,4.29,4.24,4.15,4.11,4.08,4.01,3.94,3.92,3.89,3.79,3.7,3.68,3.66,3.6,3.58,3.67,3.79,3.84,3.87,3.96,4.03,4.02,3.99,4.0,4.04,4.08,4.11,4.15,4.13,4.02,3.9,3.86,3.83,3.71,3.57,3.49,3.38,3.22,3.09,2.97,2.75,2.46,2.22,2.04,1.81,1.53,1.3,1.21,1.2,1.17,1.1,1.02,0.97,0.99,1.09,1.2,1.27,1.35,1.5,1.71,1.91,2.13,2.42,2.76,3.03,3.24,3.45,3.63,3.68,3.64,3.63,3.58,3.41,3.22,3.07,2.96,2.78,2.6,2.49,2.41,2.22,2.04,1.96,1.92,1.83,1.74,1.76,1.8,1.</t>
  </si>
  <si>
    <t>To_Avoid_Formula78,1.74,1.75,1.76,1.77,1.83,1.92,1.99,2.01,2.04,2.15,2.24,2.19,2.05,1.99,1.97,1.88,1.73,1.66,1.63,1.57,1.47,1.46,1.4,1.31,1.25,1.17,1.01,0.79,0.59,0.42,0.17,-0.12,-0.39,-0.7,-1.08,-1.45,-1.82,-2.19,-2.61,-3.08,-3.5,-3.88,-4.27,-4.65,-4.96,-5.25,-5.57,-5.87,-6.04,-6.17,-6.3,-6.39,-6.37,-6.32,-6.26,-6.18,-6.02,-5.8,-5.55,-5.31,-5.09,-4.94,-4.79,-4.6,-4.4,-4.25,-4.17,-4.06,-3.95,-3.95,-4.06,-4.12,-4.2,-4.39,-4.66,-4.95,-5.12,-5.32,-5.61,-5.92,-6.23,-6.55,-6.88,-7.18,-7.4,-7.61,-7.82,-7.92,-7.95,-7.95,-7.89,-7.76,-7.56,-7.4,-7.29,-7.11,-6.87,-6.69,-6.54,-6.34,-6.07,-5.81,-5.54,-5.19,-4.82,-4.54,-4.3,-3.98,-3.62,-3.37,-3.19,-2.92,-2.57,-2.25,-2.02,-1.8,-1.53,-1.29,-1.14,-0.99,-0.81,-0.67,-0.6,-0.53,-0.49,-0.54,-0.64,-0.68,-0.74,-0.92,-1.16,-1.34,-1.51,-1.72,-1.9,-2.0,-2.05,-2.16,-2.25,-2.26,-2.28,-2.31,-2.28,-2.17,-2.04,-2.03,-2.04,-1.93,-1.76,-1.62,-1.46,-1.23,-1.04,-0.93,-0.81,-0.6,-0.4,-0.23,-0.06,0.17,0.4,0.6,0.85,1.19,1.54,1.81,2.08,2.42,2.71,2.83,2.9,3.02,3.11,3.14,3.15,3.17,3.15,3.04,2.9,2.79,2.67,2.56,2.5,2.47,2.4,2.32,2.32,2.37,2.33,2.23,2.18,2.2,2.19,2.12,2.11,2.23,2.37,2.42,2.41,2.42,2.37,2.25,2.12,2.01,1.89,1.83,1.91,2.02,2.08,2.12,2.24,2.44,2.66,2.82,2.94,3.08,3.25,3.44,3.62,3.74,3.75,3.76,3.8,3.72,3.51,3.19,2.89,2.66,2.39,2.16,2.0,1.93,1.84,1.74,1.6,1.41,1.24,1.16,1.18,1.17,1.13,1.13,1.2,1.25,1.28,1.38,1.51,1.55,1.51,1.48,1.51,1.57,1.55,1.51,1.53,1.59,1.65,1.69,1.74,1.78,1.77,1.76,1.78,1.8,1.8,1.81,1.85,1.89,1.87,1.86,1.88,1.83,1.67,1.47,1.28,1.1,0.93,0.79,0.7,0.61,0.52,0.43,0.34,0.22,0.12,0.15,0.23,0.22,0.1,0.0,-0.02,-0.03,-0.06,-0.06,-0.03,-0.01,-0.02,-0.01,0.02,0.01,-0.01,-0.01,</t>
  </si>
  <si>
    <t>To_Avoid_Formula1.14,0.96,0.82,0.71,0.6,0.51,0.42,0.28,0.11,0.02,0.03,0.04,-0.01,-0.03,0.01,0.02,-0.03,-0.05,-0.02,-0.03,-0.15,-0.28,-0.37,-0.48,-0.59,-0.63,-0.66,-0.77,-0.88,-0.86,-0.77,-0.75,-0.75,-0.68,-0.58,-0.54,-0.54,-0.54,-0.6,-0.81,-1.08,-1.29,-1.43,-1.57,-1.65,-1.62,-1.56,-1.52,-1.45,-1.31,-1.18,-1.17,-1.22,-1.23,-1.2,-1.26,-1.32,-1.29,-1.16,-1.07,-1.02,-0.92,-0.76,-0.61,-0.5,-0.43,-0.44,-0.58,-0.71,-0.73,-0.7,-0.71,-0.75,-0.72,-0.67,-0.65,-0.67,-0.68,-0.67,-0.69,-0.72,-0.71,-0.72,-0.78,-0.76,-0.64,-0.56,-0.57,-0.59,-0.49,-0.35,-0.29,-0.28,-0.21,-0.16,-0.21,-0.28,-0.22,-0.07,0.04,0.15,0.26,0.33,0.34,0.38,0.47,0.53,0.54,0.58,0.61,0.56,0.39,0.22,0.08,-0.07,-0.21,-0.24,-0.2,-0.18,-0.2,-0.19,-0.13,-0.13,-0.22,-0.31,-0.37,-0.46,-0.57,-0.61,-0.52,-0.34,-0.08,0.21,0.45,0.57,0.65,0.75,0.83,0.88,0.89,0.88,0.82,0.75,0.72,0.68,0.59,0.47,0.43,0.45,0.44,0.42,0.39,0.33,0.3,0.31,0.24,0.05,-0.08,-0.1,-0.13,-0.22,-0.24,-0.2,-0.15,-0.07,0.04,0.11,0.11,0.08,0.08,0.08,-0.02,-0.16,-0.26,-0.31,-0.4,-0.46,-0.43,-0.31,-0.18,0.01,0.25,0.46,0.55,0.63,0.7,0.71,0.59,0.46,0.38,0.33,0.27,0.27,0.32,0.35,0.34,0.36,0.45,0.55,0.64,0.74,0.88,1.0,1.11,1.2,1.25,1.22,1.2,1.21,1.17,1.06,0.97,0.91,0.79,0.62,0.43,0.23,0.01,-0.21,-0.42,-0.66,-0.84,-0.94,-0.97,-0.94,-0.87,-0.84,-0.83,-0.81,-0.87,-1.01,-1.13,-1.17,-1.23,-1.31,-1.37,-1.42,-1.4,-1.3,-1.18,-1.1,-1.0,-0.86,-0.75,-0.66,-0.53,-0.41,-0.35,-0.29,-0.24,-0.24,-0.22,-0.12,-0.03,0.0,0.01,0.02,0.03,0.08,0.18,0.21,0.2,0.23,0.24,0.16,0.07,0.0,-0.13,-0.33,-0.54,-0.73,-0.84,-0.87,-0.85,-0.81,-0.74,-0.62,-0.52,-0.42,-0.3,-0.2,-0.13,-0.05,-0.04,-0.08,-0.06,0.02,0.09,0.18,0.29,0.32,0.35,0.45,0.61,0.74,0.85,0.96,1.05,1.2,1.37,1.47,1.52,1.6,1.63,1.57,1.5,1.44,1.37,1.31,1.21,1.02,0.83,0.73,0.63,0.48,0.27,0.03,-0.23,-0.43,-0.57,-0.71,-0.84,-0.94,-1.05,-1.12,-1.08,-1.02,-0.97,-0.9,-0.81,-0.77,-0.78,-0.76,-0.71,-0.72,-0.73,-0.7,-0.65,-0.57,-0.46,-0.39,-0.43,-0.49,-0.46,-0.39,-0.32,-0.18,0.01,0.16,0.23,0.33,0.46,0.56,0.61,0.59,0.45,0.29,0.21,0.19,0.16,0.17,0.22,0.2,0.14,0.11,0.16,0.22,0.28,0.35,0.41,0.53,0.72,0.86,0.87,0.91,1.02,1.14,1.26,1.32,1.3,1.22,1.2,1.2,1.14,1.05,1.02,1.0,0.93,0.87,0.81,0.77,0.76,0.76,0.64,0.43,0.23,0.05,-0.19,-0.45,-0.73,-1.08,-1.35,-1.51,-1.63,-1.83,-2.04,-2.21,-2.3,-2.36,-2.45,-2.58,-2.65,-2.61,-2.62,-2.58,-2.38,-2.1,-1.91,-1.71,-1.46,-1.12,-0.79,-0.48,-0.12,0.24,0.59,0.95,1.36,1.75,2.11,2.44,2.76,2.97,3.07,3.16,3.24,3.28,3.23,3.1,2.91,2.7,2.51,2.26,1.9,1.5,1.14,0.87,0.55,0.2,-0.08,-0.32,-0.58,-0.82,-1.03,-1.24,-1.46,-1.65,-1.84,-2.01,-2.13,-2.23,-2.32,-2.35,-2.35,-2.36,-2.31,-2.14,-1.95,-1.89,-1.86,-1.7,-1.46,-1.28,-1.11,-0.9,-0.69,-0.56,-0.5,-0.43,-0.36,-0.31,-0.26,-0.18,-0.1,-0.04,0.04,0.14,0.19,0.13,0.06,0.09,0.18,0.25,0.3,0.42,0.58,0.78,0.98,1.25,1.5,1.72,1.97,2.22,2.35,2.38,2.43,2.54,2.59,2.51,2.38,2.26,2.13,1.91,1.63,1.37,1.13,0.88,0.68,0.56,0.44,0.27,0.13,0.07,0.02,-0.07,-0.18,-0.29,-0.45,-0.64,-0.76,-0.79,-0.82,-0.88,-0.89,-0.84,-0.85,-0.91,-0.93,-0.88,-0.86,-0.85,-0.84,-0.82,-0.84,-0.91,-0.95,-1.0,-1.15,-1.41,-1.63,-1.74,-1.76,-1.66,-1.44,-1.22,-1.13,-1.16,-1.2,-1.17,-1.13,-1.14,-1.15,-1.08,-0.95,-0.79,-0.65,-0.52,-0.41,-0.32,-0.2,-0.06,-0.02,-0.1,-0.23,-0.29,-0.28,-0.32,-0.33,-0.27,-0.18,-0.11,-0.04,0.02,0.02,-0.08,-0.14,-0.11,-0.17,-0.39,-0.63,-0.77,-0.81,-0.85,-0.87,-0.86,-0.88,-1.02,-1.23,-1.42,-1.62,-1.86,-2.1,-2.34,-2.62,-2.82,-2.86,-2.76,-2.64,-2.49,-2.25,-1.91,-1.58,-1.28,-0.96,-0.53,-0.07,0.34,0.83,1.31,1.7,2.04,2.45,2.82,3.13,3.4,3.74,4.11,4.39,4.62,4.83,4.99,5.07,5.11,5.16,5.19,5.18,5.18,5.23,5.27,5.26,5.26,5.17,4.93,4.64,4.44,4.28,3.96,3.5,3.08,2.79,2.54,2.23,1.93,1.7,1.5,1.27,1.06,0.91,0.75,0.49,0.23,0.06,-0.12,-0.34,-0.53,-0.61,-0.64,-0.75,-0.83,-0.82,-0.78,-0.79,-0.82,-0.82,-0.83,-0.83,-0.78,-0.71,-0.71,-0.83,-1.0,-1.13,-1.24,-1.4,-1.57,-1.69,-1.86,-2.11,-2.31,-2.44,-2.63,-2.89,-3.12,-3.31,-3.49,-3.67,-3.77,-3.76,-3.71,-3.65,-3.57,-3.48,-3.38,-3.18,-2.91,-2.65,-2.5,-2.37,-2.13,-1.78,-1.44,-1.09,-0.71,-0.31,</t>
  </si>
  <si>
    <t>To_Avoid_Formula0.04,0.35,0.66,0.9,0.98,0.96,0.98,0.94,0.8,0.65,0.55,0.48,0.35,0.22,0.19,0.24,0.19,0.09,0.02,0.0,0.0,0.0,0.05,0.08,0.04,0.0,-0.01,-0.07,-0.17,-0.22,-0.23,-0.3,-0.43,-0.49,-0.4,-0.3,-0.32,-0.41,-0.45,-0.41,-0.42,-0.44,-0.41,-0.36,-0.36,-0.31,-0.23,-0.2,-0.21,-0.19,-0.19,-0.26,-0.39,-0.48,-0.52,-0.6,-0.7,-0.74,-0.77,-0.86,-0.98,-1.12,-1.29,-1.51,-1.78,-2.03,-2.25,-2.5,-2.76,-2.91,-2.99,-3.02,-2.99,-2.85,-2.68,-2.55,-2.37,-2.09,-1.78,-1.49,-1.21,-0.93,-0.64,-0.33,-0.03,0.23,0.41,0.59,0.8,1.03,1.24,1.37,1.51,1.59,1.56,1.43,1.34,1.21,1.0,0.68,0.34,0.08,-0.19,-0.47,-0.69,-0.86,-1.06,-1.31,-1.46,-1.44,-1.43,-1.45,-1.39,-1.25,-1.05,-0.78,-0.48,-0.15,0.16,0.47,0.8,1.13,1.35,1.48,1.61,1.79,1.96,2.11,2.3,2.49,2.6,2.65,2.74,2.87,2.96,3.0,3.11,3.28,3.4,3.41,3.42,3.51,3.59,3.62,3.65,3.69,3.66,3.56,3.48,3.39,3.22,2.94,2.66,2.39,2.04,1.62,1.25,0.92,0.56,0.21,-0.06,-0.26,-0.45,-0.59,-0.65,-0.73,-0.85,-0.92,-0.92,-0.92,-1.06,-1.24,-1.32,-1.32,-1.33,-1.32,-1.21,-1.06,-0.97,-0.87,-0.68,-0.46,-0.26,-0.07,0.11,0.24,0.33,0.47,0.71,0.91,0.99,1.06,1.18,1.26,1.18,1.05,0.99,0.93,0.77,0.57,0.42,0.33,0.23,0.07,-0.09,-0.23,-0.35,-0.41,-0.42,-0.46,-0.59,-0.67,-0.68,-0.75,-0.92,-1.07,-1.17,-1.28,-1.4,-1.45,-1.4,-1.35,-1.31,-1.24,-1.14,-1.09,-1.12,-1.13,-1.12,-1.18,-1.24,-1.17,-1.05,-0.96,-0.9,-0.83,-0.72,-0.64,-0.55,-0.41,-0.19,0.04,0.26,0.46,0.65,0.77,0.85,0.9,0.78,0.5,0.08,-0.33,-0.68,-1.06,-1.4,-1.66,-1.85,-2.02,-2.12,-2.18,-2.23,-2.3,-2.32,-2.21,-2.07,-1.93,-1.76,-1.54,-1.33,-1.11,-0.82,-0.5,-0.3,-0.21,-0.15,-0.07,0.02,0.09,0.14,0.21,0.28,0.36,0.46,0.59,0.68,0.7,0.73,0.79,0.82,0.79,0.81,0.91,0.99,0.96,0.92,0.91,0.84,0.69,0.51,0.29,0.01,-0.27,-0.45,-0.52,-0.6,-0.68,-0.73,-0.73,-0.75,-0.74,-0.61,-0.42,-0.29,-0.25,-0.18,-0.05,0.08,0.17,0.28,0.39,0.48,0.53,0.57,0.61,0.62,0.61,0.64,</t>
  </si>
  <si>
    <t>To_Avoid_Formula-0.51,-0.33,-0.13,0.01,0.12,0.26,0.48,0.75,0.94,1.06,1.1,1.04,0.89,0.7,0.55,0.4,0.16,-0.12,-0.35,-0.49,-0.56,-0.6,-0.61,-0.59,-0.58,-0.54,-0.4,-0.15,0.11,0.23,0.21,0.14,0.08,-0.02,-0.14,-0.28,-0.48,-0.65,-0.73,-0.64,-0.44,-0.23,-0.06,0.07,0.21,0.38,0.6,0.78,0.86,0.87,0.88,0.96,1.03,1.01,0.91,0.77,0.63,0.46,0.25,0.07,-0.07,-0.23,-0.36,-0.43,-0.46,-0.44,-0.38,-0.28,-0.21,-0.26,-0.41,-0.59,-0.68,-0.67,-0.65,-0.7,-0.74,-0.73,-0.7,-0.69,-0.74,-0.85,-1.0,-1.15,-1.28,-1.28,-1.09,-0.81,-0.48,-0.23,-0.02,0.23,0.48,0.64,0.7,0.75,0.8,0.81,0.78,0.77,0.74,0.52,0.1,-0.38,-0.7,-0.86,-1.02,-1.18,-1.19,-1.03,-0.84,-0.68,-0.45,-0.09,0.32,0.64,0.86,1.07,1.26,1.4,1.48,1.54,1.58,1.58,1.57,1.57,1.56,1.53,1.45,1.24,0.94,0.63,0.37,0.16,-0.02,-0.19,-0.36,-0.57,-0.82,-1.01,-1.07,-1.06,-1.1,-1.19,-1.18,-1.0,-0.67,-0.41,-0.31,-0.26,-0.16,0.0,0.18,0.41,0.55,0.58,0.54,0.54,0.59,0.64,0.63,0.56,0.53,0.57,0.61,0.6,0.6,0.61,0.55,0.42,0.34,0.34,0.39,0.41,0.39,0.39,0.45,0.53,0.53,0.43,0.21,-0.03,-0.23,-0.41,-0.56,-0.72,-0.89,-1.06,-1.19,-1.25,-1.3,-1.39,-1.48,-1.46,-1.3,-1.01,-0.73,-0.54,-0.36,-0.13,0.08,0.16,0.11,0.06,0.09,0.14,0.14,0.07,0.04,0.04,0.06,0.08,0.1,0.15,0.22,0.32,0.42,0.56,0.62,0.54,0.45,0.49,0.59,0.58,0.46,0.28,0.16,0.13,0.1,0.02,-0.04,-0.03,-0.03,-0.06,-0.02,0.05,0.1,0.1,0.06,0.03,0.08,0.17,0.25,0.29,0.25,0.11,-0.06,-0.17,-0.2,-0.21,-0.26,-0.35,-0.41,-0.36,-0.19,-0.05,-0.03,-0.11,-0.23,-0.34,-0.43,-0.48,-0.5,-0.47,-0.33,-0.13,0.11,0.46,0.93,1.42,1.74,1.85,1.92,1.96,1.96,1.93,1.83,1.66,1.43,1.06,0.61,0.13,-0.39,-0.97,-1.53,-1.93,-2.09,-2.11,-2.02,-1.83,-1.59,-1.31,-1.02,-0.73,-0.39,-0.12,0.0,0.1,0.17,0.18,0.18,0.2,0.17,0.12,0.13,0.19,0.19,0.12,-0.03,-0.2,-0.23,-0.1,0.01,0.02,0.07,0.2,0.4,0.67,0.91,1.04,1.08,1.14,1.23,1.29,1.37,1.42,1.43,1.49,1.6,1.69,1.67,1.53,1.27,0.97,0.71,0.57,0.54,0.56,0.58,0.53,0.47,0.51,0.62,0.62,0.48,0.29,0.15,0.09,0.13,0.24,0.29,0.21,0.15,0.18,0.32,0.44,0.43,0.31,0.21,0.22,0.25,0.24,0.22,0.19,0.09,-0.07,-0.22,-0.34,-0.47,-0.62,-0.84,-1.15,-1.53,-1.77,-1.87,-1.9,-1.99,-2.17,-2.26,-2.17,-1.91,-1.7,-1.61,-1.53,-1.35,-1.08,-0.78,-0.41,-0.08,0.18,0.4,0.63,0.88,1.07,1.2,1.25,1.33,1.47,1.59,1.69,1.85,2.04,2.12,2.01,1.85,1.71,1.59,1.48,1.34,1.12,0.91,0.78,0.66,0.49,0.22,-0.2,-0.62,-0.96,-1.16,-1.28,-1.44,-1.6,-1.71,-1.81,-1.94,-2.14,-2.36,-2.63,-2.91,-3.15,-3.27,-3.33,-3.34,-3.3,-3.26,-3.15,-2.98,-2.74,-2.38,-1.97,-1.6,-1.29,-0.91,-0.41,0.13,0.62,1.11,1.58,2.01,2.35,2.59,2.81,2.94,2.87,2.68,2.51,2.34,2.14,1.95,1.7,1.33,0.94,0.67,0.47,0.23,-0.04,-0.31,-0.51,-0.61,-0.61,-0.58,-0.57,-0.57,-0.61,-0.6,-0.54,-0.52,-0.62,-0.71,-0.65,-0.53,-0.42,-0.33,-0.23,-0.11,0.02,0.21,0.43,0.59,0.68,0.83,1.08,1.36,1.57,1.68,1.64,1.51,1.36,1.18,0.89,0.39,-0.21,-0.74,-1.12,-1.44,-1.78,-2.14,-2.47,-2.71,-2.81,-2.71,-2.52,-2.31,-2.04,-1.61,-1.03,-0.46,-0.03,0.3,0.62,0.97,1.27,1.43,1.39,1.21,1.02,0.92,0.84,0.63,0.35,0.14,0.09,0.13,0.15,0.11,-0.02,-0.15,-0.17,-0.11,-0.06,-0.13,-0.33,-0.5,-0.51,-0.47,-0.52,-0.78,-1.12,-1.39,-1.56,-1.65,-1.71,-1.71,-1.66,-1.58,-1.53,-1.53,-1.59,-1.65,-1.63,-1.51,-1.27,-1.01,-0.77,-0.58,-0.33,-0.05,0.25,0.48,0.7,1.04,1.5,1.89,2.08,2.13,2.18,2.32,2.47,2.52,2.47,2.35,2.2,2.08,2.04,2.04,1.98,1.92,2.0,2.2,2.36,2.34,2.12,1.84,1.59,1.37,1.16,0.93,0.66,0.36,0.02,-0.33,-0.67,-0.96,-1.19,-1.38,-1.58,-1.71,-1.66,-1.45,-1.19,-1.09,-1.18,-1.27,-1.24,-1.09,-0.89,-0.69,-0.56,-0.5,-0.41,-0.21,0.06,0.27,0.37,0.43,0.57,0.82,1.09,1.25,1.31,1.25,1.05,0.79,0.57,0.39,0.15,-0.16,-0.51,-0.84,-1.16,-1.37,-1.37,-1.29,-1.32,-1.43,-1.42,-1.21,-0.9,-0.64,-0.39,-0.13,0.14,0.37,0.53,0.65,0.73,0.65,0.43,0.3,0.3,0.36,0.34,0.28,0.21,0.17,0.2,0.28,0.38,0.48,0.55,0.53,0.46,0.39,0.33,0.27,0.16,-0.07,-0.37,-0.67,-0.96,-1.16,-1.27,-1.38,-1.49,-1.55,-1.48,-1.26,-0.95,-0.68,-0.54,-0.44,-0.21,0.14,0.54,0.84,0.91,0.9,0.97,1.16,1.32,1.33,1.24,1.09,0.91,0.77,0.75,0.83,0.88,0.79,0.63,0.54,0.47,0.36,0.2,0.01,-0.16,-0.31,-0.43,-0.48,-0.49,-0.57,-0.77,-1.03,-1.22,-1.31,-1.33,-1.36,-1.46,-1.61,-</t>
  </si>
  <si>
    <t>To_Avoid_Formula1.8,-1.92,-1.92,-1.83,-1.79,-1.88,-1.97,-1.95,-1.84,-1.71,-1.6,-1.45,-1.18,-0.81,-0.36,0.2,0.86,1.45,1.86,2.14,2.47,2.75,2.93,3.06,3.18,3.21,3.14,2.99,2.79,2.62,2.09,1.73,1.41,1.22,1.12,1.07,1.02,0.93,0.85,0.79,0.73,0.6,0.33,-0.07,-0.5,-0.83,-1.1,-1.31,-1.48,-1.63,-1.75,-1.78,-1.74,-1.64,-1.51,-1.41,-1.41,-1.41,-1.3,-1.1,-0.96,-0.86,-0.86,-0.91,-0.96,-1.02,-1.02,-1.01,-1.07,-1.12,-1.05,-0.84,-0.57,-0.32,-0.14,-0.06,0.0,0.14,0.37,0.6,0.77,0.83,0.84,0.88,0.95,1.1,1.33,1.59,1.73,1.74,1.77,1.89,2.03,2.01,1.8,1.58,1.43,1.32,1.14,0.87,0.47,0.03,-0.4,-0.79,-1.12,-1.39,-1.64,-1.88,-1.95,-1.76,-1.52,-1.4,-1.32,-1.1,-0.8,-0.49,-0.19,0.17,0.58,0.98,1.29,1.52,1.72,1.87,1.93,1.94,1.92,1.78,1.47,1.13,0.84,0.56,0.18,-0.21,-0.54,-0.83,-0.98,-1.06,-1.18,-1.4,-1.54,-1.56,-1.53,-1.42,-1.21,-0.98,-0.81,-0.73,-0.69,-0.58,-0.39,-0.31,-0.28,-0.19,-0.01,0.18,0.38,0.67,0.97,1.16,1.3,1.42,1.5,1.58,1.67,1.68,1.55,1.32,1.05,0.85,0.71,0.5,0.22,-0.08,-0.3,-0.46,-0.5,-0.39,-0.26,-0.13,0.05,0.28,0.53,0.86,1.16,1.29,1.23,1.06,0.94,0.83,0.63,0.35,0.05,-0.27,-0.57,-0.76,-0.82,-0.89,-1.08,-1.26,-1.28,-1.05,-0.71,-0.49,-0.32,-0.04,0.29,0.46,0.52,0.54,0.42,0.19,-0.05,-0.25,-0.4,-0.52,-0.69,-0.88,-1.04,-1.16,-1.27,-1.27,-1.04,-0.76,-0.64,-0.65,-0.62,-0.5,-0.39,-0.52,-0.88,-1.21,-1.39,-1.43,-1.42,-1.44,-1.5,-1.55,-1.45,-1.15,-0.64,-0.08,0.4,0.78,1.12,1.47,1.87,2.25,2.51,2.53,2.4,2.22,1.96,1.64,1.24,0.74,0.15,-0.4,-0.79,-0.95,-0.93,-0.99,-1.25,-1.5,-1.52,-1.4,-1.33,-1.35,-1.38,-1.31,-1.17,-1.04,-0.93,-0.77,-0.65,-0.68,-0.81,-0.83,-0.74,-0.67,-0.68,-0.68,-0.64,-0.54,-0.39,-0.1,0.3,0.6,0.72,0.83,1.03,1.24,1.39,1.42,1.37,1.33,1.3,1.22,1.05,0.79,0.37,-0.13,-0.51,-0.78,-1.03,-1.31,-1.49,-1.58,-1.6,-1.61,-1.64,-1.65,</t>
  </si>
  <si>
    <t>To_Avoid_Formula50.56,50.56,50.56,50.56,50.56,50.56,50.56,50.56,50.56,50.56,50.56,50.56,50.56,50.56,50.56,50.56,50.56,50.56,50.56,50.56,50.56,50.56,50.57,50.57,50.57,50.57,50.57,50.57,50.57,50.57,50.57,50.57,50.57,50.57,50.57,50.57,50.57,50.57,50.57,50.57,50.57,50.57,50.57,50.57,50.57,50.57,50.57,50.57,50.57,50.57,50.57,50.58,50.58,50.58,50.58,50.58,50.58,50.58,50.58,50.58,50.58,50.58,50.58,50.58,50.58,50.58,50.58,50.58,50.58,50.58,50.58,50.58,50.58,50.58,50.58,50.58,50.58,50.58,50.58,50.58,50.58,50.59,50.59,50.59,50.59,50.59,50.59,50.59,50.59,50.59,50.59,50.59,50.59,50.59,50.59,50.59,50.59,50.59,50.59,50.59,50.59,50.59,50.59,50.59,50.59,50.59,50.59,50.59,50.59,50.59,50.6,50.6,50.6,50.6,50.6,50.6,50.6,50.6,50.6,50.6,50.6,50.6,50.6,50.6,50.6,50.6,50.6,50.6,50.6,50.6,50.6,50.6,50.6,50.6,50.6,50.6,50.6,50.6,50.6,50.6,50.61,50.61,50.61,50.61,50.61,50.61,50.61,50.61,50.61,50.61,50.61,50.61,50.61,50.61,50.61,50.61,50.61,50.61,50.61,50.61,50.61,50.61,50.61,50.61,50.61,50.61,50.61,50.61,50.61,50.61,50.62,50.62,50.62,50.62,50.62,50.62,50.62,50.62,50.62,50.62,50.62,50.62,50.62,50.62,50.62,50.62,50.62,50.62,50.62,50.62,50.62,50.62,50.62,50.62,50.62,50.62,50.62,50.62,50.62,50.62,50.62,50.63,50.63,50.63,50.63,50.63,50.63,50.63,50.63,50.63,50.63,50.63,50.63,50.63,50.63,50.63,50.63,50.63,50.63,50.63,50.63,50.63,50.63,50.63,50.63,50.63,50.63,50.63,50.63,50.63,50.63,50.63,50.64,50.64,50.64,50.64,50.64,50.64,50.64,50.64,50.64,50.64,50.64,50.64,50.64,50.64,50.64,50.64,50.64,50.64,50.64,50.64,50.64,50.64,50.64,50.64,50.64,50.64,50.64,50.64,50.64,50.64,50.64,50.65,50.65,50.65,50.65,50.65,50.65,50.65,50.65,50.65,50.65,50.65,50.65,50.65,50.65,50.65,50.65,50.65,50.65,50.65,50.65,50.65,50.65,50.65,50.65,50.65,50.65,50.65,50.65,50.65,50.65,50.65,50.66,50.66,50.66,50.66,50.66,50.66,50.66,50.66,50.66,50.66,50.66,50.66,50.66,50.66,50.66,50.66,50.66,50.66,50.66,50.66,50.66,50.66,50.66,50.66,50.66,50.66,50.66,50.66,50.66,50.66,50.66,50.67,50.67,50.67,50.67,50.67,50.67,50.67,50.67,50.67,50.67,50.67,50.67,50.67,50.67,50.67,50.67,50.67,50.67,50.67,50.67,50.67,50.67,50.67,50.67,50.67,50.67,50.67,50.67,50.67,50.67,50.67,50.68,50.68,50.68,50.68,50.68,50.68,50.68,50.68,50.68,50.68,50.68,50.68,50.68,50.68,50.68,50.68,50.68,50.68,50.68,50.68,50.68,50.68,50.68,50.68,50.68,50.68,50.68,50.68,50.68,50.68,50.68,50.69,50.69,50.69,50.69,50.69,50.69,50.69,50.69,50.69,50.69,50.69,50.69,50.69,50.69,50.69,50.69,50.69,50.69,50.69,50.69,50.69,50.69,50.69,50.69,50.69,50.69,50.69,50.69,50.69,50.69,50.7,50.7,50.7,50.7,50.7,50.7,50.7,50.7,50.7,50.7,50.7,50.7,50.7,50.7,50.7,50.7,50.7,50.7,50.7,50.7,50.7,50.7,50.7,50.7,50.7,50.7,50.7,50.7,50.7,50.71,50.71,50.71,50.71,50.71,50.71,50.71,50.71,50.71,50.71,50.71,50.71,50.71,50.71,50.71,50.71,50.71,50.71,50.71,50.71,50.71,50.71,50.71,50.71,50.71,50.71,50.71,50.72,50.72,50.72,50.72,50.72,50.72,50.72,50.72,50.72,50.72,50.72,50.72,50.72,50.72,50.72,50.72,50.72,50.72,50.72,50.72,50.72,50.72,50.72,50.72,50.72,50.72,50.72,50.73,50.73,50.73,50.73,50.73,50.73,50.73,50.73,50.73,50.73,50.73,50.73,50.73,50.73,50.73,50.73,50.73,50.73,50.73,50.73,50.73,50.73,50.73,50.73,50.74,50.74,50.74,50.74,50.74,50.74,50.74,50.74,50.74,50.74,50.74,50.74,50.74,50.74,50.74,50.74,50.74,50.74,50.74,50.74,50.74,50.74,50.74,50.75,50.75,50.75,50.75,50.75,50.75,50.75,50.75,50.75,50.75,50.75,50.75,50.75,50.75,50.75,50.75,50.75,50.75,50.75,50.75,50.75,50.76,50.76,50.76,50.76,50.76,50.76,50.76,50.76,50.76,50.76,50.76,50.76,50.76,50.76,50.76,50.76,50.76,50.76,50.76,50.76,50.77,50.77,50.77,50.77,50.77,50.77,50.77,50.77,50.77,50.77,50.77,50.77,50.77,50.77,50.77,50.77,50.77,50.77,50.77,50.78,50.78,50.78,50.78,50.78,50.78,50.78,50.78,50.78,50.78,50.78,50.78,50.78,50.78,50.78,50.78,50.78,50.78,50.79,50.79,50.79,50.79,50.79,50.79,50.79,50.79,50.79,50.79,50.79,50.79,50.79,50.79,50.79,50.79,50.79,50.8,50.8,50.8,50.8,50.8,50.8,50.8,50.8,50.8,50.8,50.8,50.8,50.8,50.8,50.8,50.8,50.81,50.81,50.81,50.81,50.81,50.81,50.81,50.81</t>
  </si>
  <si>
    <t>To_Avoid_Formula,50.81,50.81,50.81,50.81,50.81,50.81,50.81,50.81,50.82,50.82,50.82,50.82,50.82,50.82,50.82,50.82,50.82,50.82,50.82,50.82,50.82,50.82,50.82,50.82,50.83,50.83,50.83,50.83,50.83,50.83,50.83,50.83,50.83,50.83,50.83,50.83,50.83,50.83,50.83,50.84,50.84,50.84,50.84,50.84,50.84,50.84,50.84,50.84,50.84,50.84,50.84,50.84,50.84,50.84,50.85,50.85,50.85,50.85,50.85,50.85,50.85,50.85,50.85,50.85,50.85,50.85,50.85,50.85,50.85,50.86,50.86,50.86,50.86,50.86,50.86,50.86,50.86,50.86,50.86,50.86,50.86,50.86,50.86,50.86,50.86,50.87,50.87,50.87,50.87,50.87,50.87,50.87,50.87,50.87,50.87,50.87,50.87,50.87,50.87,50.87,50.88,50.88,50.88,50.88,50.88,50.88,50.88,50.88,50.88,50.88,50.88,50.88,50.88,50.88,50.88,50.88,50.88,50.89,50.89,50.89,50.89,50.89,50.89,50.89,50.89,50.89,50.89,50.89,50.89,50.89,50.89,50.89,50.89,50.89,50.9,50.9,50.9,50.9,50.9,50.9,50.9,50.9,50.9,50.9,50.9,50.9,50.9,50.9,50.9,50.9,50.9,50.9,50.91,50.91,50.91,50.91,50.91,50.91,50.91,50.91,50.91,50.91,50.91,50.91,50.91,50.91,50.91,50.91,50.91,50.91,50.91,50.92,50.92,50.92,50.92,50.92,50.92,50.92,50.92,50.92,50.92,50.92,50.92,50.92,50.92,50.92,50.92,50.92,50.92,50.92,50.92,50.93,50.93,50.93,50.93,50.93,50.93,50.93,50.93,50.93,50.93,50.93,50.93,50.93,50.93,50.93,50.93,50.93,50.93,50.93,50.93,50.93,50.93,50.93,50.94,50.94,50.94,50.94,50.94,50.94,50.94,50.94,50.94,50.94,50.94,50.94,50.94,50.94,50.94,50.94,50.94,50.94,50.94,50.94,50.94,50.94,50.94,50.94,50.94,50.95,50.95,50.95,50.95,50.95,50.95,50.95,50.95,50.95,50.95,50.95,50.95,50.95,50.95,50.95,50.95,50.95,50.95,50.95,50.95,50.95,50.95,50.95,50.95,50.95,50.95,50.95,50.96,50.96,50.96,50.96,50.96,50.96,50.96,50.96,50.96,50.96,50.96,50.96,50.96,50.96,50.96,50.96,50.96,50.96,50.96,50.96,50.96,50.96,50.96,50.96,50.96,50.96,50.96,50.96,50.96,50.96,50.96,50.97,50.97,50.97,50.97,50.97,50.97,50.97,50.97,50.97,50.97,50.97,50.97,50.97,50.97,50.97,50.97,50.97,50.97,50.97,50.97,50.97,50.97,50.97,50.97,50.97,50.97,50.97,50.97,50.97,50.97,50.97,50.97,50.97,50.98,50.98,50.98,50.98,50.98,50.98,50.98,50.98,50.98,50.98,50.98,50.98,50.98,50.98,50.98,50.98,50.98,50.98,50.98,50.98,50.98,50.98,50.98,50.98,50.98,50.98,50.98,50.98,50.98,50.98,50.98,50.98,50.98,50.98,50.98,50.98,50.98,50.98,50.99,50.99,50.99,50.99,50.99,50.99,50.99,</t>
  </si>
  <si>
    <t>To_Avoid_Formula-0.12,-0.17,-0.24,-0.26,-0.25,-0.25,-0.28,-0.36,-0.42,-0.45,-0.48,-0.49,-0.48,-0.47,-0.45,-0.45,-0.46,-0.42,-0.34,-0.24,-0.17,-0.11,-0.06,0.01,0.12,0.21,0.28,0.3,0.3,0.25,0.21,0.18,0.16,0.14,0.1,0.1,0.13,0.2,0.26,0.3,0.3,0.24,0.17,0.13,0.09,0.0,-0.11,-0.19,-0.22,-0.22,-0.22,-0.21,-0.24,-0.32,-0.38,-0.41,-0.4,-0.39,-0.42,-0.45,-0.47,-0.47,-0.47,-0.45,-0.47,-0.53,-0.59,-0.6,-0.61,-0.6,-0.58,-0.53,-0.47,-0.46,-0.48,-0.49,-0.47,-0.44,-0.41,-0.39,-0.38,-0.35,-0.3,-0.25,-0.22,-0.2,-0.18,-0.12,-0.08,-0.08,-0.11,-0.12,-0.11,-0.1,-0.1,-0.06,-0.04,-0.08,-0.13,-0.19,-0.26,-0.29,-0.3,-0.29,-0.26,-0.22,-0.18,-0.12,-0.07,-0.05,-0.05,-0.04,0.02,0.14,0.27,0.4,0.51,0.59,0.65,0.71,0.75,0.78,0.75,0.68,0.59,0.53,0.52,0.56,0.57,0.55,0.5,0.47,0.42,0.37,0.31,0.24,0.17,0.1,0.04,-0.01,-0.08,-0.17,-0.29,-0.41,-0.51,-0.59,-0.67,-0.76,-0.87,-1.01,-1.15,-1.28,-1.39,-1.44,-1.4,-1.37,-1.37,-1.38,-1.36,-1.32,-1.26,-1.15,-1.02,-0.87,-0.78,-0.73,-0.69,-0.63,-0.54,-0.43,-0.35,-0.28,-0.24,-0.17,-0.1,-0.04,0.0,0.01,0.0,-0.04,-0.06,-0.06,-0.05,-0.09,-0.19,-0.25,-0.26,-0.25,-0.27,-0.28,-0.27,-0.26,-0.26,-0.25,-0.24,-0.23,-0.26,-0.3,-0.33,-0.36,-0.38,-0.36,-0.31,-0.28,-0.31,-0.4,-0.45,-0.51,-0.59,-0.69,-0.75,-0.8,-0.82,-0.8,-0.75,-0.66,-0.57,-0.51,-0.47,-0.46,-0.49,-0.55,-0.63,-0.7,-0.72,-0.69,-0.61,-0.53,-0.52,-0.59,-0.66,-0.73,-0.8,-0.87,-0.95,-1.08,-1.22,-1.32,-1.33,-1.27,-1.2,-1.14,-1.1,-1.08,-1.04,-0.96,-0.9,-0.9,-0.95,-1.02,-1.04,-0.98,-0.87,-0.76,-0.71,-0.71,-0.72,-0.67,-0.59,-0.57,-0.58,-0.59,-0.6,-0.61,-0.58,-0.5,-0.37,-0.26,-0.19,-0.18,-0.18,-0.18,-0.18,-0.22,-0.26,-0.26,-0.17,-0.06,0.09,0.18,0.18,0.15,0.12,0.12,0.18,0.29,0.4,0.48,0.53,0.62,0.79,0.97,1.12,1.27,1.39,1.48,1.55,1.61,1.64,1.64,1.63,1.63,1.65,1.66,1.66,1.68,1.68,1.65,1.6,1.52,1.43,1.35,1.26,1.18,1.13,1.13,1.2,1.31,1.38,1.39,1.37,1.34,1.34,1.34,1.34,1.36,1.39,1.44,1.49,1.57,1.65,1.7,1.71,1.68,1.66,1.62,1.52,1.35,1.15,1.0,0.89,0.77,0.66,0.57,0.45,0.35,0.26,0.19,0.17,0.2,0.25,0.29,0.29,0.26,0.22,0.18,0.13,0.08,0.03,0.01,0.03,0.08,0.09,0.06,0.04,0.03,0.01,-0.01,-0.01,0.01,0.02,0.01,0.01,0.06,0.13,0.18,0.22,0.26,0.26,0.24,0.25,0.33,0.42,0.48,0.55,0.63,0.69,0.76,0.82,0.83,0.8,0.75,0.72,0.71,0.7,0.66,0.61,0.57,0.55,0.55,0.6,0.65,0.66,0.62,0.55,0.51,0.53,0.57,0.57,0.53,0.52,0.55,0.59,0.6,0.57,0.52,0.42,0.29,0.16,0.07,0.01,-0.08,-0.23,-0.37,-0.43,-0.42,-0.35,-0.32,-0.34,-0.44,-0.53,-0.58,-0.56,-0.53,-0.54,-0.54,-0.52,-0.51,-0.49,-0.47,-0.45,-0.48,-0.55,-0.61,-0.61,-0.62,-0.7,-0.82,-0.91,-1.0,-1.05,-1.01,-0.94,-0.89,-0.91,-0.94,-0.97,-0.96,-0.94,-0.94,-0.97,-0.99,-1.0,-0.96,-0.88,-0.78,-0.74,-0.75,-0.77,-0.77,-0.76,-0.75,-0.75,-0.77,-0.79,-0.76,-0.68,-0.6,-0.5,-0.39,-0.28,-0.22,-0.19,-0.16,-0.15,-0.2,-0.32,-0.46,-0.54,-0.55,-0.5,-0.41,-0.33,-0.3,-0.31,-0.32,-0.32,-0.31,-0.34,-0.41,-0.48,-0.54,-0.56,-0.54,-0.52,-0.52,-0.52,-0.49,-0.43,-0.38,-0.34,-0.31,-0.27,-0.23,-0.19,-0.15,-0.12,-0.14,-0.17,-0.16,-0.09,-0.01,0.01,-0.02,-0.08,-0.17,-0.3,-0.44,-0.57,-0.66,-0.73,-0.81,-0.85,-0.83,-0.78,-0.71,-0.65,-0.6,-0.56,-0.52,-0.48,-0.43,-0.34,-0.21,-0.11,0.0,0.12,0.25,0.37,0.46,0.54,0.59,0.6,0.56,0.55,0.54,0.52,0.49,0.49,0.53,0.57,0.57,0.61,0.65,0.63,0.54,0.47,0.44,0.47,0.48,0.47,0.45,0.45,0.5,0.59,0.66,0.69,0.67,0.64,0.59,0.54,0.47,0.41,0.38,0.35,0.32,0.31,0.33,0.35,0.36,0.36,0.34,0.29,0.26,0.26,0.28,0.26,0.23,0.22,0.21,0.19,0.12,0.03,-0.04,-0.1,-0.13,-0.14,-0.15,-0.17,-0.19,-0.17,-0.13,-0.08,-0.01,0.04,0.03,-0.04,-0.1,-0.11,-0.11,-0.1,-0.09,-0.07,-0.05,-0.03,0.03,0.11,0.17,0.16,0.13,0.13,0.15,0.18,0.2,0.2,0.17,0.15,0.15,0.18,0.22,0.24,0.22,0.2,0.2,0.25,0.33,0.38,0.38,0.37,0.35,0.35,0.36,0.38,0.4,0.38,0.35,0.32,0.3,0.29,0.28,0.28,0.3,0.3,0.29,0.28,0.25,0.2,0.1,-0.02,-0.09,-0.16,-0.19,-0.19,-0.18,-0.21,-0.27,-0.33,-0.38,-0.43,-0.51,-0.57,-0.57,-0.51,-0.4,-0.29,-0.2,-0.15,-0.13,-0.1,-0.04,0.03,0.07,0.06,0.03,0.02,0.01,0.05,0.15,0.27,0.37,0.44,0.46,0.49,0.5,0.43,0.33,0.22,0.15,0.1,0.08,0.07,0.07,0.11,0.14,0.11,0.04,-0.03,-0.09,-0.13,-0.15,</t>
  </si>
  <si>
    <t>To_Avoid_Formula-0.17,-0.16,-0.13,-0.12,-0.15,-0.22,-0.3,-0.36,-0.39,-0.44,-0.49,-0.51,-0.44,-0.34,-0.23,-0.14,-0.07,-0.01,0.03,0.06,0.05,0.04,0.05,0.09,0.11,0.11,0.09,0.14,0.23,0.24,0.15,0.03,-0.04,-0.05,-0.03,-0.01,0.02,0.06,0.08,0.07,0.07,0.12,0.13,0.07,0.02,0.0,0.05,0.11,0.16,0.16,0.13,0.1,0.08,0.07,0.01,-0.1,-0.24,-0.34,-0.45,-0.53,-0.55,-0.51,-0.46,-0.44,-0.44,-0.42,-0.4,-0.39,-0.41,-0.45,-0.48,-0.49,-0.48,-0.47,-0.51,-0.53,-0.55,-0.56,-0.56,-0.54,-0.51,-0.53,-0.57,-0.59,-0.58,-0.54,-0.52,-0.51,-0.5,-0.51,-0.52,-0.48,-0.4,-0.33,-0.33,-0.35,-0.32,-0.27,-0.25,-0.25,-0.27,-0.33,-0.4,-0.46,-0.49,-0.54,-0.62,-0.71,-0.77,-0.79,-0.81,-0.81,-0.8,-0.8,-0.82,-0.84,-0.81,-0.74,-0.68,-0.66,-0.66,-0.65,-0.6,-0.5,-0.39,-0.29,-0.25,-0.25,-0.23,-0.2,-0.15,-0.07,0.02,0.09,0.1,0.11,0.15,0.18,0.14,0.04,-0.04,-0.06,-0.04,0.0,0.03,0.05,0.04,0.01,-0.01,0.0,0.02,0.04,0.0,-0.09,-0.19,-0.24,-0.26,-0.3,-0.4,-0.52,-0.58,-0.59,-0.56,-0.53,-0.49,-0.47,-0.45,-0.41,-0.37,-0.3,-0.19,-0.06,0.03,0.09,0.12,0.22,0.32,0.27,0.08,-0.11,-0.22,-0.34,-0.48,-0.6,-0.66,-0.65,-0.62,-0.57,-0.54,-0.6,-0.7,-0.78,-0.79,-0.81,-0.83,-0.84,-0.83,-0.82,-0.79,-0.73,-0.66,-0.61,-0.56,-0.51,-0.48,-0.42,-0.34,-0.29,-0.3,-0.37,-0.41,-0.41,-0.39,-0.39,-0.36,-0.31,-0.28,-0.27,-0.21,-0.07,0.08,0.18,0.24,0.33,0.45,0.57,0.68,0.74,0.76,0.76,0.78,0.85,0.9,0.88,0.83,0.79,0.79,0.84,0.92,0.97,0.96,0.92,0.88,0.88,0.93,0.99,1.04,1.05,0.99,0.94,0.91,0.91,0.9,0.84,0.77,0.76,0.77,0.79,0.82,0.85,0.82,0.74,0.67,0.67,0.7,0.74,0.79,0.82,0.79,0.75,0.74,0.79,0.91,1.0,1.05,1.08,1.13,1.16,1.16,1.14,1.08,1.05,1.03,1.02,0.98,0.94,0.9,0.87,0.86,0.87,0.88,0.88,0.85,0.79,0.76,0.74,0.68,0.6,0.54,0.5,0.46,0.44,0.43,0.41,0.41,0.42,0.43,0.42,0.44,0.49,0.53,0.54,0.52,0.51,0.52,0.53,0.53,0.5,0.46,0.44,0.45,0.46,</t>
  </si>
  <si>
    <t>To_Avoid_Formula-0.94,-0.93,-0.93,-0.89,-0.82,-0.76,-0.73,-0.75,-0.76,-0.73,-0.69,-0.64,-0.58,-0.51,-0.44,-0.39,-0.35,-0.26,-0.14,-0.01,0.1,0.18,0.26,0.35,0.47,0.57,0.64,0.67,0.66,0.61,0.57,0.54,0.53,0.5,0.47,0.47,0.51,0.58,0.63,0.66,0.65,0.58,0.51,0.46,0.43,0.33,0.23,0.15,0.13,0.14,0.16,0.17,0.14,0.08,0.02,0.02,0.04,0.06,0.04,0.02,0.01,0.02,0.03,0.06,0.04,0.0,-0.05,-0.05,-0.04,-0.02,0.0,0.07,0.13,0.14,0.12,0.12,0.14,0.17,0.2,0.21,0.22,0.24,0.28,0.32,0.34,0.34,0.35,0.39,0.42,0.4,0.35,0.32,0.32,0.31,0.29,0.31,0.31,0.26,0.19,0.11,0.04,-0.01,-0.02,-0.02,0.0,0.04,0.07,0.12,0.15,0.16,0.14,0.14,0.18,0.28,0.38,0.48,0.55,0.6,0.62,0.63,0.63,0.61,0.54,0.42,0.3,0.21,0.18,0.19,0.18,0.12,0.06,0.0,-0.06,-0.13,-0.2,-0.28,-0.35,-0.42,-0.48,-0.53,-0.58,-0.66,-0.76,-0.86,-0.93,-0.97,-1.02,-1.07,-1.14,-1.22,-1.31,-1.38,-1.43,-1.41,-1.31,-1.22,-1.16,-1.11,-1.03,-0.93,-0.82,-0.67,-0.49,-0.32,-0.2,-0.13,-0.08,0.0,0.11,0.22,0.31,0.37,0.41,0.46,0.52,0.57,0.59,0.59,0.56,0.51,0.47,0.45,0.45,0.4,0.29,0.22,0.21,0.21,0.19,0.18,0.19,0.2,0.19,0.19,0.2,0.2,0.17,0.12,0.09,0.06,0.04,0.06,0.11,0.14,0.1,0.02,-0.04,-0.09,-0.16,-0.25,-0.3,-0.33,-0.33,-0.29,-0.23,-0.13,-0.03,0.04,0.07,0.08,0.05,-0.01,-0.08,-0.14,-0.16,-0.11,-0.02,0.05,0.06,0.0,-0.07,-0.14,-0.19,-0.25,-0.32,-0.42,-0.53,-0.6,-0.58,-0.5,-0.4,-0.31,-0.26,-0.22,-0.16,-0.08,0.0,0.01,-0.04,-0.1,-0.11,-0.04,0.07,0.18,0.23,0.22,0.21,0.25,0.32,0.34,0.31,0.28,0.26,0.25,0.27,0.33,0.44,0.53,0.57,0.56,0.53,0.5,0.47,0.41,0.34,0.33,0.39,0.47,0.58,0.64,0.6,0.53,0.47,0.44,0.47,0.54,0.61,0.65,0.65,0.69,0.81,0.93,1.02,1.1,1.14,1.16,1.15,1.13,1.08,1.01,0.92,0.85,0.8,0.74,0.68,0.63,0.57,0.49,0.38,0.24,0.11,0.0,-0.13,-0.24,-0.31,-0.33,-0.27,-0.19,-0.14,-0.16,-0.2,-0.25,-0.27,-0.29,-0.3,-0.3,-0.29,-0.25,-0.21,-0.16,-0.1,-0.07,-0.08,-0.13,-0.17,-0.22,-0.33,-0.5,-0.69,-0.83,-0.92,-1.01,-1.09,-1.14,-1.22,-1.27,-1.31,-1.32,-1.29,-1.2,-1.1,-1.01,-0.96,-0.95,-0.94,-0.93,-0.92,-0.92,-0.92,-0.88,-0.81,-0.71,-0.65,-0.63,-0.6,-0.57,-0.54,-0.52,-0.47,-0.4,-0.35,-0.32,-0.28,-0.2,-0.09,-0.01,0.06,0.11,0.14,0.14,0.17,0.27,0.37,0.44,0.51,0.59,0.65,0.71,0.76,0.76,0.72,0.66,0.62,0.61,0.59,0.54,0.48,0.44,0.41,0.42,0.46,0.51,0.51,0.46,0.38,0.34,0.36,0.39,0.39,0.34,0.33,0.36,0.39,0.39,0.36,0.3,0.2,0.07,-0.06,-0.13,-0.18,-0.25,-0.37,-0.48,-0.52,-0.47,-0.38,-0.31,-0.31,-0.38,-0.45,-0.46,-0.41,-0.36,-0.33,-0.3,-0.26,-0.22,-0.19,-0.14,-0.11,-0.12,-0.17,-0.2,-0.18,-0.18,-0.24,-0.33,-0.39,-0.44,-0.46,-0.39,-0.28,-0.21,-0.2,-0.21,-0.21,-0.18,-0.14,-0.12,-0.13,-0.13,-0.12,-0.07,0.03,0.14,0.18,0.18,0.16,0.17,0.18,0.2,0.2,0.18,0.16,0.19,0.26,0.34,0.43,0.53,0.61,0.65,0.65,0.65,0.64,0.56,0.42,0.27,0.17,0.15,0.19,0.27,0.33,0.35,0.32,0.28,0.27,0.26,0.21,0.13,0.05,-0.02,-0.05,-0.04,-0.02,-0.02,-0.03,-0.01,0.04,0.08,0.1,0.12,0.15,0.17,0.18,0.21,0.22,0.18,0.13,0.12,0.18,0.23,0.23,0.17,0.09,-0.01,-0.15,-0.3,-0.42,-0.5,-0.56,-0.62,-0.64,-0.61,-0.54,-0.46,-0.38,-0.32,-0.28,-0.24,-0.2,-0.14,-0.05,0.07,0.16,0.25,0.35,0.45,0.54,0.6,0.64,0.65,0.62,0.54,0.49,0.45,0.39,0.33,0.31,0.32,0.32,0.3,0.31,0.32,0.27,0.16,0.06,0.02,0.03,0.03,0.0,-0.04,-0.05,-0.01,0.06,0.11,0.12,0.08,0.03,-0.03,-0.09,-0.17,-0.23,-0.27,-0.29,-0.32,-0.33,-0.3,-0.29,-0.27,-0.27,-0.28,-0.33,-0.35,-0.34,-0.31,-0.32,-0.34,-0.35,-0.34,-0.35,-0.4,-0.48,-0.53,-0.56,-0.57,-0.55,-0.54,-0.53,-0.51,-0.47,-0.41,-0.34,-0.25,-0.18,-0.18,-0.23,-0.27,-0.26,-0.24,-0.21,-0.18,-0.14,-0.11,-0.08,-0.01,0.09,0.15,0.14,0.12,0.12,0.14,0.17,0.2,0.2,0.17,0.15,0.15,0.18,0.22,0.24,0.23,0.2,0.2,0.25,0.32,0.36,0.36,0.33,0.3,0.29,0.3,0.31,0.32,0.3,0.25,0.22,0.19,0.17,0.16,0.16,0.17,0.17,0.15,0.13,0.11,0.05,-0.04,-0.15,-0.22,-0.27,-0.29,-0.27,-0.25,-0.26,-0.3,-0.34,-0.37,-0.4,-0.46,-0.49,-0.46,-0.37,-0.25,-0.11,-0.01,0.04,0.07,0.09,0.16,0.23,0.26,0.25,0.21,0.19,0.19,0.22,0.31,0.42,0.5,0.54,0.54,0.55,0.53,0.45,0.33,0.2,0.12,0.07,0.04,0.03,0.02,0.06,0.08,0.05,-0.02,-0.1,-0.15,-0.18,-0.2,-0.21,-0.19,-0.16,-0.14,-0.16,-0.22,-0.29,-0.34,-0.35,-0.38,-0.42,-0.41,-0.33,-0.</t>
  </si>
  <si>
    <t>To_Avoid_Formula21,-0.09,0.0,0.07,0.13,0.16,0.18,0.17,0.15,0.16,0.18,0.2,0.19,0.16,0.2,0.28,0.28,0.18,0.05,-0.02,-0.04,-0.02,0.0,0.03,0.07,0.08,0.06,0.06,0.1,0.11,0.05,-0.02,-0.03,0.01,0.07,0.11,0.11,0.06,0.03,0.01,0.0,-0.06,-0.17,-0.31,-0.39,-0.48,-0.54,-0.54,-0.47,-0.4,-0.37,-0.34,-0.31,-0.27,-0.25,-0.25,-0.28,-0.29,-0.28,-0.26,-0.24,-0.25,-0.26,-0.26,-0.25,-0.24,-0.2,-0.16,-0.16,-0.19,-0.2,-0.16,-0.12,-0.08,-0.06,-0.04,-0.04,-0.05,0.0,0.09,0.16,0.16,0.14,0.17,0.21,0.23,0.23,0.2,0.14,0.07,0.01,-0.02,-0.06,-0.13,-0.21,-0.25,-0.26,-0.26,-0.25,-0.21,-0.2,-0.21,-0.21,-0.16,-0.09,-0.02,0.01,0.02,0.03,0.09,0.18,0.29,0.38,0.4,0.39,0.39,0.41,0.44,0.49,0.57,0.61,0.59,0.57,0.58,0.58,0.51,0.39,0.29,0.25,0.25,0.27,0.28,0.28,0.25,0.2,0.16,0.16,0.16,0.16,0.11,0.01,-0.09,-0.16,-0.18,-0.22,-0.31,-0.42,-0.47,-0.46,-0.42,-0.38,-0.33,-0.3,-0.28,-0.23,-0.18,-0.11,-0.01,0.11,0.2,0.24,0.25,0.33,0.41,0.34,0.12,-0.07,-0.18,-0.3,-0.43,-0.54,-0.57,-0.54,-0.5,-0.42,-0.38,-0.42,-0.51,-0.56,-0.55,-0.54,-0.54,-0.52,-0.49,-0.45,-0.4,-0.31,-0.23,-0.17,-0.11,-0.05,-0.01,0.05,0.13,0.17,0.16,0.09,0.05,0.05,0.07,0.07,0.09,0.15,0.17,0.17,0.23,0.36,0.49,0.57,0.61,0.66,0.75,0.83,0.9,0.91,0.88,0.84,0.82,0.84,0.84,0.77,0.67,0.6,0.56,0.57,0.61,0.61,0.57,0.49,0.41,0.38,0.39,0.41,0.43,0.4,0.31,0.22,0.17,0.14,0.1,0.02,-0.06,-0.09,-0.1,-0.09,-0.07,-0.06,-0.1,-0.19,-0.27,-0.27,-0.25,-0.21,-0.17,-0.14,-0.18,-0.23,-0.24,-0.19,-0.08,0.0,0.04,0.05,0.08,0.1,0.09,0.05,-0.03,-0.08,-0.1,-0.12,-0.16,-0.21,-0.24,-0.27,-0.27,-0.26,-0.25,-0.24,-0.26,-0.31,-0.34,-0.34,-0.39,-0.46,-0.49,-0.52,-0.53,-0.52,-0.51,-0.5,-0.48,-0.44,-0.41,-0.4,-0.35,-0.28,-0.22,-0.2,-0.2,-0.2,-0.17,-0.14,-0.12,-0.13,-0.16,-0.16,-0.13,-0.11,</t>
  </si>
  <si>
    <t>To_Avoid_Formula-2.82,-2.81,-2.81,-2.81,-2.8,-2.8,-2.79,-2.79,-2.78,-2.78,-2.77,-2.77,-2.76,-2.75,-2.74,-2.73,-2.72,-2.72,-2.71,-2.7,-2.69,-2.67,-2.66,-2.65,-2.64,-2.63,-2.61,-2.6,-2.59,-2.57,-2.56,-2.54,-2.53,-2.51,-2.5,-2.48,-2.46,-2.45,-2.43,-2.41,-2.39,-2.38,-2.36,-2.34,-2.32,-2.3,-2.28,-2.26,-2.24,-2.22,-2.2,-2.18,-2.16,-2.14,-2.12,-2.1,-2.08,-2.06,-2.03,-2.01,-1.99,-1.97,-1.94,-1.92,-1.9,-1.87,-1.85,-1.83,-1.8,-1.78,-1.76,-1.73,-1.71,-1.68,-1.66,-1.63,-1.61,-1.58,-1.56,-1.53,-1.51,-1.48,-1.46,-1.43,-1.41,-1.38,-1.36,-1.34,-1.31,-1.29,-1.26,-1.24,-1.21,-1.19,-1.16,-1.14,-1.11,-1.09,-1.07,-1.04,-1.02,-1.0,-0.97,-0.95,-0.93,-0.9,-0.88,-0.86,-0.84,-0.82,-0.79,-0.77,-0.75,-0.73,-0.71,-0.69,-0.67,-0.65,-0.63,-0.61,-0.6,-0.58,-0.56,-0.54,-0.53,-0.51,-0.49,-0.48,-0.46,-0.45,-0.44,-0.42,-0.41,-0.39,-0.38,-0.37,-0.36,-0.35,-0.34,-0.33,-0.32,-0.31,-0.3,-0.29,-0.28,-0.27,-0.27,-0.26,-0.25,-0.25,-0.24,-0.24,-0.23,-0.23,-0.22,-0.22,-0.22,-0.21,-0.21,-0.21,-0.21,-0.21,-0.21,-0.21,-0.21,-0.21,-0.22,-0.22,-0.22,-0.22,-0.23,-0.23,-0.24,-0.24,-0.25,-0.25,-0.26,-0.27,-0.27,-0.28,-0.29,-0.3,-0.3,-0.31,-0.32,-0.33,-0.34,-0.35,-0.36,-0.37,-0.38,-0.4,-0.41,-0.42,-0.43,-0.44,-0.46,-0.47,-0.48,-0.49,-0.51,-0.52,-0.53,-0.55,-0.56,-0.58,-0.59,-0.6,-0.62,-0.63,-0.65,-0.66,-0.68,-0.69,-0.71,-0.72,-0.74,-0.75,-0.77,-0.78,-0.8,-0.81,-0.83,-0.84,-0.86,-0.88,-0.89,-0.91,-0.92,-0.94,-0.95,-0.97,-0.98,-1.0,-1.02,-1.03,-1.05,-1.06,-1.08,-1.09,-1.11,-1.13,-1.14,-1.16,-1.17,-1.19,-1.2,-1.22,-1.24,-1.25,-1.27,-1.28,-1.3,-1.32,-1.33,-1.35,-1.37,-1.38,-1.4,-1.41,-1.43,-1.45,-1.46,-1.48,-1.5,-1.51,-1.53,-1.55,-1.56,-1.58,-1.6,-1.61,-1.63,-1.65,-1.66,-1.68,-1.7,-1.71,-1.73,-1.74,-1.76,-1.78,-1.79,-1.81,-1.82,-1.84,-1.86,-1.87,-1.89,-1.9,-1.92,-1.93,-1.94,-1.96,-1.97,-1.99,-2.0,-2.01,-2.03,-2.04,-2.05,-2.06,-2.08,-2.09,-2.1,-2.11,-2.12,-2.13,-2.14,-2.15,-2.16,-2.18,-2.19,-2.19,-2.2,-2.21,-2.22,-2.23,-2.24,-2.25,-2.26,-2.27,-2.27,-2.28,-2.29,-2.3,-2.3,-2.31,-2.32,-2.32,-2.33,-2.34,-2.34,-2.35,-2.35,-2.36,-2.36,-2.37,-2.37,-2.38,-2.38,-2.39,-2.39,-2.4,-2.4,-2.4,-2.41,-2.41,-2.41,-2.42,-2.42,-2.42,-2.42,-2.43,-2.43,-2.43,-2.43,-2.43,-2.43,-2.43,-2.44,-2.44,-2.44,-2.44,-2.44,-2.44,-2.44,-2.44,-2.44,-2.43,-2.43,-2.43,-2.43,-2.43,-2.43,-2.42,-2.42,-2.42,-2.41,-2.41,-2.41,-2.4,-2.4,-2.39,-2.39,-2.38,-2.38,-2.37,-2.36,-2.36,-2.35,-2.34,-2.34,-2.33,-2.32,-2.31,-2.3,-2.3,-2.29,-2.28,-2.27,-2.26,-2.25,-2.24,-2.23,-2.21,-2.2,-2.19,-2.18,-2.17,-2.15,-2.14,-2.13,-2.11,-2.1,-2.09,-2.07,-2.06,-2.04,-2.03,-2.01,-2.0,-1.98,-1.97,-1.95,-1.93,-1.92,-1.9,-1.88,-1.87,-1.85,-1.83,-1.82,-1.8,-1.78,-1.76,-1.75,-1.73,-1.71,-1.69,-1.67,-1.65,-1.64,-1.62,-1.6,-1.58,-1.56,-1.54,-1.52,-1.5,-1.48,-1.46,-1.45,-1.43,-1.41,-1.39,-1.37,-1.35,-1.33,-1.31,-1.29,-1.27,-1.25,-1.23,-1.21,-1.19,-1.17,-1.15,-1.13,-1.11,-1.09,-1.07,-1.05,-1.03,-1.01,-0.99,-0.97,-0.95,-0.94,-0.92,-0.9,-0.88,-0.86,-0.84,-0.82,-0.8,-0.78,-0.76,-0.74,-0.72,-0.71,-0.69,-0.67,-0.65,-0.63,-0.61,-0.59,-0.57,-0.56,-0.54,-0.52,-0.5,-0.48,-0.47,-0.45,-0.43,-0.41,-0.39,-0.38,-0.36,-0.34,-0.32,-0.31,-0.29,-0.27,-0.25,-0.24,-0.22,-0.2,-0.19,-0.17,-0.15,-0.14,-0.12,-0.1,-0.09,-0.07,-0.06,-0.04,-0.03,-0.01,0.0,0.02,0.03,0.05,0.06,0.08,0.09,0.11,0.12,0.13,0.15,0.16,0.17,0.19,0.2,0.21,0.22,0.24,0.25,0.26,0.27,0.28,0.3,0.31,0.32,0.33,0.34,0.35,0.36,0.37,0.38,0.39,0.4,0.41,0.42,0.43,0.44,0.45,0.45,0.46,0.47,0.48,0.49,0.49,0.5,0.51,0.52,0.52,0.53,0.54,0.54,0.55,0.56,0.56,0.57,0.57,0.58,0.59,0.59,0.6,0.6,0.61,0.61,0.62,0.62,0.63,0.63,0.64,0.64,0.65,0.65,0.66,0.66,0.67,0.67,0.68,0.68,0.69,0.69,0.7,0.7,0.71,0.71,0.71,0.72,0.72,0.73,0.73,0.73,0.74,0.74,0.75,0.75,0.75,0.76,0.76,0.77,0.77,0.77,0.78,0.78,0.78,0.79,0.79,0.8,0.8,0.8,0.81,0.81,0.81,0.82,0.82,0.83,0.83,0.83,0.84,0.84,0.85,0.85,0.85,0.86,0.86,0.87,0.87,0.88,0.88,0.88,0.89,0.89,0.9,0.9,0.91,0.91,0.91,0.92,0.92,0.93,0.93,0.94,0.94,0.95,0.95,0.96,0.96,0.97,0.97,0.98,0.98,0.99,1.0,1.0,1.01,1.01,1.02,1.02,1.03,1.03,1.04,1.04,1.05,1</t>
  </si>
  <si>
    <t>To_Avoid_Formula.05,1.06,1.06,1.07,1.07,1.08,1.08,1.09,1.09,1.1,1.1,1.11,1.11,1.12,1.12,1.13,1.13,1.14,1.14,1.14,1.15,1.15,1.15,1.16,1.16,1.16,1.17,1.17,1.17,1.17,1.18,1.18,1.18,1.18,1.18,1.19,1.19,1.19,1.19,1.19,1.19,1.19,1.19,1.19,1.19,1.19,1.19,1.19,1.19,1.19,1.19,1.19,1.19,1.19,1.18,1.18,1.18,1.18,1.18,1.17,1.17,1.17,1.17,1.16,1.16,1.16,1.15,1.15,1.15,1.14,1.14,1.14,1.13,1.13,1.12,1.12,1.11,1.11,1.1,1.1,1.09,1.09,1.08,1.07,1.07,1.06,1.05,1.05,1.04,1.03,1.03,1.02,1.01,1.0,0.99,0.99,0.98,0.97,0.96,0.95,0.94,0.93,0.92,0.91,0.9,0.89,0.88,0.87,0.85,0.84,0.83,0.82,0.81,0.79,0.78,0.77,0.75,0.74,0.72,0.71,0.7,0.68,0.67,0.65,0.63,0.62,0.6,0.59,0.57,0.55,0.54,0.52,0.5,0.48,0.46,0.45,0.43,0.41,0.39,0.37,0.35,0.33,0.31,0.29,0.27,0.25,0.23,0.21,0.19,0.17,0.15,0.13,0.11,0.08,0.06,0.04,0.02,0.0,-0.02,-0.05,-0.07,-0.09,-0.11,-0.14,-0.16,-0.18,-0.21,-0.23,-0.25,-0.28,-0.3,-0.32,-0.35,-0.37,-0.39,-0.42,-0.44,-0.46,-0.49,-0.51,-0.53,-0.56,-0.58,-0.6,-0.63,-0.65,-0.67,-0.7,-0.72,-0.75,-0.77,-0.79,-0.82,-0.84,-0.86,-0.89,-0.91,-0.93,-0.96,-0.98,-1.0,-1.03,-1.05,-1.07,-1.09,-1.12,-1.14,-1.16,-1.18,-1.21,-1.23,-1.25,-1.27,-1.3,-1.32,-1.34,-1.36,-1.38,-1.41,-1.43,-1.45,-1.47,-1.49,-1.51,-1.53,-1.56,-1.58,-1.6,-1.62,-1.64,-1.66,-1.68,-1.7,-1.72,-1.74,-1.76,-1.78,-1.8,-1.82,-1.83,-1.85,-1.87,-1.89,-1.91,-1.93,-1.95,-1.96,-1.98,-2.0,-2.02,-2.03,-2.05,-2.07,-2.08,-2.1,-2.11,-2.13,-2.15,-2.16,-2.18,-2.19,-2.21,-2.22,-2.23,-2.25,-2.26,-2.28,-2.29,-2.3,-2.32,-2.33,-2.34,-2.35,-2.36,-2.38,-2.39,-2.4,-2.41,-2.42,-2.43,-2.44,-2.45,-2.46,-2.47,-2.48,-2.49,-2.5,-2.5,-2.51,-2.52,-2.53,-2.53,-2.54,-2.55,-2.56,-2.56,-2.57,-2.58,-2.58,-2.59,-2.59,-2.6,-2.6,-2.61,-2.61,-2.62,-2.62,-2.63,-2.63,-2.64,-2.65,-2.65,-2.65,-2.66,-2.66,-2.67,-2.67,-2.67,-2.68,-2.68,-2.68,-2.69,-2.69,-2.69,-2.7,-2.7,-2.7,-2.71,-2.71,-2.71,-2.71,-2.72,-2.72,-2.72,-2.73,-2.73,-2.73,-2.73,-2.74,-2.74,-2.74,-2.74,-2.75,-2.75,-2.75,-2.75,-2.75,-2.76,-2.76,-2.76,-2.76,</t>
  </si>
  <si>
    <t>To_Avoid_Formula0.55,0.56,0.62,0.68,0.68,0.66,0.69,0.75,0.76,0.74,0.72,0.75,0.77,0.74,0.69,0.67,0.76,0.95,1.2,1.36,1.48,1.65,1.86,2.04,2.11,2.1,2.03,1.96,1.88,1.81,1.75,1.7,1.66,1.62,1.56,1.52,1.51,1.54,1.56,1.52,1.48,1.5,1.57,1.61,1.6,1.52,1.42,1.38,1.4,1.42,1.44,1.47,1.56,1.66,1.69,1.65,1.54,1.41,1.22,0.97,0.67,0.43,0.35,0.31,0.23,0.15,0.2,0.35,0.64,1.02,1.39,1.64,1.83,2.07,2.37,2.57,2.65,2.61,2.49,2.33,2.08,1.79,1.49,1.22,0.89,0.53,0.25,0.09,-0.01,-0.06,-0.11,-0.18,-0.23,-0.24,-0.2,-0.16,-0.1,0.03,0.16,0.23,0.25,0.29,0.42,0.55,0.59,0.61,0.69,0.84,1.01,1.09,1.12,1.23,1.41,1.52,1.5,1.5,1.63,1.92,2.16,2.2,2.1,2.09,2.2,2.33,2.43,2.5,2.59,2.69,2.78,2.78,2.72,2.66,2.62,2.58,2.46,2.25,1.98,1.77,1.63,1.5,1.38,1.26,1.15,1.1,1.13,1.2,1.23,1.26,1.32,1.39,1.5,1.73,2.02,2.16,2.16,2.14,2.18,2.22,2.21,2.19,2.16,2.13,2.06,1.94,1.77,1.66,1.57,1.47,1.32,1.22,1.18,1.19,1.15,1.04,0.94,0.91,0.92,0.89,0.75,0.54,0.35,0.29,0.3,0.35,0.41,0.52,0.63,0.72,0.84,0.99,1.14,1.21,1.21,1.14,1.05,0.98,0.95,0.97,0.96,0.9,0.86,0.93,1.08,1.23,1.32,1.42,1.55,1.69,1.85,2.02,2.16,2.29,2.4,2.49,2.56,2.66,2.77,2.83,2.84,2.84,2.93,3.09,3.21,3.29,3.31,3.33,3.41,3.52,3.64,3.72,3.75,3.76,3.79,3.8,3.77,3.71,3.64,3.54,3.4,3.27,3.22,3.19,3.05,2.8,2.62,2.57,2.62,2.68,2.68,2.63,2.58,2.56,2.51,2.39,2.24,2.14,2.1,2.02,1.94,1.88,1.88,1.82,1.62,1.33,1.07,0.91,0.74,0.48,0.09,-0.19,-0.2,-0.05,0.11,0.21,0.33,0.49,0.72,0.95,1.15,1.33,1.47,1.54,1.57,1.62,1.73,1.88,2.05,2.17,2.26,2.35,2.44,2.54,2.6,2.57,2.44,2.33,2.34,2.45,2.67,2.93,3.18,3.34,3.37,3.3,3.25,3.24,3.23,3.14,3.02,2.98,2.93,2.79,2.54,2.29,2.1,1.99,1.94,1.91,1.88,1.83,1.8,1.77,1.69,1.55,1.42,1.29,1.1,0.8,0.47,0.22,0.17,0.26,0.36,0.46,0.59,0.8,1.07,1.32,1.51,1.7,1.91,2.14,2.31,2.4,2.4,2.3,2.04,1.71,1.35,1.04,0.81,0.57,0.31,0.02,-0.16,-0.21,-0.21,-0.27,-0.37,-0.36,-0.25,-0.09,0.14,0.48,0.89,1.34,1.76,2.14,2.43,2.63,2.67,2.53,2.31,2.08,1.92,1.78,1.58,1.28,1.0,0.81,0.68,0.58,0.48,0.44,0.46,0.46,0.41,0.41,0.51,0.65,0.78,0.92,0.99,0.97,0.99,1.1,1.17,1.11,0.92,0.75,0.68,0.63,0.52,0.38,0.3,0.29,0.34,0.42,0.53,0.68,0.86,1.05,1.3,1.62,1.9,2.04,2.05,2.03,1.98,1.92,1.87,1.78,1.6,1.35,1.17,1.07,1.06,1.02,0.91,0.73,0.57,0.42,0.29,0.2,0.22,0.23,0.19,0.17,0.25,0.39,0.53,0.6,0.66,0.79,0.95,1.07,1.17,1.22,1.23,1.24,1.19,1.08,0.96,0.85,0.69,0.5,0.32,0.26,0.35,0.46,0.5,0.46,0.45,0.53,0.62,0.68,0.69,0.65,0.57,0.54,0.57,0.6,0.67,0.84,1.14,1.39,1.49,1.56,1.69,1.82,1.82,1.68,1.5,1.37,1.29,1.26,1.19,1.04,0.84,0.73,0.74,0.79,0.76,0.7,0.67,0.69,0.72,0.85,1.14,1.48,1.69,1.8,1.88,2.0,2.16,2.3,2.36,2.3,2.12,1.84,1.55,1.25,0.96,0.72,0.57,0.44,0.27,0.1,0.0,-0.09,-0.24,-0.39,-0.48,-0.51,-0.53,-0.5,-0.4,-0.23,-0.02,0.25,0.48,0.69,0.94,1.19,1.31,1.33,1.28,1.21,1.14,1.03,0.86,0.68,0.51,0.41,0.4,0.44,0.46,0.44,0.44,0.49,0.57,0.61,0.64,0.7,0.74,0.77,0.89,1.09,1.25,1.3,1.29,1.32,1.38,1.43,1.42,1.38,1.39,1.45,1.57,1.73,1.87,1.99,2.11,2.28,2.42,2.46,2.41,2.42,2.44,2.29,1.94,1.61,1.34,1.13,0.98,0.83,0.66,0.51,0.48,0.58,0.73,0.82,0.91,1.05,1.18,1.2,1.1,0.99,1.0,1.04,1.08,1.11,1.15,1.22,1.32,1.45,1.58,1.68,1.78,1.87,1.92,1.94,1.94,1.93,1.88,1.79,1.75,1.75,1.72,1.67,1.66,1.69,1.7,1.7,1.72,1.76,1.78,1.77,1.77,1.77,1.77,1.79,1.92,2.07,2.17,2.16,2.14,2.16,2.19,2.17,2.17,2.23,2.36,2.51,2.62,2.67,2.74,2.87,2.99,3.03,2.97,2.88,2.85,2.89,2.97,3.01,3.03,3.04,3.0,2.94,2.87,2.77,2.69,2.65,2.66,2.66,2.63,2.62,2.62,2.59,2.48,2.36,2.27,2.19,2.08,1.99,1.96,2.02,2.14,2.29,2.49,2.72,2.97,3.2,3.36,3.38,3.26,3.11,3.0,2.87,2.69,2.52,2.39,2.24,2.04,1.79,1.57,1.41,1.3,1.18,1.08,1.02,1.03,1.17,1.33,1.45,1.54,1.66,1.74,1.73,1.67,1.58,1.36,1.1,0.9,0.7,0.45,0.24,0.06,-0.15,-0.38,-0.54,-0.54,-0.46,-0.31,0.0,0.4,0.72,0.88,1.02,1.25,1.59,1.88,1.99,1.95,1.87,1.85,1.87,1.86,1.72,1.52,1.37,1.3,1.22,1.13,1.1,1.21,1.39,1.56,1.68,1.84,2.11,2.4,2.6,2.61,2.53,2.42,2.32,2.2,2.03,1.8,1.57,1.43,1.44,1.44,1.3,1.18,1.22,1.36,1.52,1.6,1.62,1.65,1.62,1.5,1.31,1.18,1.07,0.91,0.74,0.66,0.68,0.79,0.93,1.08,1.25,1.41,1.52,1.6,1.67,1.69,1.7,1.72,1.75,1</t>
  </si>
  <si>
    <t>To_Avoid_Formula.8,1.93,2.16,2.44,2.72,2.92,3.08,3.25,3.38,3.43,3.37,3.25,3.12,3.03,2.95,2.88,2.83,2.8,2.77,2.73,2.7,2.65,2.58,2.48,2.35,2.17,1.99,1.86,1.77,1.64,1.52,1.45,1.44,1.38,1.18,0.91,0.71,0.62,0.57,0.5,0.35,0.19,0.05,-0.05,-0.16,-0.27,-0.35,-0.36,-0.31,-0.22,-0.17,-0.14,-0.07,0.09,0.23,0.33,0.46,0.61,0.72,0.79,0.83,0.87,0.87,0.78,0.62,0.46,0.37,0.3,0.24,0.14,0.0,-0.13,-0.18,-0.15,-0.12,-0.09,0.01,0.25,0.6,0.96,1.3,1.57,1.78,1.92,1.94,1.85,1.67,1.51,1.47,1.48,1.49,1.55,1.67,1.76,1.76,1.68,1.61,1.56,1.44,1.21,0.9,0.6,0.33,0.05,-0.21,-0.29,-0.19,-0.04,0.12,0.3,0.57,0.85,1.07,1.22,1.27,1.28,1.23,1.13,0.92,0.66,0.43,0.31,0.26,0.28,0.34,0.41,0.54,0.68,0.74,0.71,0.65,0.58,0.44,0.26,0.03,-0.17,-0.26,-0.22,-0.04,0.19,0.45,0.71,0.96,1.19,1.39,1.51,1.57,1.59,1.58,1.57,1.62,1.71,1.77,1.76,1.67,1.62,1.61,1.58,1.47,1.29,1.12,1.01,1.04,1.14,1.2,1.19,1.23,1.42,1.67,1.9,2.05,2.06,2.02,1.94,1.86,1.84,1.81,1.67,1.45,1.28,1.23,1.23,1.25,1.32,1.46,1.61,1.7,1.75,1.87,2.05,2.21,2.28,2.27,2.23,2.25,2.3,2.27,2.09,1.88,1.74,1.76,1.86,1.89,1.82,1.76,1.79,2.16,2.25,2.16,2.03,1.97,2.04,2.18,2.27,2.27,2.24,2.22,2.18,2.13,2.02,1.89,1.76,1.62,1.47,1.36,1.38,1.52,1.65,1.77,1.91,2.07,2.18,2.19,2.16,2.11,2.01,1.78,1.43,1.14,1.05,1.11,1.21,1.26,1.36,1.66,2.14,2.67,2.99,</t>
  </si>
  <si>
    <t>To_Avoid_Formula0.32,0.31,0.31,0.31,0.3,0.3,0.29,0.29,0.28,0.28,0.27,0.27,0.27,0.26,0.26,0.25,0.24,0.24,0.23,0.22,0.21,0.2,0.19,0.18,0.17,0.16,0.15,0.14,0.13,0.12,0.11,0.1,0.09,0.08,0.07,0.06,0.05,0.04,0.03,0.02,0.02,0.01,0.0,-0.01,-0.01,-0.02,-0.02,-0.02,-0.02,-0.02,-0.02,-0.02,-0.01,-0.01,-0.01,0.0,0.0,0.01,0.01,0.01,0.02,0.02,0.02,0.03,0.03,0.03,0.04,0.04,0.05,0.05,0.05,0.06,0.06,0.07,0.07,0.07,0.08,0.08,0.08,0.09,0.09,0.09,0.09,0.09,0.09,0.1,0.1,0.09,0.09,0.09,0.09,0.09,0.09,0.08,0.08,0.07,0.07,0.06,0.06,0.05,0.04,0.03,0.02,0.01,0.0,-0.01,-0.02,-0.03,-0.04,-0.05,-0.06,-0.07,-0.08,-0.09,-0.1,-0.11,-0.12,-0.13,-0.14,-0.15,-0.16,-0.17,-0.18,-0.19,-0.19,-0.2,-0.21,-0.21,-0.22,-0.22,-0.23,-0.23,-0.24,-0.24,-0.25,-0.25,-0.25,-0.25,-0.25,-0.25,-0.25,-0.25,-0.25,-0.25,-0.24,-0.24,-0.24,-0.23,-0.23,-0.23,-0.22,-0.22,-0.21,-0.2,-0.2,-0.19,-0.19,-0.18,-0.17,-0.17,-0.16,-0.16,-0.15,-0.15,-0.14,-0.14,-0.14,-0.13,-0.13,-0.12,-0.12,-0.12,-0.12,-0.11,-0.11,-0.11,-0.1,-0.1,-0.1,-0.09,-0.09,-0.09,-0.08,-0.08,-0.08,-0.07,-0.07,-0.07,-0.06,-0.06,-0.06,-0.06,-0.06,-0.07,-0.07,-0.07,-0.07,-0.08,-0.08,-0.08,-0.09,-0.09,-0.09,-0.1,-0.1,-0.1,-0.11,-0.11,-0.11,-0.11,-0.12,-0.12,-0.12,-0.12,-0.12,-0.12,-0.12,-0.12,-0.12,-0.12,-0.11,-0.11,-0.11,-0.11,-0.11,-0.11,-0.11,-0.11,-0.11,-0.11,-0.11,-0.11,-0.12,-0.12,-0.12,-0.12,-0.12,-0.12,-0.12,-0.12,-0.12,-0.12,-0.11,-0.11,-0.1,-0.1,-0.1,-0.09,-0.09,-0.08,-0.08,-0.08,-0.07,-0.07,-0.07,-0.07,-0.07,-0.06,-0.06,-0.06,-0.05,-0.05,-0.05,-0.04,-0.04,-0.03,-0.03,-0.02,-0.02,-0.02,-0.01,-0.01,0.0,0.0,0.01,0.02,0.02,0.03,0.03,0.04,0.05,0.05,0.06,0.07,0.08,0.08,0.09,0.09,0.1,0.1,0.11,0.11,0.12,0.12,0.13,0.13,0.14,0.14,0.15,0.15,0.16,0.16,0.17,0.17,0.18,0.18,0.19,0.19,0.2,0.2,0.2,0.21,0.21,0.21,0.21,0.21,0.21,0.21,0.21,0.21,0.22,0.22,0.22,0.22,0.22,0.23,0.23,0.23,0.23,0.23,0.24,0.24,0.24,0.25,0.25,0.25,0.25,0.25,0.25,0.25,0.25,0.24,0.24,0.24,0.24,0.23,0.23,0.23,0.22,0.22,0.22,0.21,0.21,0.2,0.2,0.2,0.19,0.19,0.18,0.18,0.18,0.18,0.17,0.17,0.17,0.17,0.16,0.16,0.16,0.15,0.15,0.15,0.14,0.14,0.13,0.13,0.12,0.11,0.1,0.09,0.08,0.07,0.06,0.05,0.03,0.02,0.01,0.0,-0.01,-0.01,-0.02,-0.03,-0.03,-0.03,-0.04,-0.04,-0.04,-0.04,-0.04,-0.04,-0.04,-0.04,-0.03,-0.03,-0.03,-0.02,-0.02,-0.02,-0.01,-0.01,0.0,0.0,0.0,0.01,0.01,0.01,0.01,0.02,0.02,0.02,0.03,0.03,0.03,0.04,0.04,0.05,0.06,0.06,0.07,0.08,0.1,0.11,0.12,0.14,0.15,0.16,0.18,0.19,0.2,0.21,0.22,0.23,0.24,0.24,0.25,0.25,0.25,0.26,0.26,0.26,0.25,0.25,0.25,0.25,0.24,0.24,0.24,0.23,0.23,0.22,0.22,0.21,0.21,0.2,0.2,0.19,0.19,0.18,0.18,0.17,0.17,0.16,0.16,0.15,0.14,0.14,0.13,0.13,0.12,0.11,0.11,0.1,0.09,0.08,0.08,0.07,0.07,0.06,0.06,0.05,0.05,0.05,0.05,0.04,0.04,0.04,0.04,0.04,0.05,0.05,0.05,0.06,0.06,0.07,0.07,0.08,0.09,0.1,0.1,0.11,0.12,0.13,0.14,0.15,0.16,0.17,0.18,0.19,0.2,0.21,0.22,0.22,0.23,0.24,0.25,0.25,0.26,0.27,0.27,0.28,0.28,0.28,0.29,0.29,0.29,0.3,0.3,0.3,0.3,0.31,0.31,0.31,0.32,0.32,0.32,0.32,0.33,0.33,0.33,0.33,0.33,0.33,0.33,0.33,0.33,0.33,0.33,0.33,0.32,0.32,0.32,0.32,0.31,0.31,0.31,0.3,0.3,0.3,0.29,0.29,0.29,0.29,0.28,0.28,0.28,0.28,0.28,0.28,0.28,0.29,0.29,0.29,0.3,0.3,0.31,0.31,0.32,0.32,0.33,0.33,0.33,0.34,0.34,0.34,0.34,0.35,0.35,0.35,0.36,0.36,0.36,0.36,0.36,0.36,0.36,0.35,0.35,0.35,0.35,0.36,0.36,0.36,0.36,0.36,0.36,0.36,0.36,0.37,0.37,0.37,0.37,0.38,0.38,0.38,0.38,0.38,0.38,0.38,0.38,0.38,0.38,0.37,0.37,0.36,0.36,0.35,0.34,0.34,0.33,0.33,0.32,0.32,0.31,0.3,0.3,0.29,0.29,0.28,0.28,0.27,0.27,0.27,0.27,0.27,0.27,0.27,0.27,0.27,0.27,0.27,0.26,0.26,0.26,0.26,0.26,0.26,0.26,0.25,0.25,0.25,0.24,0.24,0.24,0.23,0.23,0.23,0.23,0.23,0.22,0.22,0.22,0.22,0.22,0.22,0.22,0.22,0.22,0.22,0.21,0.21,0.21,0.21,0.21,0.21,0.21,0.21,0.21,0.21,0.21,0.21,0.21,0.21,0.2,0.2,0.2,0.2,0.19,0.19,0.19,0.19,0.18,0.18,0.17,0.17,0.17,0.16,0.16,0.15,0.15,0.15,0.14,0.14,0.14,0.13,0.13,0.13,0.12,0.12,0.12,0.12,0.12,0.11,0.11,0.11,0.11,0.11,0.11,0.11,0.11,0.1,0.1,0.1,0.1,0.1,0.1,0.1,0.1,0.1,0.09,0.09,0.09,0.08,0.08,0.07,0.07,0.06,0.06,0.05</t>
  </si>
  <si>
    <t>To_Avoid_Formula,0.05,0.04,0.04,0.03,0.03,0.02,0.02,0.01,0.0,0.0,-0.01,-0.01,-0.02,-0.03,-0.03,-0.04,-0.05,-0.06,-0.06,-0.07,-0.08,-0.09,-0.09,-0.1,-0.11,-0.12,-0.13,-0.14,-0.14,-0.15,-0.16,-0.17,-0.18,-0.19,-0.2,-0.21,-0.21,-0.22,-0.23,-0.24,-0.25,-0.26,-0.26,-0.27,-0.27,-0.27,-0.27,-0.27,-0.27,-0.27,-0.28,-0.28,-0.28,-0.28,-0.28,-0.28,-0.28,-0.28,-0.27,-0.27,-0.27,-0.27,-0.27,-0.27,-0.27,-0.27,-0.26,-0.26,-0.26,-0.26,-0.26,-0.26,-0.26,-0.26,-0.25,-0.25,-0.25,-0.25,-0.24,-0.24,-0.24,-0.23,-0.23,-0.22,-0.22,-0.22,-0.21,-0.21,-0.2,-0.2,-0.19,-0.19,-0.18,-0.18,-0.18,-0.18,-0.18,-0.18,-0.17,-0.17,-0.17,-0.17,-0.17,-0.16,-0.16,-0.16,-0.16,-0.16,-0.16,-0.16,-0.16,-0.15,-0.15,-0.15,-0.15,-0.15,-0.14,-0.14,-0.14,-0.13,-0.13,-0.13,-0.13,-0.13,-0.12,-0.12,-0.12,-0.11,-0.11,-0.11,-0.1,-0.1,-0.1,-0.1,-0.09,-0.09,-0.09,-0.09,-0.09,-0.09,-0.09,-0.09,-0.09,-0.09,-0.09,-0.09,-0.1,-0.1,-0.1,-0.1,-0.1,-0.1,-0.1,-0.1,-0.1,-0.1,-0.1,-0.09,-0.09,-0.09,-0.09,-0.09,-0.09,-0.08,-0.08,-0.08,-0.08,-0.08,-0.08,-0.07,-0.07,-0.07,-0.07,-0.07,-0.07,-0.07,-0.07,-0.07,-0.07,-0.07,-0.07,-0.07,-0.07,-0.08,-0.08,-0.08,-0.08,-0.08,-0.08,-0.08,-0.08,-0.08,-0.08,-0.08,-0.07,-0.07,-0.07,-0.06,-0.06,-0.05,-0.05,-0.04,-0.04,-0.03,-0.03,-0.03,-0.03,-0.02,-0.02,-0.02,-0.02,-0.02,-0.02,-0.02,-0.02,-0.02,-0.02,-0.02,-0.02,-0.02,-0.02,-0.02,-0.03,-0.03,-0.03,-0.03,-0.03,-0.03,-0.03,-0.03,-0.03,-0.03,-0.02,-0.02,-0.02,-0.01,-0.01,-0.01,0.0,0.0,0.01,0.01,0.01,0.01,0.01,0.01,0.01,0.0,0.0,0.0,-0.01,-0.01,-0.02,-0.02,-0.03,-0.03,-0.03,-0.04,-0.04,-0.04,-0.04,-0.04,-0.04,-0.04,-0.03,-0.03,-0.03,-0.03,-0.02,-0.02,-0.02,-0.01,-0.01,-0.01,-0.01,-0.01,0.0,0.0,0.0,0.0,0.0,-0.01,-0.01,-0.01,</t>
  </si>
  <si>
    <t>To_Avoid_Formula-0.2,-0.17,-0.13,-0.08,-0.03,0.01,0.05,0.09,0.11,0.13,0.13,0.14,0.15,0.17,0.22,0.28,0.35,0.43,0.53,0.64,0.77,0.91,1.04,1.17,1.28,1.37,1.45,1.5,1.53,1.54,1.52,1.47,1.39,1.3,1.19,1.07,0.94,0.82,0.72,0.63,0.55,0.5,0.45,0.42,0.39,0.36,0.33,0.3,0.27,0.24,0.21,0.21,0.21,0.23,0.24,0.25,0.26,0.27,0.27,0.26,0.25,0.23,0.21,0.18,0.16,0.15,0.14,0.13,0.13,0.12,0.1,0.08,0.07,0.05,0.03,0.03,0.04,0.07,0.12,0.18,0.25,0.33,0.4,0.47,0.55,0.62,0.68,0.72,0.76,0.79,0.82,0.84,0.85,0.84,0.82,0.78,0.72,0.64,0.55,0.45,0.34,0.24,0.13,0.04,-0.04,-0.1,-0.15,-0.18,-0.19,-0.16,-0.11,-0.03,0.09,0.22,0.38,0.54,0.7,0.87,1.02,1.16,1.26,1.34,1.38,1.39,1.37,1.32,1.24,1.15,1.06,0.97,0.89,0.81,0.75,0.69,0.63,0.57,0.51,0.45,0.39,0.32,0.25,0.18,0.12,0.07,0.02,-0.01,-0.02,-0.03,-0.02,0.0,0.03,0.06,0.11,0.18,0.25,0.33,0.41,0.49,0.56,0.62,0.68,0.74,0.78,0.82,0.86,0.89,0.92,0.95,0.97,1.0,1.02,1.04,1.07,1.11,1.15,1.21,1.28,1.36,1.45,1.53,1.62,1.69,1.75,1.8,1.83,1.84,1.83,1.79,1.72,1.62,1.51,1.38,1.24,1.09,0.94,0.8,0.65,0.52,0.4,0.28,0.17,0.08,-0.01,-0.07,-0.11,-0.14,-0.15,-0.16,-0.17,-0.18,-0.2,-0.21,-0.22,-0.23,-0.25,-0.27,-0.29,-0.31,-0.32,-0.33,-0.32,-0.31,-0.28,-0.22,-0.15,-0.06,0.04,0.14,0.25,0.37,0.49,0.61,0.74,0.87,1.0,1.14,1.29,1.44,1.59,1.73,1.87,2.0,2.12,2.23,2.32,2.4,2.46,2.49,2.5,2.49,2.47,2.45,2.42,2.41,2.42,2.45,2.5,2.55,2.61,2.66,2.7,2.71,2.7,2.67,2.62,2.55,2.46,2.35,2.23,2.1,1.97,1.84,1.71,1.58,1.45,1.32,1.19,1.08,0.98,0.91,0.86,0.83,0.82,0.84,0.88,0.93,0.99,1.07,1.16,1.23,1.3,1.37,1.42,1.47,1.51,1.54,1.57,1.6,1.64,1.68,1.73,1.79,1.85,1.92,1.99,2.05,2.12,2.18,2.25,2.3,2.35,2.39,2.41,2.43,2.43,2.43,2.41,2.4,2.37,2.35,2.33,2.31,2.28,2.25,2.21,2.17,2.14,2.1,2.06,2.03,2.01,2.01,2.03,2.06,2.09,2.14,2.17,2.19,2.18,2.15,2.08,1.98,1.87,1.73,1.58,1.42,1.26,1.1,0.94,0.79,0.65,0.52,0.41,0.31,0.22,0.15,0.09,0.05,0.01,-0.01,-0.02,-0.03,-0.02,-0.02,-0.01,0.0,0.01,0.02,0.01,-0.01,-0.04,-0.09,-0.15,-0.22,-0.3,-0.38,-0.46,-0.53,-0.6,-0.65,-0.69,-0.71,-0.72,-0.72,-0.7,-0.67,-0.62,-0.55,-0.46,-0.35,-0.23,-0.1,0.04,0.19,0.33,0.48,0.61,0.72,0.81,0.89,0.94,0.98,1.01,1.02,1.02,1.01,0.99,0.96,0.92,0.88,0.83,0.79,0.76,0.75,0.75,0.76,0.77,0.79,0.81,0.82,0.82,0.81,0.8,0.79,0.77,0.76,0.76,0.78,0.81,0.86,0.91,0.96,1.0,1.03,1.05,1.06,1.06,1.07,1.07,1.08,1.09,1.1,1.11,1.11,1.11,1.09,1.07,1.03,0.99,0.93,0.87,0.8,0.75,0.7,0.67,0.65,0.64,0.64,0.65,0.66,0.67,0.69,0.72,0.74,0.77,0.8,0.82,0.84,0.85,0.85,0.83,0.82,0.81,0.8,0.8,0.79,0.79,0.8,0.81,0.82,0.85,0.88,0.92,0.97,1.01,1.06,1.1,1.14,1.17,1.19,1.2,1.2,1.2,1.2,1.2,1.2,1.19,1.18,1.18,1.17,1.16,1.14,1.1,1.04,0.98,0.9,0.8,0.7,0.59,0.48,0.38,0.3,0.23,0.18,0.14,0.12,0.12,0.13,0.15,0.18,0.21,0.26,0.32,0.38,0.44,0.48,0.5,0.49,0.46,0.41,0.34,0.26,0.19,0.11,0.04,-0.02,-0.07,-0.11,-0.13,-0.15,-0.17,-0.18,-0.19,-0.2,-0.2,-0.19,-0.18,-0.17,-0.15,-0.11,-0.06,0.01,0.09,0.2,0.32,0.46,0.61,0.77,0.94,1.11,1.28,1.45,1.63,1.81,2.0,2.18,2.35,2.51,2.65,2.77,2.87,2.95,3.02,3.07,3.09,3.1,3.09,3.06,3.02,2.96,2.88,2.79,2.66,2.51,2.34,2.15,1.94,1.71,1.46,1.2,0.93,0.66,0.38,0.11,-0.15,-0.39,-0.62,-0.82,-1.0,-1.16,-1.28,-1.38,-1.44,-1.48,-1.49,-1.49,-1.48,-1.46,-1.44,-1.42,-1.41,-1.4,-1.38,-1.36,-1.32,-1.27,-1.21,-1.13,-1.05,-0.97,-0.89,-0.81,-0.73,-0.64,-0.54,-0.43,-0.3,-0.16,0.01,0.17,0.34,0.49,0.62,0.73,0.83,0.9,0.95,0.98,1.01,1.05,1.08,1.13,1.18,1.24,1.3,1.35,1.38,1.39,1.38,1.36,1.31,1.26,1.19,1.11,1.02,0.92,0.82,0.72,0.61,0.5,0.39,0.28,0.18,0.08,-0.01,-0.09,-0.16,-0.21,-0.25,-0.28,-0.3,-0.31,-0.31,-0.32,-0.33,-0.34,-0.35,-0.34,-0.32,-0.28,-0.23,-0.17,-0.11,-0.04,0.02,0.06,0.09,0.1,0.1,0.09,0.08,0.08,0.08,0.08,0.1,0.12,0.14,0.16,0.18,0.2,0.2,0.2,0.18,0.17,0.14,0.12,0.09,0.05,0.01,-0.04,-0.11,-0.2,-0.31,-0.44,-0.58,-0.71,-0.84,-0.95,-1.04,-1.11,-1.14,-1.14,-1.11,-1.05,-0.97,-0.88,-0.78,-0.69,-0.6,-0.54,-0.5,-0.49,-0.5,-0.52,-0.56,-0.61,-0.66,-0.71,-0.77,-0.83,-0.88,-0.94,-0.98,-1.02,-1.06,-1.1,-1.13,-1.18,-1.24,-1.32,-1.4,-1.48,-1.55,-1.62,-1.67,-1.7,-1.72,-1.71,-1.7,-1.67,-1.63,-1.58,</t>
  </si>
  <si>
    <t>To_Avoid_Formula-1.53,-1.47,-1.41,-1.35,-1.27,-1.17,-1.06,-0.91,-0.74,-0.56,-0.38,-0.21,-0.06,0.06,0.15,0.21,0.25,0.26,0.23,0.19,0.14,0.08,0.01,-0.08,-0.18,-0.3,-0.44,-0.59,-0.76,-0.93,-1.11,-1.28,-1.45,-1.6,-1.73,-1.84,-1.93,-2.0,-2.07,-2.12,-2.15,-2.17,-2.18,-2.15,-2.11,-2.05,-1.97,-1.89,-1.81,-1.74,-1.71,-1.69,-1.69,-1.69,-1.69,-1.68,-1.65,-1.6,-1.54,-1.45,-1.34,-1.22,-1.09,-0.96,-0.83,-0.71,-0.59,-0.49,-0.4,-0.31,-0.23,-0.15,-0.07,0.0,0.06,0.11,0.13,0.12,0.08,0.03,-0.04,-0.13,-0.22,-0.32,-0.42,-0.52,-0.63,-0.73,-0.84,-0.95,-1.05,-1.13,-1.21,-1.27,-1.32,-1.36,-1.39,-1.41,-1.4,-1.38,-1.35,-1.31,-1.27,-1.22,-1.18,-1.14,-1.12,-1.1,-1.1,-1.11,-1.12,-1.15,-1.18,-1.23,-1.29,-1.35,-1.43,-1.51,-1.6,-1.7,-1.8,-1.91,-2.02,-2.12,-2.19,-2.25,-2.29,-2.3,-2.31,-2.3,-2.27,-2.24,-2.19,-2.14,-2.08,-2.01,-1.95,-1.9,-1.86,-1.82,-1.78,-1.73,-1.67,-1.59,-1.5,-1.39,-1.26,-1.09,-0.9,-0.67,-0.42,-0.13,0.17,0.48,0.8,1.09,1.36,1.6,1.8,1.96,2.07,2.14,2.17,2.16,2.11,2.03,1.93,1.8,1.66,1.5,1.35,1.22,1.12,1.05,1.01,1.01,1.04,1.09,1.17,1.26,1.35,1.43,1.51,1.59,1.65,1.7,1.73,1.74,1.71,1.67,1.61,1.54,1.48,1.44,1.41,1.41,1.44,1.48,1.53,1.58,1.61,1.62,1.6,1.56,1.51,1.45,1.38,1.31,1.25,1.19,1.14,1.11,1.09,1.07,1.06,1.07,1.08,1.1,1.12,1.15,1.17,1.19,1.2,1.22,1.21,1.19,1.15,1.08,0.98,0.87,0.75,0.62,0.51,0.41,0.33,0.26,0.21,0.17,0.12,0.1,0.1,0.13,0.2,0.3,0.43,0.59,0.76,0.95,1.13,1.31,1.46,1.58,1.68,1.75,1.8,1.83,1.82,1.79,1.74,1.67,1.58,1.48,1.35,1.21,1.06,0.91,0.77,0.63,0.49,0.37,0.24,0.12,0.0,-0.11,-0.21,-0.32,-0.42,-0.52,-0.62,-0.72,</t>
  </si>
  <si>
    <t>To_Avoid_Formula0.14,0.22,0.29,0.38,0.47,0.52,0.54,0.62,0.72,0.77,0.78,0.82,0.85,0.81,0.72,0.69,0.72,0.7,0.66,0.62,0.58,0.5,0.45,0.47,0.47,0.35,0.2,0.12,0.1,0.05,0.0,0.01,0.02,-0.03,-0.1,-0.12,-0.14,-0.21,-0.29,-0.3,-0.29,-0.28,-0.22,-0.15,-0.11,-0.16,-0.18,-0.07,0.07,0.16,0.28,0.44,0.62,0.75,0.86,0.95,0.9,0.74,0.55,0.39,0.15,-0.05,-0.13,-0.15,-0.26,-0.46,-0.56,-0.55,-0.49,-0.42,-0.33,-0.27,-0.28,-0.26,-0.08,0.05,0.05,-0.05,-0.1,-0.11,-0.27,-0.5,-0.62,-0.61,-0.65,-0.73,-0.71,-0.55,-0.41,-0.34,-0.27,-0.16,-0.05,0.06,0.23,0.41,0.55,0.69,0.9,1.1,1.22,1.29,1.47,1.68,1.73,1.63,1.57,1.55,1.4,1.13,0.82,0.57,0.36,0.11,-0.21,-0.47,-0.6,-0.56,-0.5,-0.57,-0.8,-1.0,-1.04,-0.95,-0.9,-0.94,-0.9,-0.79,-0.72,-0.75,-0.79,-0.8,-0.81,-0.8,-0.78,-0.79,-0.86,-0.92,-0.9,-0.91,-1.03,-1.16,-1.23,-1.23,-1.25,-1.26,-1.2,-1.09,-0.98,-0.84,-0.61,-0.34,-0.16,-0.16,-0.25,-0.38,-0.56,-0.71,-0.77,-0.78,-0.8,-0.77,-0.62,-0.49,-0.45,-0.29,0.0,0.23,0.35,0.49,0.67,0.76,0.68,0.54,0.44,0.38,0.38,0.38,0.37,0.3,0.17,0.14,0.22,0.3,0.27,0.24,0.25,0.26,0.23,0.19,0.19,0.19,0.18,0.22,0.24,0.19,0.16,0.24,0.34,0.32,0.2,0.16,0.21,0.24,0.2,0.17,0.17,0.15,0.13,0.14,0.13,0.06,-0.03,-0.07,-0.1,-0.14,-0.18,-0.17,-0.17,-0.22,-0.22,-0.11,-0.03,-0.05,-0.12,-0.1,-0.01,0.01,0.02,0.07,0.11,0.08,0.07,0.11,0.13,0.04,-0.02,-0.02,-0.01,-0.02,0.01,0.08,0.05,-0.16,-0.34,-0.39,-0.44,-0.53,-0.68,-0.91,-1.24,-1.63,-1.95,-2.31,-2.69,-3.03,-3.19,-3.24,-3.25,-3.31,-3.15,-2.86,-2.63,-2.45,-2.18,-1.69,-1.17,-0.81,-0.46,0.01,0.55,1.17,1.8,2.42,2.92,3.37,3.91,4.52,5.02,5.35,5.61,5.87,6.06,6.13,6.17,6.2,6.19,6.11,5.98,5.82,5.6,5.33,5.08,4.77,4.31,3.79,3.4,3.07,2.68,2.21,1.75,1.27,0.65,-0.06,-0.71,-1.26,-1.73,-2.18,-2.53,-2.71,-2.85,-3.09,-3.3,-3.4,-3.43,-3.4,-3.28,-3.06,-2.88,-2.74,-2.53,-2.27,-2.07,-1.93,-1.72,-1.46,-1.34,-1.38,-1.4,-1.38,-1.32,-1.18,-0.96,-0.77,-0.7,-0.67,-0.58,-0.49,-0.52,-0.54,-0.46,-0.33,-0.31,-0.38,-0.42,-0.49,-0.7,-0.95,-1.16,-1.35,-1.52,-1.71,-1.84,-1.98,-2.04,-1.98,-1.81,-1.65,-1.57,-1.43,-1.2,-0.97,-0.8,-0.6,-0.31,0.03,0.27,0.45,0.61,0.71,0.68,0.55,0.43,0.33,0.23,0.13,0.02,-0.13,-0.33,-0.46,-0.47,-0.45,-0.48,-0.46,-0.36,-0.27,-0.29,-0.25,-0.09,0.05,0.13,0.27,0.42,0.44,0.35,0.36,0.46,0.49,0.35,0.2,0.14,0.08,-0.06,-0.2,-0.3,-0.41,-0.5,-0.57,-0.62,-0.71,-0.77,-0.74,-0.63,-0.51,-0.46,-0.44,-0.42,-0.43,-0.45,-0.38,-0.27,-0.23,-0.26,-0.27,-0.25,-0.24,-0.17,-0.03,0.08,0.09,0.12,0.22,0.31,0.38,0.51,0.66,0.76,0.79,0.85,0.97,1.07,1.11,1.11,1.19,1.26,1.24,1.18,1.17,1.17,1.13,1.08,1.03,0.9,0.67,0.38,0.13,-0.06,-0.21,-0.23,-0.14,-0.08,-0.07,-0.03,0.16,0.39,0.55,0.66,0.8,0.87,0.88,0.9,0.96,1.01,1.08,1.23,1.43,1.55,1.56,1.58,1.64,1.56,1.29,0.99,0.78,0.55,0.3,0.06,-0.22,-0.54,-0.8,-0.91,-0.97,-1.13,-1.33,-1.42,-1.41,-1.46,-1.5,-1.36,-1.09,-0.99,-1.04,-1.1,-1.03,-0.91,-0.81,-0.72,-0.68,-0.76,-0.91,-0.99,-1.01,-1.05,-1.08,-0.99,-0.85,-0.8,-0.8,-0.71,-0.59,-0.54,-0.51,-0.39,-0.25,-0.19,-0.14,-0.03,0.1,0.21,0.36,0.55,0.72,0.81,0.9,0.97,0.99,0.96,0.94,0.98,0.97,0.83,0.67,0.53,0.37,0.18,0.02,-0.01,-0.03,-0.08,-0.09,0.03,0.14,0.16,0.19,0.25,0.33,0.39,0.51,0.67,0.74,0.78,0.86,1.03,1.18,1.27,1.34,1.44,1.5,1.51,1.55,1.63,1.66,1.62,1.64,1.7,1.67,1.51,1.37,1.27,1.03,0.58,0.18,-0.17,-0.48,-0.75,-0.99,-1.21,-1.47,-1.67,-1.76,-1.77,-1.86,-1.98,-2.0,-1.98,-1.98,-2.01,-1.98,-1.83,-1.7,-1.62,-1.5,-1.37,-1.33,-1.28,-1.12,-0.93,-0.81,-0.71,-0.54,-0.38,-0.34,-0.36,-0.32,-0.24,-0.27,-0.32,-0.33,-0.32,-0.38,-0.43,-0.41,-0.37,-0.35,-0.34,-0.27,-0.24,-0.29,-0.3,-0.24,-0.21,-0.21,-0.13,0.03,0.16,0.17,0.18,0.27,0.3,0.25,0.22,0.31,0.47,0.63,0.78,0.91,0.92,0.87,0.83,0.79,0.64,0.42,0.29,0.29,0.28,0.21,0.16,0.16,0.11,0.03,-0.02,-0.06,-0.19,-0.34,-0.41,-0.41,-0.46,-0.51,-0.46,-0.4,-0.45,-0.56,-0.57,-0.53,-0.56,-0.61,-0.57,-0.5,-0.43,-0.32,-0.11,0.07,0.14,0.17,0.25,0.25,0.11,-0.07,-0.15,-0.19,-0.29,-0.36,-0.33,-0.28,-0.31,-0.39,-0.37,-0.29,-0.21,-0.15,-0.03,0.11,0.23,0.38,0.56,0.7,0.71,0.72,0.76,0.75,0.67,0.59,0.51,0.44,0.38,0.31,0.22,0.12,-0.02,-0.24,-0.52,-0</t>
  </si>
  <si>
    <t>To_Avoid_Formula.77,-0.88,-0.85,-0.73,-0.49,-0.24,-0.04,0.11,0.24,0.36,0.61,0.92,1.17,1.34,1.52,1.66,1.7,1.69,1.71,1.77,1.78,1.8,1.89,2.02,2.09,2.08,2.1,2.18,2.23,2.24,2.28,2.35,2.33,2.15,1.93,1.72,1.47,1.13,0.77,0.46,0.17,-0.02,-0.07,-0.13,-0.34,-0.58,-0.66,-0.67,-0.81,-1.04,-1.25,-1.41,-1.67,-2.0,-2.39,-2.67,-2.85,-3.02,-3.14,-3.2,-3.19,-3.09,-2.87,-2.66,-2.54,-2.45,-2.26,-1.99,-1.74,-1.54,-1.32,-1.13,-1.02,-0.91,-0.72,-0.5,-0.35,-0.2,0.0,0.17,0.26,0.31,0.38,0.36,0.25,0.1,0.03,0.0,-0.04,-0.06,-0.04,-0.06,-0.11,-0.17,-0.22,-0.32,-0.48,-0.62,-0.71,-0.79,-0.87,-0.88,-0.86,-0.91,-1.04,-1.12,-1.12,-1.2,-1.39,-1.51,-1.51,-1.46,-1.41,-1.34,-1.23,-1.15,-1.06,-0.93,-0.75,-0.6,-0.49,-0.32,-0.07,0.15,0.29,0.47,0.79,1.06,1.2,1.3,1.45,1.59,1.68,1.79,1.92,1.95,1.82,1.62,1.5,1.43,1.36,1.3,1.29,1.24,1.13,1.09,1.15,1.21,1.2,1.21,1.31,1.42,1.47,1.49,1.47,1.41,1.27,1.08,0.87,0.68,0.56,0.57,0.64,0.61,0.54,0.56,0.61,0.52,0.35,0.26,0.28,0.29,0.22,0.11,0.03,-0.04,-0.12,-0.17,-0.15,-0.09,-0.05,0.1,0.33,0.55,0.66,0.71,0.74,0.71,0.65,0.58,0.42,0.1,-0.23,-0.42,-0.54,-0.65,-0.67,-0.55,-0.44,-0.44,-0.48,-0.48,-0.48,-0.48,-0.45,-0.43,-0.44,-0.44,-0.39,-0.28,-0.14,-0.05,0.04,0.19,0.41,0.61,0.79,0.98,1.11,1.13,1.12,1.11,1.06,0.97,0.95,0.95,0.87,0.68,0.49,0.35,0.15,-0.14,-0.48,-0.78,-1.08,-1.24,-1.28,-1.28,-1.37,-1.5,-1.42,-1.24,-1.07,-0.95,-0.84,-0.68,-0.54,-0.45,-0.31,-0.1,0.04,0.11,0.25,0.48,0.7,0.87,1.08,1.26,1.24,1.02,0.8,0.61,0.53,0.59,0.66,0.68,0.6,0.54,0.55,0.54,0.34,0.05,-0.19,-0.28,-0.37,-0.54,-0.72,-0.88,-1.01,-0.85,-0.79,-0.95,-1.18,-1.29,-1.28,-1.31,-1.42,-1.49,-1.49,-1.43,-1.29,-1.17,-1.19,-1.29,-1.32,-1.27,-1.25,-1.23,-1.11,-0.79,-0.52,-0.4,-0.34,-0.21,-0.11,-0.16,-0.3,-0.46,-0.61,-0.81,-1.03,-1.18,-1.23,-1.19,-1.05,-0.85,-0.67,-0.51,-0.25,0.05,0.17,</t>
  </si>
  <si>
    <t>To_Avoid_Formula0.04,0.06,0.05,0.08,0.14,0.17,0.16,0.18,0.26,0.32,0.33,0.35,0.38,0.36,0.3,0.27,0.26,0.16,0.0,-0.09,-0.18,-0.32,-0.46,-0.49,-0.5,-0.58,-0.67,-0.7,-0.67,-0.67,-0.68,-0.64,-0.6,-0.63,-0.67,-0.67,-0.69,-0.78,-0.88,-0.88,-0.86,-0.87,-0.85,-0.8,-0.76,-0.77,-0.75,-0.63,-0.49,-0.41,-0.28,-0.11,0.05,0.18,0.32,0.49,0.55,0.51,0.45,0.44,0.36,0.27,0.22,0.2,0.12,-0.07,-0.23,-0.34,-0.45,-0.59,-0.68,-0.75,-0.84,-0.92,-0.86,-0.8,-0.79,-0.82,-0.78,-0.68,-0.69,-0.77,-0.75,-0.63,-0.53,-0.47,-0.36,-0.16,-0.02,0.04,0.1,0.2,0.3,0.39,0.52,0.67,0.79,0.87,1.04,1.25,1.4,1.51,1.69,1.92,2.03,2.02,2.0,2.0,1.86,1.64,1.39,1.16,0.92,0.66,0.39,0.16,-0.02,-0.1,-0.13,-0.2,-0.36,-0.55,-0.64,-0.61,-0.6,-0.68,-0.68,-0.6,-0.56,-0.58,-0.58,-0.55,-0.54,-0.51,-0.44,-0.34,-0.31,-0.28,-0.22,-0.21,-0.31,-0.45,-0.52,-0.57,-0.68,-0.79,-0.82,-0.8,-0.78,-0.73,-0.61,-0.49,-0.48,-0.55,-0.65,-0.8,-1.01,-1.22,-1.32,-1.36,-1.41,-1.41,-1.28,-1.13,-1.04,-0.86,-0.57,-0.31,-0.14,0.04,0.23,0.31,0.25,0.15,0.09,0.03,0.0,0.0,0.03,0.05,-0.02,-0.06,-0.02,0.0,-0.09,-0.21,-0.28,-0.33,-0.45,-0.58,-0.66,-0.71,-0.73,-0.67,-0.61,-0.63,-0.67,-0.61,-0.5,-0.51,-0.61,-0.7,-0.73,-0.78,-0.87,-0.94,-1.0,-1.08,-1.17,-1.24,-1.3,-1.42,-1.55,-1.61,-1.66,-1.74,-1.81,-1.82,-1.8,-1.84,-1.87,-1.82,-1.78,-1.81,-1.86,-1.82,-1.74,-1.75,-1.76,-1.71,-1.65,-1.64,-1.62,-1.54,-1.47,-1.49,-1.49,-1.41,-1.3,-1.23,-1.16,-1.05,-0.99,-1.07,-1.16,-1.21,-1.29,-1.43,-1.61,-1.85,-2.21,-2.66,-3.05,-3.45,-3.9,-4.33,-4.65,-4.84,-5.0,-5.23,-5.26,-5.12,-4.98,-4.84,-4.61,-4.22,-3.76,-3.4,-2.97,-2.48,-2.02,-1.54,-1.01,-0.43,0.06,0.5,1.04,1.69,2.26,2.72,3.15,3.63,4.08,4.43,4.71,4.98,5.23,5.42,5.59,5.73,5.8,5.83,5.88,5.92,5.83,5.67,5.55,5.43,5.19,4.83,4.48,4.13,3.68,3.17,2.67,2.22,1.83,1.47,1.2,1.04,0.91,0.72,0.59,0.56,0.55,0.55,0.61,0.76,0.88,0.97,1.12,1.34,1.52,1.68,1.91,2.18,2.35,2.42,2.5,2.58,2.6,2.63,2.74,2.83,2.8,2.7,2.63,2.57,2.44,2.32,2.29,2.31,2.25,2.15,2.12,2.1,2.02,1.9,1.82,1.72,1.57,1.41,1.29,1.17,1.05,0.98,1.0,1.06,1.05,1.04,1.09,1.13,1.08,1.02,1.04,1.11,1.12,1.11,1.14,1.16,1.14,1.1,1.11,1.12,1.09,1.04,1.02,0.97,0.86,0.75,0.73,0.72,0.67,0.61,0.63,0.63,0.57,0.54,0.57,0.58,0.54,0.57,0.65,0.65,0.52,0.45,0.49,0.52,0.46,0.36,0.29,0.2,0.07,-0.07,-0.2,-0.38,-0.57,-0.76,-0.96,-1.21,-1.44,-1.59,-1.67,-1.77,-1.91,-2.0,-2.04,-2.07,-2.12,-2.07,-1.97,-1.93,-1.92,-1.86,-1.8,-1.8,-1.78,-1.68,-1.56,-1.51,-1.44,-1.33,-1.22,-1.15,-1.07,-0.95,-0.86,-0.84,-0.84,-0.8,-0.76,-0.75,-0.76,-0.72,-0.7,-0.74,-0.81,-0.8,-0.77,-0.77,-0.75,-0.7,-0.73,-0.88,-1.08,-1.23,-1.35,-1.49,-1.58,-1.58,-1.55,-1.54,-1.5,-1.36,-1.17,-1.02,-0.89,-0.69,-0.54,-0.48,-0.42,-0.33,-0.26,-0.22,-0.14,0.02,0.2,0.28,0.36,0.47,0.52,0.43,0.33,0.26,0.16,-0.02,-0.18,-0.34,-0.54,-0.75,-0.87,-0.96,-1.13,-1.33,-1.44,-1.48,-1.59,-1.74,-1.78,-1.71,-1.72,-1.83,-1.93,-1.94,-1.89,-1.86,-1.78,-1.7,-1.68,-1.7,-1.64,-1.54,-1.48,-1.43,-1.32,-1.16,-1.08,-1.05,-0.96,-0.85,-0.77,-0.72,-0.61,-0.5,-0.47,-0.48,-0.45,-0.42,-0.43,-0.41,-0.32,-0.24,-0.23,-0.21,-0.14,-0.06,-0.01,0.08,0.21,0.32,0.33,0.3,0.28,0.2,0.03,-0.14,-0.18,-0.17,-0.22,-0.25,-0.17,-0.06,-0.04,-0.02,0.04,0.13,0.18,0.24,0.36,0.48,0.58,0.72,0.93,1.15,1.32,1.52,1.71,1.85,1.91,1.99,2.12,2.23,2.26,2.33,2.47,2.57,2.57,2.57,2.6,2.56,2.38,2.22,2.06,1.88,1.7,1.52,1.37,1.15,0.91,0.71,0.55,0.36,0.13,-0.05,-0.16,-0.24,-0.3,-0.3,-0.23,-0.2,-0.21,-0.18,-0.14,-0.19,-0.26,-0.21,-0.13,-0.11,-0.08,0.01,0.14,0.15,0.12,0.15,0.24,0.25,0.19,0.16,0.16,0.1,0.03,0.0,0.01,0.0,-0.04,-0.02,-0.03,-0.1,-0.14,-0.12,-0.1,-0.16,-0.16,-0.1,-0.02,-0.01,0.0,0.08,0.1,0.05,0.02,0.08,0.18,0.28,0.41,0.55,0.56,0.5,0.44,0.42,0.34,0.2,0.11,0.09,0.06,-0.01,-0.05,-0.05,-0.06,-0.11,-0.12,-0.12,-0.21,-0.37,-0.46,-0.49,-0.56,-0.63,-0.62,-0.57,-0.61,-0.69,-0.71,-0.68,-0.7,-0.76,-0.77,-0.78,-0.82,-0.83,-0.76,-0.71,-0.77,-0.85,-0.85,-0.84,-0.92,-1.03,-1.06,-1.06,-1.1,-1.12,-1.06,-0.97,-0.96,-0.96,-0.89,-0.79,-0.72,-0.66,-0.55,-0.43,-0.36,-0.31,-0.23,-0.17,-0.2,-0.25,-0.24,-0.24,-0.28,-0.31,-0.29,-0.24,-0.2</t>
  </si>
  <si>
    <t>To_Avoid_Formula2,-0.21,-0.21,-0.24,-0.34,-0.52,-0.75,-1.02,-1.23,-1.34,-1.39,-1.38,-1.39,-1.39,-1.35,-1.3,-1.29,-1.2,-0.99,-0.75,-0.48,-0.2,0.04,0.16,0.25,0.43,0.69,0.87,1.02,1.25,1.53,1.72,1.78,1.82,1.95,2.08,2.16,2.23,2.32,2.37,2.36,2.36,2.37,2.31,2.17,2.01,1.9,1.81,1.75,1.75,1.74,1.64,1.49,1.41,1.35,1.15,0.89,0.68,0.5,0.23,-0.08,-0.43,-0.72,-0.95,-1.16,-1.32,-1.47,-1.62,-1.71,-1.7,-1.69,-1.78,-1.87,-1.84,-1.71,-1.57,-1.45,-1.3,-1.19,-1.14,-1.11,-1.01,-0.94,-0.95,-0.94,-0.82,-0.71,-0.67,-0.65,-0.57,-0.51,-0.54,-0.6,-0.6,-0.58,-0.58,-0.57,-0.54,-0.54,-0.58,-0.62,-0.66,-0.75,-0.88,-1.0,-1.05,-1.1,-1.18,-1.21,-1.2,-1.28,-1.46,-1.62,-1.69,-1.78,-1.95,-2.1,-2.19,-2.26,-2.31,-2.31,-2.26,-2.25,-2.24,-2.2,-2.09,-2.03,-2.03,-2.01,-1.9,-1.79,-1.74,-1.66,-1.47,-1.3,-1.23,-1.19,-1.11,-1.01,-0.93,-0.8,-0.64,-0.56,-0.6,-0.66,-0.67,-0.66,-0.67,-0.67,-0.61,-0.56,-0.58,-0.59,-0.52,-0.45,-0.44,-0.45,-0.42,-0.43,-0.49,-0.56,-0.62,-0.69,-0.79,-0.9,-0.97,-1.0,-0.98,-0.88,-0.75,-0.72,-0.75,-0.72,-0.65,-0.67,-0.74,-0.73,-0.63,-0.5,-0.41,-0.32,-0.22,-0.13,-0.06,0.01,0.08,0.08,0.06,0.14,0.31,0.44,0.48,0.49,0.52,0.55,0.57,0.6,0.57,0.41,0.25,0.18,0.14,0.06,0.02,0.11,0.19,0.14,0.04,0.02,0.05,0.09,0.16,0.27,0.36,0.46,0.6,0.76,0.88,0.89,0.88,0.94,1.06,1.2,1.34,1.52,1.68,1.78,1.87,1.98,2.04,2.03,2.07,2.14,2.17,2.12,2.05,1.99,1.88,1.69,1.48,1.28,1.04,0.84,0.73,0.68,0.56,0.39,0.33,0.36,0.4,0.44,0.54,0.73,0.92,1.06,1.22,1.46,1.7,1.9,2.15,2.44,2.69,2.89,3.14,3.31,3.29,3.1,2.93,2.74,2.63,2.66,2.75,2.85,2.86,2.85,2.89,2.96,2.9,2.75,2.6,2.5,2.36,2.18,2.02,1.87,1.69,1.6,1.6,1.44,1.25,1.11,1.02,0.87,0.66,0.52,0.45,0.46,0.55,0.62,0.59,0.47,0.42,0.44,0.45,0.42,0.44,0.59,0.73,0.73,0.66,0.67,0.67,0.58,0.41,0.23,0.06,-0.1,-0.24,-0.35,-0.48,-0.6,-0.62,-0.56,-0.53,-0.6,-0.66,-0.67,-0.73,</t>
  </si>
  <si>
    <t>To_Avoid_Formula0.69,0.7,0.65,0.65,0.71,0.74,0.7,0.69,0.75,0.81,0.82,0.81,0.82,0.79,0.73,0.7,0.63,0.43,0.16,0.01,-0.1,-0.29,-0.47,-0.53,-0.51,-0.51,-0.5,-0.43,-0.3,-0.21,-0.15,-0.05,0.04,0.06,0.07,0.12,0.12,0.03,-0.05,-0.01,0.06,0.06,0.06,0.1,0.16,0.2,0.28,0.42,0.54,0.6,0.7,0.82,0.91,0.95,1.05,1.2,1.26,1.22,1.2,1.24,1.24,1.18,1.08,1.0,0.88,0.65,0.4,0.16,-0.13,-0.47,-0.74,-0.9,-1.05,-1.19,-1.22,-1.19,-1.14,-1.09,-0.92,-0.69,-0.53,-0.44,-0.27,-0.02,0.23,0.43,0.62,0.82,0.93,0.92,0.92,0.96,0.99,0.99,1.0,1.04,1.01,0.95,0.95,1.03,1.08,1.07,1.09,1.17,1.16,1.05,0.91,0.75,0.47,0.15,-0.14,-0.44,-0.77,-1.07,-1.29,-1.47,-1.65,-1.82,-1.88,-1.87,-1.9,-1.98,-2.03,-1.96,-1.89,-1.89,-1.83,-1.69,-1.58,-1.5,-1.37,-1.21,-1.09,-0.97,-0.76,-0.5,-0.29,-0.13,0.02,0.1,0.06,-0.01,-0.02,-0.04,-0.16,-0.29,-0.31,-0.29,-0.28,-0.24,-0.15,-0.12,-0.22,-0.32,-0.37,-0.46,-0.64,-0.8,-0.82,-0.78,-0.75,-0.67,-0.44,-0.18,0.02,0.27,0.6,0.9,1.11,1.29,1.45,1.47,1.36,1.26,1.18,1.08,1.0,0.96,1.0,1.06,1.01,0.94,0.9,0.83,0.65,0.43,0.27,0.14,-0.05,-0.26,-0.41,-0.48,-0.48,-0.37,-0.25,-0.24,-0.26,-0.2,-0.09,-0.07,-0.16,-0.28,-0.37,-0.48,-0.59,-0.67,-0.76,-0.85,-0.97,-1.05,-1.11,-1.21,-1.3,-1.31,-1.3,-1.32,-1.34,-1.27,-1.15,-1.1,-1.07,-0.99,-0.91,-0.89,-0.84,-0.71,-0.59,-0.56,-0.54,-0.44,-0.31,-0.23,-0.15,0.0,0.14,0.21,0.29,0.45,0.65,0.8,0.9,1.02,1.13,1.16,1.12,1.06,0.92,0.72,0.53,0.31,-0.03,-0.44,-0.77,-1.07,-1.37,-1.69,-1.89,-1.96,-1.98,-2.09,-2.02,-1.76,-1.43,-1.09,-0.7,-0.21,0.31,0.76,1.3,1.83,2.16,2.42,2.71,3.07,3.31,3.48,3.69,4.01,4.26,4.39,4.5,4.7,4.86,4.91,4.86,4.77,4.66,4.51,4.37,4.2,3.97,3.7,3.47,3.29,3.04,2.7,2.36,1.99,1.46,0.83,0.24,-0.27,-0.79,-1.3,-1.78,-2.21,-2.57,-2.84,-2.99,-3.05,-3.1,-3.14,-3.07,-2.92,-2.78,-2.67,-2.53,-2.33,-2.16,-2.01,-1.82,-1.57,-1.34,-1.11,-0.84,-0.54,-0.31,-0.15,0.03,0.15,0.11,0.01,-0.01,-0.03,-0.19,-0.44,-0.67,-0.86,-1.08,-1.27,-1.36,-1.41,-1.49,-1.56,-1.52,-1.42,-1.31,-1.2,-1.06,-0.96,-0.97,-0.99,-0.96,-0.91,-0.93,-0.96,-0.92,-0.82,-0.77,-0.76,-0.74,-0.76,-0.89,-1.07,-1.19,-1.26,-1.35,-1.43,-1.43,-1.36,-1.27,-1.1,-0.87,-0.64,-0.5,-0.39,-0.24,-0.08,0.01,0.04,0.11,0.19,0.21,0.21,0.24,0.27,0.26,0.25,0.27,0.23,0.17,0.16,0.26,0.3,0.21,0.12,0.18,0.29,0.36,0.38,0.37,0.34,0.29,0.25,0.18,0.05,-0.14,-0.31,-0.5,-0.75,-0.99,-1.12,-1.21,-1.34,-1.48,-1.49,-1.37,-1.25,-1.13,-0.92,-0.67,-0.48,-0.28,-0.01,0.2,0.3,0.37,0.53,0.74,0.89,1.04,1.22,1.37,1.45,1.48,1.55,1.62,1.6,1.51,1.43,1.36,1.29,1.22,1.16,1.08,0.96,0.83,0.8,0.81,0.8,0.83,0.91,0.91,0.79,0.64,0.56,0.5,0.36,0.2,0.13,0.13,0.14,0.17,0.26,0.37,0.47,0.56,0.74,0.88,0.9,0.89,0.9,0.88,0.78,0.66,0.66,0.75,0.76,0.74,0.74,0.75,0.69,0.64,0.59,0.48,0.28,0.12,0.0,-0.13,-0.31,-0.46,-0.59,-0.74,-0.91,-1.0,-1.04,-1.15,-1.34,-1.49,-1.53,-1.58,-1.68,-1.74,-1.72,-1.67,-1.61,-1.48,-1.29,-1.11,-0.93,-0.69,-0.42,-0.21,-0.05,0.12,0.3,0.42,0.49,0.56,0.66,0.74,0.79,0.86,0.89,0.84,0.73,0.63,0.51,0.33,0.17,0.11,0.06,-0.07,-0.18,-0.18,-0.11,-0.03,0.08,0.24,0.37,0.43,0.46,0.47,0.4,0.19,-0.03,-0.1,-0.11,-0.18,-0.25,-0.22,-0.14,-0.15,-0.18,-0.14,-0.08,-0.1,-0.15,-0.1,-0.01,0.1,0.21,0.37,0.54,0.69,0.86,1.01,1.06,1.02,0.96,0.98,0.98,0.91,0.86,0.9,0.95,0.93,0.89,0.87,0.87,0.82,0.76,0.68,0.55,0.38,0.23,0.11,-0.08,-0.34,-0.61,-0.85,-1.08,-1.33,-1.54,-1.66,-1.69,-1.64,-1.53,-1.41,-1.35,-1.33,-1.26,-1.18,-1.22,-1.28,-1.24,-1.15,-1.11,-1.07,-0.95,-0.79,-0.72,-0.69,-0.6,-0.43,-0.34,-0.33,-0.32,-0.27,-0.27,-0.3,-0.31,-0.26,-0.23,-0.24,-0.21,-0.18,-0.21,-0.22,-0.15,-0.11,-0.14,-0.16,-0.13,-0.07,-0.01,0.05,0.15,0.19,0.17,0.17,0.23,0.29,0.34,0.45,0.57,0.57,0.46,0.37,0.36,0.34,0.27,0.22,0.22,0.18,0.12,0.1,0.14,0.17,0.18,0.23,0.31,0.27,0.14,0.07,0.06,0.03,-0.02,0.01,0.1,0.13,0.12,0.15,0.22,0.25,0.23,0.22,0.18,0.07,-0.01,-0.03,-0.07,-0.23,-0.39,-0.41,-0.36,-0.33,-0.33,-0.28,-0.18,-0.1,-0.03,0.1,0.26,0.36,0.46,0.6,0.73,0.8,0.86,0.94,1.02,1.0,0.91,0.84,0.78,0.64,0.48,0.41,0.38,0.33,0.31,0.4,0.52,0.58,0.61,0.66,0.65,0.55,0.4,0.19,-0.07,-0.34,-0.54,-0.7,-0.86,-1.07,-1.21,-1.23,-1</t>
  </si>
  <si>
    <t>To_Avoid_Formula.22,-1.28,-1.31,-1.19,-0.95,-0.62,-0.27,-0.01,0.1,0.19,0.44,0.77,0.97,1.09,1.29,1.53,1.65,1.55,1.42,1.38,1.38,1.3,1.16,1.06,0.97,0.91,0.9,0.92,0.87,0.73,0.61,0.56,0.54,0.49,0.43,0.37,0.28,0.15,0.01,-0.17,-0.45,-0.76,-0.97,-1.14,-1.35,-1.56,-1.76,-1.93,-2.05,-2.1,-2.1,-2.14,-2.23,-2.28,-2.25,-2.22,-2.29,-2.35,-2.26,-2.05,-1.83,-1.62,-1.37,-1.18,-1.06,-0.97,-0.87,-0.83,-0.89,-0.92,-0.8,-0.67,-0.61,-0.55,-0.4,-0.22,-0.11,-0.03,0.08,0.2,0.28,0.37,0.45,0.5,0.51,0.5,0.51,0.49,0.43,0.39,0.45,0.5,0.49,0.51,0.57,0.55,0.4,0.23,0.19,0.2,0.17,0.11,0.05,-0.01,-0.02,0.04,0.16,0.21,0.24,0.3,0.42,0.48,0.44,0.39,0.41,0.46,0.45,0.45,0.52,0.59,0.57,0.51,0.49,0.5,0.52,0.61,0.72,0.76,0.73,0.7,0.73,0.74,0.7,0.69,0.74,0.8,0.77,0.72,0.71,0.71,0.64,0.52,0.37,0.16,-0.1,-0.33,-0.51,-0.65,-0.78,-0.84,-0.82,-0.71,-0.57,-0.42,-0.28,-0.24,-0.28,-0.29,-0.25,-0.24,-0.26,-0.2,-0.05,0.13,0.33,0.54,0.74,0.9,1.03,1.14,1.16,1.02,0.83,0.76,0.76,0.7,0.54,0.4,0.32,0.29,0.29,0.31,0.29,0.21,0.14,0.15,0.13,0.03,-0.05,-0.03,-0.02,-0.17,-0.35,-0.41,-0.37,-0.31,-0.22,-0.07,0.08,0.25,0.44,0.57,0.6,0.45,0.28,0.16,0.12,0.11,0.11,0.18,0.27,0.32,0.38,0.47,0.5,0.44,0.42,0.43,0.44,0.41,0.34,0.26,0.15,0.0,-0.14,-0.26,-0.45,-0.66,-0.81,-0.86,-0.95,-1.11,-1.21,-1.25,-1.27,-1.23,-1.07,-0.8,-0.53,-0.32,-0.12,0.15,0.44,0.73,1.02,1.28,1.46,1.58,1.7,1.71,1.54,1.24,0.97,0.69,0.46,0.39,0.44,0.53,0.53,0.49,0.49,0.55,0.55,0.47,0.36,0.22,0.02,-0.18,-0.3,-0.42,-0.59,-0.81,-0.82,-0.89,-0.97,-1.03,-1.1,-1.27,-1.45,-1.51,-1.47,-1.37,-1.19,-1.02,-0.94,-0.93,-0.87,-0.73,-0.6,-0.55,-0.5,-0.39,-0.29,-0.32,-0.42,-0.44,-0.45,-0.5,-0.6,-0.69,-0.74,-0.73,-0.65,-0.56,-0.61,-0.71,-0.74,-0.65,-0.62,-0.78,-1.0,-1.18,-1.28,</t>
  </si>
  <si>
    <t>To_Avoid_Formula-1.57,-1.37,-1.11,-0.87,-0.69,-0.55,-0.37,-0.19,-0.07,-0.01,0.03,0.07,0.12,0.13,0.12,0.13,0.2,0.33,0.51,0.68,0.82,0.96,1.11,1.28,1.37,1.37,1.29,1.2,1.14,1.11,1.07,0.94,0.71,0.42,0.21,0.04,-0.14,-0.31,-0.48,-0.59,-0.62,-0.54,-0.4,-0.27,-0.21,-0.23,-0.29,-0.28,-0.22,-0.15,-0.08,-0.04,0.02,0.1,0.17,0.17,0.04,-0.16,-0.39,-0.63,-0.85,-0.98,-1.03,-1.09,-1.19,-1.29,-1.28,-1.21,-1.02,-0.68,-0.26,0.11,0.42,0.85,1.4,1.91,2.21,2.25,2.19,2.1,1.93,1.59,1.14,0.58,-0.13,-0.86,-1.39,-1.74,-2.07,-2.43,-2.69,-2.82,-2.84,-2.73,-2.53,-2.24,-1.88,-1.47,-1.06,-0.66,-0.28,0.04,0.34,0.55,0.65,0.72,0.86,1.07,1.24,1.29,1.28,1.32,1.38,1.36,1.27,1.24,1.33,1.49,1.61,1.61,1.5,1.41,1.36,1.33,1.34,1.38,1.37,1.29,1.25,1.28,1.23,1.03,0.7,0.42,0.26,0.14,-0.11,-0.42,-0.71,-0.93,-1.12,-1.33,-1.54,-1.68,-1.65,-1.53,-1.42,-1.36,-1.26,-1.07,-0.74,-0.25,0.25,0.53,0.66,0.76,0.92,1.07,1.11,1.06,0.97,0.9,0.8,0.61,0.38,0.15,-0.16,-0.55,-0.84,-0.94,-0.96,-0.99,-1.07,-1.17,-1.24,-1.25,-1.21,-1.17,-1.18,-1.24,-1.3,-1.29,-1.17,-0.98,-0.8,-0.66,-0.56,-0.43,-0.2,0.05,0.22,0.29,0.32,0.39,0.52,0.63,0.67,0.67,0.61,0.49,0.34,0.3,0.36,0.39,0.33,0.28,0.34,0.48,0.71,0.96,1.18,1.34,1.43,1.54,1.66,1.8,1.84,1.75,1.61,1.52,1.52,1.54,1.52,1.44,1.29,1.17,1.12,1.12,1.15,1.15,1.09,1.0,0.96,0.96,0.93,0.78,0.55,0.33,0.11,-0.04,-0.1,-0.22,-0.48,-0.84,-1.1,-1.18,-1.15,-1.1,-1.12,-1.14,-1.12,-1.08,-1.03,-1.02,-1.03,-1.08,-1.1,-1.02,-0.86,-0.73,-0.7,-0.8,-1.07,-1.35,-1.57,-1.67,-1.82,-2.03,-2.3,-2.43,-2.35,-2.14,-1.91,-1.72,-1.56,-1.38,-1.09,-0.67,-0.18,0.26,0.56,0.8,1.09,1.53,1.92,2.09,2.09,2.06,2.05,2.02,1.95,1.81,1.66,1.42,1.11,0.86,0.8,0.88,1.05,1.21,1.29,1.3,1.2,1.04,0.9,0.8,0.69,0.54,0.45,0.54,0.6,0.45,0.09,-0.38,-0.83,-1.18,-1.4,-1.46,-1.43,-1.42,-1.44,-1.46,-1.45,-1.47,-1.56,-1.64,-1.69,-1.74,-1.82,-1.88,-1.82,-1.68,-1.55,-1.41,-1.24,-1.0,-0.7,-0.36,-0.04,0.29,0.62,1.04,1.51,1.93,2.18,2.13,1.79,1.35,0.89,0.44,0.01,-0.5,-1.01,-1.5,-1.86,-2.12,-2.36,-2.59,-2.76,-2.76,-2.55,-2.13,-1.58,-0.87,-0.14,0.53,1.19,1.83,2.41,2.79,2.88,2.74,2.58,2.45,2.28,2.03,1.67,1.15,0.52,-0.09,-0.65,-1.18,-1.66,-1.99,-2.17,-2.21,-2.12,-1.9,-1.57,-1.27,-1.0,-0.66,-0.29,-0.02,0.19,0.42,0.59,0.63,0.48,0.29,0.22,0.22,0.11,-0.13,-0.35,-0.49,-0.58,-0.58,-0.44,-0.31,-0.24,-0.12,0.19,0.7,1.15,1.36,1.41,1.51,1.6,1.62,1.58,1.44,1.18,0.82,0.49,0.21,0.0,-0.28,-0.71,-1.16,-1.47,-1.62,-1.74,-1.78,-1.71,-1.63,-1.59,-1.43,-1.1,-0.78,-0.54,-0.45,-0.36,-0.12,0.21,0.51,0.74,0.93,1.03,1.03,0.96,0.89,0.8,0.6,0.3,-0.02,-0.28,-0.41,-0.44,-0.48,-0.57,-0.7,-0.77,-0.7,-0.62,-0.51,-0.39,-0.32,-0.27,-0.15,0.06,0.27,0.41,0.49,0.68,0.89,1.03,1.11,1.16,1.19,1.14,0.99,0.85,0.8,0.75,0.69,0.59,0.37,0.0,-0.42,-0.65,-0.7,-0.8,-0.99,-1.15,-1.13,-0.96,-0.65,-0.23,0.18,0.43,0.61,0.84,1.16,1.43,1.55,1.57,1.54,1.42,1.17,0.86,0.53,0.11,-0.42,-0.91,-1.25,-1.53,-1.78,-2.0,-2.25,-2.54,-2.75,-2.78,-2.63,-2.37,-2.05,-1.65,-1.2,-0.74,-0.32,0.04,0.42,0.84,1.18,1.41,1.57,1.68,1.69,1.64,1.56,1.36,1.08,0.75,0.43,0.16,-0.04,-0.23,-0.5,-0.75,-0.83,-0.77,-0.68,-0.57,-0.44,-0.29,-0.09,0.21,0.58,0.85,0.89,0.85,0.85,0.94,0.99,0.93,0.82,0.78,0.81,0.87,0.99,1.09,1.1,1.02,1.03,1.12,1.17,1.1,1.04,1.01,0.87,0.56,0.23,-0.11,-0.44,-0.74,-1.04,-1.32,-1.6,-1.81,-1.84,-1.72,-1.59,-1.51,-1.39,-1.11,-0.74,-0.51,-0.35,-0.14,0.06,0.25,0.45,0.64,0.74,0.74,0.72,0.76,0.77,0.72,0.69,0.73,0.84,0.95,0.93,0.83,0.71,0.64,0.61,0.51,0.35,0.21,0.11,0.02,-0.08,-0.16,-0.16,-0.16,-0.17,-0.16,-0.11,-0.03,0.04,0.16,0.35,0.49,0.5,0.45,0.46,0.49,0.46,0.41,0.45,0.59,0.74,0.85,0.9,0.95,0.95,0.92,0.87,0.81,0.74,0.68,0.71,0.8,0.84,0.81,0.69,0.49,0.33,0.2,0.03,-0.18,-0.34,-0.38,-0.31,-0.25,-0.23,-0.27,-0.38,-0.53,-0.67,-0.77,-0.81,-0.86,-0.88,-0.81,-0.67,-0.51,-0.36,-0.16,0.09,0.35,0.58,0.77,0.89,0.9,0.84,0.81,0.79,0.7,0.56,0.37,0.1,-0.25,-0.7,-1.16,-1.56,-1.91,-2.18,-2.29,-2.24,-2.08,-1.83,-1.54,-1.24,-0.98,-0.73,-0.5,-0.31,-0.12,0.01,-0.05,-0.2,-0.28,-0.38,-0.57,-0.8,-1.11,-1.47,-1.82,-2.08,-2.19,-2.2,-2.04,-1.68,-1.18,-0.65,-</t>
  </si>
  <si>
    <t>To_Avoid_Formula0.22,0.13,0.55,1.14,1.64,1.93,2.1,2.25,2.39,2.41,2.32,2.03,1.52,0.98,0.58,0.34,0.11,-0.15,-0.38,-0.48,-0.43,-0.27,-0.03,0.26,0.52,0.73,0.89,1.01,1.04,1.02,0.97,0.9,0.7,0.36,0.04,-0.12,-0.24,-0.54,-0.93,-1.18,-1.23,-1.09,-0.93,-0.8,-0.67,-0.58,-0.53,-0.49,-0.39,-0.35,-0.53,-0.7,-0.65,-0.51,-0.43,-0.43,-0.44,-0.34,-0.21,-0.12,-0.01,0.17,0.38,0.52,0.65,0.84,1.06,1.27,1.48,1.65,1.78,1.84,1.83,1.83,1.86,1.83,1.7,1.57,1.43,1.31,1.21,1.08,0.9,0.64,0.33,0.02,-0.22,-0.43,-0.66,-0.9,-1.09,-1.19,-1.26,-1.26,-1.26,-1.31,-1.36,-1.38,-1.36,-1.39,-1.55,-1.79,-1.95,-1.96,-1.9,-1.85,-1.82,-1.81,-1.81,-1.82,-1.8,-1.79,-1.8,-1.8,-1.69,-1.4,-1.08,-0.85,-0.69,-0.49,-0.27,-0.02,0.27,0.55,0.78,0.95,1.1,1.22,1.23,1.09,0.84,0.63,0.51,0.37,0.15,-0.08,-0.33,-0.58,-0.78,-0.87,-0.91,-0.92,-0.86,-0.62,-0.19,0.34,0.84,1.21,1.48,1.68,1.8,1.85,1.8,1.69,1.61,1.6,1.58,1.54,1.42,1.16,0.8,0.38,0.04,-0.23,-0.48,-0.73,-0.95,-1.07,-1.18,-1.42,-1.68,-1.79,-1.74,-1.71,-1.64,-1.45,-1.12,-0.76,-0.49,-0.22,0.06,0.38,0.63,0.8,0.87,0.86,0.73,0.5,0.31,0.16,0.03,-0.15,-0.31,-0.39,-0.48,-0.56,-0.63,-0.65,-0.7,-0.67,-0.63,-0.6,-0.57,-0.49,-0.31,-0.15,0.03,0.17,0.28,0.45,0.68,0.86,0.99,1.15,1.32,1.54,1.79,1.97,2.0,1.8,1.49,1.17,0.9,0.62,0.27,-0.09,-0.39,-0.57,-0.55,-0.43,-0.37,-0.43,-0.48,-0.36,-0.1,0.23,0.43,0.45,0.44,0.47,0.57,0.72,0.8,0.64,0.31,0.08,0.04,0.0,-0.17,-0.35,-0.45,-0.44,-0.37,-0.26,-0.07,0.19,0.37,0.48,0.6,0.78,0.97,1.07,1.04,0.85,0.56,0.28,0.16,0.17,0.13,-0.05,-0.29,-0.42,-0.11,0.02,-0.09,-0.27,-0.3,-0.05,0.3,0.52,0.51,0.38,0.33,0.36,0.37,0.23,-0.06,-0.4,-0.62,-0.7,-0.67,-0.59,-0.52,-0.53,-0.49,-0.36,-0.18,-0.04,0.01,0.04,0.09,0.12,0.02,-0.19,-0.33,-0.32,-0.27,-0.31,-0.4,-0.41,-0.25,0.08,0.5,0.8,</t>
  </si>
  <si>
    <t>To_Avoid_Formula50.99,50.99,50.99,50.99,50.99,50.99,50.99,50.99,50.99,50.99,50.99,50.99,50.99,50.99,50.99,50.99,50.99,50.99,50.99,50.99,50.99,50.99,50.99,50.99,50.99,50.99,50.99,50.99,50.99,50.99,50.99,51.0,51.0,51.0,51.0,51.0,51.0,51.0,51.0,51.0,51.0,51.0,51.0,51.0,51.0,51.0,51.0,51.0,51.0,51.0,51.0,51.0,51.0,51.0,51.0,51.0,51.0,51.0,51.0,51.0,51.0,51.0,51.0,51.0,51.0,51.0,51.0,51.0,51.0,51.01,51.01,51.01,51.01,51.01,51.01,51.01,51.01,51.01,51.01,51.01,51.01,51.01,51.01,51.01,51.01,51.01,51.01,51.01,51.01,51.01,51.01,51.01,51.01,51.01,51.01,51.01,51.01,51.01,51.01,51.01,51.01,51.01,51.01,51.01,51.01,51.01,51.02,51.02,51.02,51.02,51.02,51.02,51.02,51.02,51.02,51.02,51.02,51.02,51.02,51.02,51.02,51.02,51.02,51.02,51.02,51.02,51.02,51.02,51.02,51.02,51.02,51.02,51.02,51.02,51.02,51.02,51.02,51.03,51.03,51.03,51.03,51.03,51.03,51.03,51.03,51.03,51.03,51.03,51.03,51.03,51.03,51.03,51.03,51.03,51.03,51.03,51.03,51.03,51.03,51.03,51.03,51.03,51.03,51.03,51.03,51.03,51.04,51.04,51.04,51.04,51.04,51.04,51.04,51.04,51.04,51.04,51.04,51.04,51.04,51.04,51.04,51.04,51.04,51.04,51.04,51.04,51.04,51.04,51.04,51.04,51.04,51.04,51.04,51.05,51.05,51.05,51.05,51.05,51.05,51.05,51.05,51.05,51.05,51.05,51.05,51.05,51.05,51.05,51.05,51.05,51.05,51.05,51.05,51.05,51.05,51.05,51.05,51.05,51.06,51.06,51.06,51.06,51.06,51.06,51.06,51.06,51.06,51.06,51.06,51.06,51.06,51.06,51.06,51.06,51.06,51.06,51.06,51.06,51.06,51.06,51.06,51.06,51.07,51.07,51.07,51.07,51.07,51.07,51.07,51.07,51.07,51.07,51.07,51.07,51.07,51.07,51.07,51.07,51.07,51.07,51.07,51.07,51.07,51.07,51.07,51.08,51.08,51.08,51.08,51.08,51.08,51.08,51.08,51.08,51.08,51.08,51.08,51.08,51.08,51.08,51.08,51.08,51.08,51.08,51.08,51.08,51.08,51.08,51.09,51.09,51.09,51.09,51.09,51.09,51.09,51.09,51.09,51.09,51.09,51.09,51.09,51.09,51.09,51.09,51.09,51.09,51.09,51.09,51.09,51.09,51.1,51.1,51.1,51.1,51.1,51.1,51.1,51.1,51.1,51.1,51.1,51.1,51.1,51.1,51.1,51.1,51.1,51.1,51.1,51.1,51.1,51.11,51.11,51.11,51.11,51.11,51.11,51.11,51.11,51.11,51.11,51.11,51.11,51.11,51.11,51.11,51.11,51.11,51.11,51.11,51.11,51.11,51.11,51.11,51.11,51.12,51.12,51.12,51.12,51.12,51.12,51.12,51.12,51.12,51.12,51.12,51.12,51.12,51.12,51.12,51.12,51.12,51.12,51.12,51.12,51.12,51.12,51.13,51.13,51.13,51.13,51.13,51.13,51.13,51.13,51.13,51.13,51.13,51.13,51.13,51.13,51.13,51.13,51.13,51.13,51.13,51.13,51.13,51.13,51.13,51.14,51.14,51.14,51.14,51.14,51.14,51.14,51.14,51.14,51.14,51.14,51.14,51.14,51.14,51.14,51.14,51.14,51.14,51.14,51.14,51.14,51.14,51.14,51.15,51.15,51.15,51.15,51.15,51.15,51.15,51.15,51.15,51.15,51.15,51.15,51.15,51.15,51.15,51.15,51.15,51.15,51.15,51.15,51.15,51.15,51.15,51.15,51.15,51.16,51.16,51.16,51.16,51.16,51.16,51.16,51.16,51.16,51.16,51.16,51.16,51.16,51.16,51.16,51.16,51.16,51.16,51.16,51.16,51.16,51.16,51.16,51.16,51.16,51.17,51.17,51.17,51.17,51.17,51.17,51.17,51.17,51.17,51.17,51.17,51.17,51.17,51.17,51.17,51.17,51.17,51.17,51.17,51.17,51.17,51.17,51.17,51.17,51.17,51.18,51.18,51.18,51.18,51.18,51.18,51.18,51.18,51.18,51.18,51.18,51.18,51.18,51.18,51.18,51.18,51.18,51.18,51.18,51.18,51.18,51.18,51.18,51.18,51.18,51.18,51.19,51.19,51.19,51.19,51.19,51.19,51.19,51.19,51.19,51.19,51.19,51.19,51.19,51.19,51.19,51.19,51.19,51.19,51.19,51.19,51.19,51.19,51.19,51.19,51.19,51.19,51.2,51.2,51.2,51.2,51.2,51.2,51.2,51.2,51.2,51.2,51.2,51.2,51.2,51.2,51.2,51.2,51.2,51.2,51.2,51.2,51.2,51.2,51.2,51.2,51.2,51.2,51.2,51.2,51.21,51.21,51.21,51.21,51.21,51.21,51.21,51.21,51.21,51.21,51.21,51.21,51.21,51.21,51.21,51.21,51.21,51.21,51.21,51.21,51.21,51.21,51.21,51.21,51.21,51.21,51.21,51.21,51.22,51.22,51.22,51.22,51.22,51.22,51.22,51.22,51.22,51.22,51.22,51.22,51.22,51.22,51.22,51.22,51.22,51.22,51.22,51.22,51.22,51.22,51.22,51.22,51.22,51.22,51.22,51.23,51.23,51.23,51.23,51.23,51.23,51.23,51.23,51.23,51.23,51.23,51.23,51.23,51.23,51.23,51.23,51.23,51.23,51.23,51.23,51.23,51.23,51.23,51.23,51.23,51.23,51.23,51.23,51.24,51.24,51.24,51.24,51.24,51.24,51.24</t>
  </si>
  <si>
    <t>To_Avoid_Formula,51.24,51.24,51.24,51.24,51.24,51.24,51.24,51.24,51.24,51.24,51.24,51.24,51.24,51.24,51.24,51.24,51.24,51.24,51.24,51.24,51.24,51.25,51.25,51.25,51.25,51.25,51.25,51.25,51.25,51.25,51.25,51.25,51.25,51.25,51.25,51.25,51.25,51.25,51.25,51.25,51.25,51.25,51.25,51.25,51.25,51.25,51.25,51.26,51.26,51.26,51.26,51.26,51.26,51.26,51.26,51.26,51.26,51.26,51.26,51.26,51.26,51.26,51.26,51.26,51.26,51.26,51.26,51.26,51.26,51.26,51.26,51.26,51.26,51.26,51.27,51.27,51.27,51.27,51.27,51.27,51.27,51.27,51.27,51.27,51.27,51.27,51.27,51.27,51.27,51.27,51.27,51.27,51.27,51.27,51.27,51.27,51.27,51.27,51.27,51.27,51.28,51.28,51.28,51.28,51.28,51.28,51.28,51.28,51.28,51.28,51.28,51.28,51.28,51.28,51.28,51.28,51.28,51.28,51.28,51.28,51.28,51.28,51.28,51.28,51.28,51.29,51.29,51.29,51.29,51.29,51.29,51.29,51.29,51.29,51.29,51.29,51.29,51.29,51.29,51.29,51.29,51.29,51.29,51.29,51.29,51.29,51.29,51.29,51.29,51.29,51.3,51.3,51.3,51.3,51.3,51.3,51.3,51.3,51.3,51.3,51.3,51.3,51.3,51.3,51.3,51.3,51.3,51.3,51.3,51.3,51.3,51.3,51.3,51.3,51.3,51.31,51.31,51.31,51.31,51.31,51.31,51.31,51.31,51.31,51.31,51.31,51.31,51.31,51.31,51.31,51.31,51.31,51.31,51.31,51.31,51.31,51.31,51.31,51.31,51.31,51.32,51.32,51.32,51.32,51.32,51.32,51.32,51.32,51.32,51.32,51.32,51.32,51.32,51.32,51.32,51.32,51.32,51.32,51.32,51.32,51.32,51.32,51.32,51.32,51.32,51.32,51.33,51.33,51.33,51.33,51.33,51.33,51.33,51.33,51.33,51.33,51.33,51.33,51.33,51.33,51.33,51.33,51.33,51.33,51.33,51.33,51.33,51.33,51.33,51.33,51.33,51.33,51.33,51.34,51.34,51.34,51.34,51.34,51.34,51.34,51.34,51.34,51.34,51.34,51.34,51.34,51.34,51.34,51.34,51.34,51.34,51.34,51.34,51.34,51.34,51.34,51.34,51.34,51.34,51.34,51.34,51.35,51.35,51.35,51.35,51.35,51.35,51.35,51.35,51.35,51.35,51.35,51.35,51.35,51.35,51.35,51.35,51.35,51.35,51.35,51.35,51.35,51.35,51.35,51.35,51.35,51.35,51.35,51.35,51.35,51.35,51.35,51.35,51.36,51.36,51.36,51.36,51.36,51.36,51.36,51.36,51.36,51.36,51.36,51.36,51.36,51.36,51.36,51.36,51.36,51.36,51.36,51.36,51.36,51.36,51.36,51.36,51.36,51.36,51.36,51.36,51.36,51.36,51.36,51.36,51.37,51.37,51.37,51.37,51.37,51.37,51.37,51.37,51.37,51.37,51.37,51.37,51.37,51.37,51.37,51.37,51.37,51.37,51.37,51.37,51.37,51.37,51.37,51.37,51.37,51.37,51.37,51.37,51.37,</t>
  </si>
  <si>
    <t>To_Avoid_Formula0.42,0.36,0.31,0.31,0.29,0.25,0.21,0.19,0.18,0.17,0.17,0.22,0.29,0.34,0.34,0.35,0.38,0.42,0.49,0.55,0.56,0.53,0.5,0.49,0.46,0.38,0.28,0.2,0.14,0.1,0.12,0.21,0.31,0.35,0.32,0.27,0.19,0.11,0.11,0.15,0.16,0.02,-0.21,-0.38,-0.46,-0.53,-0.58,-0.58,-0.56,-0.56,-0.59,-0.61,-0.61,-0.63,-0.67,-0.73,-0.75,-0.71,-0.62,-0.56,-0.52,-0.48,-0.4,-0.3,-0.23,-0.18,-0.15,-0.15,-0.21,-0.29,-0.39,-0.53,-0.71,-0.91,-1.1,-1.26,-1.41,-1.51,-1.57,-1.59,-1.6,-1.57,-1.48,-1.39,-1.3,-1.23,-1.18,-1.18,-1.17,-1.11,-1.03,-0.98,-0.95,-0.95,-0.92,-0.84,-0.74,-0.62,-0.52,-0.45,-0.39,-0.31,-0.2,-0.13,-0.11,-0.1,-0.08,-0.08,-0.09,-0.09,-0.09,-0.11,-0.15,-0.17,-0.14,-0.07,0.0,0.06,0.1,0.11,0.14,0.22,0.32,0.4,0.4,0.37,0.36,0.37,0.39,0.37,0.33,0.29,0.27,0.24,0.22,0.2,0.18,0.17,0.15,0.12,0.11,0.12,0.16,0.15,0.07,-0.05,-0.11,-0.1,-0.09,-0.11,-0.15,-0.21,-0.22,-0.18,-0.11,-0.08,-0.12,-0.23,-0.36,-0.46,-0.51,-0.5,-0.51,-0.56,-0.61,-0.59,-0.52,-0.43,-0.37,-0.37,-0.41,-0.44,-0.43,-0.42,-0.4,-0.38,-0.36,-0.32,-0.26,-0.16,-0.07,-0.04,-0.05,-0.12,-0.21,-0.27,-0.26,-0.22,-0.21,-0.25,-0.29,-0.28,-0.2,-0.13,-0.13,-0.19,-0.29,-0.41,-0.53,-0.66,-0.72,-0.77,-0.79,-0.78,-0.74,-0.59,-0.47,-0.37,-0.34,-0.35,-0.28,-0.23,-0.24,-0.37,-0.54,-0.65,-0.72,-0.82,-0.91,-0.9,-0.85,-0.87,-1.04,-1.25,-1.5,-1.74,-1.89,-1.97,-1.99,-1.96,-1.83,-1.64,-1.45,-1.22,-1.04,-0.79,-0.5,-0.21,0.08,0.33,0.55,0.75,0.92,1.08,1.26,1.39,1.49,1.54,1.56,1.59,1.64,1.7,1.74,1.79,1.83,1.81,1.76,1.73,1.66,1.48,1.24,1.01,0.78,0.6,0.51,0.44,0.33,0.19,-0.02,-0.24,-0.37,-0.4,-0.36,-0.35,-0.37,-0.36,-0.28,-0.18,-0.1,0.01,0.13,0.21,0.26,0.34,0.46,0.6,0.7,0.77,0.84,0.92,1.02,1.13,1.18,1.14,1.03,0.92,0.88,0.9,0.91,0.86,0.78,0.7,0.61,0.54,0.54,0.53,0.5,0.44,0.43,0.47,0.51,0.52,0.49,0.41,0.32,0.26,0.22,0.19,0.13,0.07,0.04,0.06,0.11,0.21,0.29,0.27,0.19,0.15,0.11,0.11,0.16,0.24,0.29,0.28,0.31,0.35,0.37,0.3,0.19,0.1,0.01,-0.08,-0.15,-0.15,-0.11,-0.1,-0.12,-0.14,-0.1,-0.03,0.0,-0.06,-0.12,-0.11,-0.07,-0.01,0.09,0.19,0.24,0.28,0.33,0.4,0.46,0.46,0.43,0.4,0.38,0.35,0.33,0.35,0.36,0.35,0.34,0.32,0.33,0.38,0.44,0.44,0.39,0.34,0.34,0.35,0.36,0.33,0.29,0.31,0.38,0.41,0.36,0.25,0.14,0.01,-0.16,-0.33,-0.44,-0.45,-0.51,-0.61,-0.7,-0.74,-0.76,-0.82,-0.95,-1.06,-1.11,-1.13,-1.13,-1.08,-1.0,-0.92,-0.83,-0.69,-0.52,-0.39,-0.28,-0.14,0.02,0.16,0.26,0.34,0.39,0.44,0.45,0.4,0.34,0.27,0.2,0.17,0.19,0.26,0.32,0.37,0.39,0.36,0.33,0.3,0.24,0.13,0.04,0.02,0.02,-0.01,-0.02,-0.02,-0.08,-0.17,-0.25,-0.32,-0.4,-0.5,-0.58,-0.59,-0.57,-0.53,-0.48,-0.42,-0.37,-0.35,-0.34,-0.32,-0.31,-0.34,-0.39,-0.45,-0.53,-0.56,-0.56,-0.56,-0.59,-0.63,-0.65,-0.65,-0.67,-0.67,-0.7,-0.78,-0.9,-1.01,-1.02,-0.96,-0.87,-0.76,-0.63,-0.45,-0.26,-0.11,-0.03,0.02,0.05,0.1,0.18,0.32,0.47,0.57,0.66,0.75,0.83,0.91,1.02,1.18,1.3,1.3,1.22,1.17,1.14,1.12,1.1,1.09,1.07,0.99,0.92,0.85,0.8,0.76,0.73,0.64,0.5,0.35,0.26,0.19,0.07,-0.08,-0.19,-0.22,-0.27,-0.35,-0.44,-0.5,-0.52,-0.55,-0.54,-0.48,-0.39,-0.33,-0.28,-0.24,-0.23,-0.21,-0.16,-0.13,-0.12,-0.09,-0.06,-0.02,0.02,0.05,0.07,0.08,0.12,0.18,0.26,0.35,0.38,0.36,0.31,0.25,0.14,0.03,-0.07,-0.12,-0.14,-0.15,-0.12,-0.04,0.04,0.06,0.05,0.04,0.06,0.08,0.1,0.11,0.1,0.09,0.09,0.11,0.14,0.17,0.17,0.14,0.09,0.06,0.07,0.11,0.18,0.25,0.3,0.32,0.33,0.35,0.4,0.46,0.53,0.55,0.49,0.39,0.32,0.27,0.23,0.24,0.26,0.25,0.23,0.22,0.22,0.21,0.21,0.21,0.23,0.26,0.28,0.25,0.23,0.26,0.31,0.33,0.33,0.34,0.41,0.5,0.61,0.65,0.6,0.53,0.51,0.53,0.57,0.61,0.62,0.61,0.56,0.5,0.48,0.48,0.46,0.41,0.33,0.24,0.18,0.11,0.04,-0.04,-0.12,-0.21,-0.28,-0.3,-0.34,-0.42,-0.54,-0.63,-0.68,-0.68,-0.65,-0.65,-0.68,-0.76,-0.84,-0.84,-0.78,-0.76,-0.79,-0.85,-0.9,-0.91,-0.89,-0.84,-0.79,-0.78,-0.82,-0.82,-0.77,-0.65,-0.53,-0.44,-0.42,-0.44,-0.46,-0.47,-0.49,-0.55,-0.63,-0.7,-0.73,-0.74,-0.72,-0.67,-0.61,-0.6,-0.62,-0.61,-0.57,-0.52,-0.45,-0.35,-0.26,-0.17,-0.04,0.15,0.3,0.38,0.39,0.38,0.39,0.44,0.49,0.51,0.48,0.45,0.47,0.56,0.68,0.76,0.78,0.73,0.67,0.61,0.55,0.49,0.45,0.42,0.41,0.47,0.57,0.62,0.58,0.49,0.37,0.25</t>
  </si>
  <si>
    <t>To_Avoid_Formula,0.17,0.13,0.09,0.04,-0.03,-0.09,-0.14,-0.16,-0.15,-0.14,-0.15,-0.18,-0.21,-0.25,-0.28,-0.31,-0.35,-0.39,-0.42,-0.39,-0.32,-0.25,-0.2,-0.15,-0.05,0.08,0.23,0.32,0.42,0.55,0.66,0.71,0.72,0.74,0.73,0.73,0.71,0.71,0.7,0.74,0.82,0.89,0.9,0.87,0.83,0.82,0.79,0.75,0.7,0.62,0.47,0.33,0.24,0.27,0.35,0.41,0.43,0.44,0.46,0.49,0.52,0.49,0.44,0.4,0.39,0.36,0.33,0.31,0.32,0.31,0.27,0.26,0.29,0.27,0.17,0.04,-0.03,-0.08,-0.08,-0.03,-0.04,-0.08,-0.09,-0.05,0.0,0.0,-0.04,-0.13,-0.27,-0.42,-0.5,-0.48,-0.46,-0.46,-0.42,-0.31,-0.18,-0.05,0.04,0.1,0.11,0.11,0.12,0.16,0.23,0.25,0.24,0.19,0.13,0.08,0.05,0.05,0.01,-0.09,-0.23,-0.3,-0.32,-0.31,-0.29,-0.29,-0.3,-0.34,-0.36,-0.34,-0.31,-0.34,-0.44,-0.56,-0.68,-0.78,-0.88,-0.99,-1.14,-1.26,-1.31,-1.31,-1.32,-1.37,-1.41,-1.45,-1.52,-1.57,-1.55,-1.51,-1.52,-1.63,-1.72,-1.75,-1.72,-1.67,-1.62,-1.58,-1.58,-1.57,-1.54,-1.45,-1.35,-1.3,-1.27,-1.23,-1.18,-1.09,-0.96,-0.86,-0.8,-0.76,-0.73,-0.67,-0.63,-0.62,-0.69,-0.79,-0.87,-0.89,-0.87,-0.82,-0.81,-0.82,-0.85,-0.83,-0.77,-0.69,-0.62,-0.6,-0.58,-0.51,-0.38,-0.24,-0.1,0.04,0.12,0.16,0.2,0.29,0.42,0.52,0.56,0.54,0.54,0.55,0.61,0.68,0.75,0.75,0.67,0.61,0.62,0.71,0.81,0.88,0.95,0.99,1.03,1.1,1.19,1.19,1.06,0.91,0.81,0.78,0.74,0.67,0.55,0.42,0.37,0.38,0.41,0.43,0.45,0.47,0.49,0.53,0.6,0.69,0.75,0.8,0.87,0.98,1.09,1.17,1.23,1.29,1.31,1.3,1.22,1.08,0.9,0.75,0.6,0.5,0.36,0.29,0.33,0.38,0.38,0.29,0.18,0.07,-0.04,-0.13,-0.19,-0.23,-0.29,-0.36,-0.4,-0.34,-0.24,-0.21,-0.23,-0.25,-0.24,-0.23,-0.23,-0.22,-0.26,-0.35,-0.43,-0.43,-0.37,-0.33,-0.32,-0.31,-0.27,-0.24,-0.19,-0.08,0.06,0.18,0.3,0.48,0.67,0.81,0.88,0.9,0.87,0.83,0.79,0.78,0.78,0.75,0.67,0.62,0.64,0.69,0.72,0.73,0.69,0.56,0.42,0.34,0.31,0.31,0.35,0.38,0.38,0.36,0.35,0.37,</t>
  </si>
  <si>
    <t>To_Avoid_Formula-0.13,-0.17,-0.2,-0.18,-0.18,-0.19,-0.21,-0.21,-0.19,-0.18,-0.16,-0.09,0.0,0.06,0.08,0.1,0.14,0.19,0.26,0.33,0.33,0.31,0.27,0.26,0.23,0.16,0.07,0.0,-0.05,-0.07,-0.03,0.07,0.17,0.22,0.2,0.15,0.08,0.01,0.02,0.07,0.08,-0.04,-0.26,-0.4,-0.45,-0.48,-0.49,-0.46,-0.4,-0.37,-0.36,-0.35,-0.33,-0.31,-0.32,-0.35,-0.34,-0.27,-0.15,-0.07,-0.01,0.04,0.14,0.25,0.32,0.37,0.4,0.39,0.33,0.24,0.15,0.02,-0.15,-0.32,-0.48,-0.6,-0.71,-0.76,-0.77,-0.75,-0.7,-0.63,-0.5,-0.37,-0.25,-0.15,-0.08,-0.06,-0.02,0.05,0.14,0.2,0.23,0.24,0.27,0.35,0.45,0.56,0.63,0.68,0.72,0.77,0.85,0.89,0.88,0.85,0.82,0.79,0.74,0.71,0.67,0.62,0.55,0.5,0.5,0.54,0.58,0.6,0.6,0.57,0.56,0.6,0.66,0.69,0.64,0.57,0.52,0.49,0.47,0.41,0.33,0.25,0.2,0.14,0.09,0.06,0.01,-0.03,-0.07,-0.11,-0.14,-0.14,-0.12,-0.15,-0.24,-0.37,-0.43,-0.42,-0.41,-0.43,-0.47,-0.52,-0.53,-0.48,-0.41,-0.38,-0.42,-0.52,-0.64,-0.71,-0.74,-0.71,-0.7,-0.73,-0.75,-0.71,-0.61,-0.51,-0.43,-0.42,-0.44,-0.45,-0.43,-0.4,-0.36,-0.32,-0.29,-0.24,-0.17,-0.07,0.02,0.06,0.04,-0.03,-0.11,-0.17,-0.15,-0.1,-0.09,-0.12,-0.15,-0.13,-0.04,0.03,0.03,-0.02,-0.11,-0.22,-0.33,-0.43,-0.47,-0.49,-0.49,-0.45,-0.37,-0.2,-0.07,0.04,0.07,0.07,0.14,0.2,0.18,0.05,-0.11,-0.2,-0.26,-0.33,-0.39,-0.36,-0.28,-0.28,-0.42,-0.6,-0.8,-0.99,-1.08,-1.09,-1.04,-0.95,-0.76,-0.52,-0.29,-0.04,0.16,0.41,0.7,0.96,1.22,1.42,1.59,1.72,1.82,1.9,2.0,2.03,2.04,1.99,1.91,1.85,1.81,1.77,1.71,1.67,1.61,1.51,1.37,1.25,1.1,0.85,0.55,0.28,0.01,-0.19,-0.3,-0.39,-0.49,-0.64,-0.84,-1.04,-1.14,-1.14,-1.07,-1.03,-1.03,-0.99,-0.88,-0.76,-0.66,-0.53,-0.41,-0.32,-0.27,-0.19,-0.08,0.05,0.14,0.18,0.24,0.29,0.36,0.44,0.46,0.39,0.24,0.12,0.06,0.06,0.06,0.0,-0.1,-0.19,-0.27,-0.34,-0.34,-0.34,-0.37,-0.42,-0.41,-0.37,-0.32,-0.3,-0.32,-0.39,-0.47,-0.51,-0.53,-0.53,-0.57,-0.6,-0.6,-0.56,-0.48,-0.35,-0.26,-0.27,-0.33,-0.35,-0.36,-0.34,-0.27,-0.18,-0.11,-0.1,-0.07,-0.01,0.01,-0.05,-0.14,-0.22,-0.28,-0.35,-0.39,-0.37,-0.3,-0.26,-0.26,-0.25,-0.19,-0.09,-0.05,-0.1,-0.14,-0.11,-0.05,0.03,0.14,0.25,0.3,0.34,0.39,0.45,0.5,0.49,0.44,0.41,0.38,0.34,0.32,0.33,0.33,0.33,0.31,0.28,0.28,0.33,0.38,0.37,0.31,0.25,0.24,0.25,0.25,0.21,0.17,0.18,0.25,0.27,0.21,0.1,-0.01,-0.13,-0.29,-0.45,-0.52,-0.51,-0.54,-0.61,-0.66,-0.67,-0.65,-0.67,-0.76,-0.82,-0.83,-0.8,-0.75,-0.66,-0.54,-0.42,-0.3,-0.13,0.05,0.19,0.3,0.43,0.59,0.7,0.78,0.83,0.85,0.86,0.84,0.77,0.67,0.58,0.49,0.43,0.44,0.48,0.52,0.55,0.54,0.49,0.43,0.37,0.3,0.17,0.07,0.04,0.04,0.0,-0.01,-0.02,-0.09,-0.17,-0.25,-0.31,-0.38,-0.46,-0.52,-0.52,-0.47,-0.42,-0.35,-0.28,-0.22,-0.19,-0.17,-0.15,-0.13,-0.16,-0.2,-0.26,-0.32,-0.34,-0.32,-0.31,-0.32,-0.35,-0.35,-0.33,-0.33,-0.31,-0.32,-0.39,-0.49,-0.56,-0.54,-0.46,-0.34,-0.22,-0.07,0.11,0.29,0.43,0.5,0.53,0.54,0.56,0.62,0.73,0.84,0.91,0.94,0.99,1.02,1.05,1.1,1.2,1.25,1.19,1.04,0.93,0.85,0.77,0.7,0.65,0.57,0.46,0.34,0.24,0.17,0.1,0.04,-0.07,-0.22,-0.37,-0.46,-0.52,-0.63,-0.77,-0.86,-0.86,-0.88,-0.93,-0.99,-1.02,-1.0,-0.99,-0.94,-0.84,-0.73,-0.63,-0.56,-0.5,-0.47,-0.42,-0.35,-0.31,-0.28,-0.25,-0.2,-0.15,-0.1,-0.06,-0.04,-0.02,0.02,0.08,0.16,0.24,0.26,0.23,0.18,0.11,0.01,-0.1,-0.19,-0.22,-0.23,-0.22,-0.18,-0.09,-0.01,0.01,0.01,0.01,0.03,0.05,0.08,0.08,0.08,0.07,0.08,0.1,0.13,0.15,0.15,0.12,0.07,0.05,0.06,0.1,0.16,0.23,0.27,0.28,0.28,0.3,0.33,0.38,0.43,0.43,0.35,0.25,0.16,0.1,0.07,0.07,0.08,0.07,0.05,0.04,0.03,0.03,0.02,0.03,0.04,0.07,0.08,0.05,0.03,0.06,0.1,0.12,0.11,0.11,0.17,0.26,0.34,0.37,0.3,0.22,0.18,0.2,0.22,0.24,0.23,0.21,0.15,0.08,0.06,0.05,0.02,-0.04,-0.12,-0.2,-0.26,-0.31,-0.37,-0.43,-0.5,-0.57,-0.6,-0.6,-0.61,-0.66,-0.75,-0.8,-0.81,-0.76,-0.7,-0.65,-0.65,-0.69,-0.73,-0.69,-0.58,-0.54,-0.53,-0.55,-0.56,-0.53,-0.47,-0.39,-0.31,-0.27,-0.28,-0.26,-0.17,-0.03,0.11,0.2,0.23,0.21,0.2,0.19,0.18,0.12,0.06,0.0,-0.02,-0.01,0.03,0.09,0.15,0.17,0.16,0.17,0.21,0.27,0.33,0.42,0.5,0.57,0.69,0.84,0.96,1.0,0.97,0.92,0.89,0.89,0.91,0.88,0.81,0.73,0.72,0.77,0.84,0.88,0.84,0.75,0.64,0.55,0.45,0.36,0.28,0.23,0.2,0.23,0.31,0.32,0.25,0.14,0.0,-0.14,-0</t>
  </si>
  <si>
    <t>To_Avoid_Formula.22,-0.27,-0.31,-0.37,-0.43,-0.49,-0.53,-0.54,-0.52,-0.5,-0.49,-0.51,-0.53,-0.55,-0.57,-0.59,-0.6,-0.62,-0.63,-0.58,-0.49,-0.41,-0.35,-0.28,-0.17,-0.04,0.1,0.18,0.27,0.38,0.46,0.48,0.47,0.46,0.43,0.39,0.36,0.33,0.29,0.31,0.38,0.42,0.4,0.34,0.28,0.25,0.2,0.14,0.08,-0.02,-0.17,-0.31,-0.39,-0.36,-0.27,-0.2,-0.18,-0.17,-0.15,-0.11,-0.09,-0.12,-0.16,-0.2,-0.21,-0.23,-0.25,-0.26,-0.25,-0.25,-0.27,-0.27,-0.23,-0.24,-0.33,-0.44,-0.49,-0.51,-0.48,-0.42,-0.4,-0.41,-0.4,-0.33,-0.27,-0.25,-0.27,-0.34,-0.45,-0.57,-0.61,-0.56,-0.5,-0.47,-0.4,-0.26,-0.1,0.04,0.14,0.2,0.22,0.22,0.23,0.28,0.34,0.36,0.34,0.29,0.23,0.18,0.15,0.15,0.12,0.02,-0.11,-0.15,-0.16,-0.13,-0.1,-0.08,-0.08,-0.1,-0.11,-0.07,-0.03,-0.05,-0.13,-0.24,-0.33,-0.4,-0.46,-0.55,-0.65,-0.73,-0.72,-0.68,-0.64,-0.64,-0.65,-0.64,-0.65,-0.66,-0.59,-0.51,-0.47,-0.53,-0.58,-0.56,-0.49,-0.4,-0.3,-0.23,-0.2,-0.16,-0.09,0.01,0.13,0.2,0.24,0.29,0.34,0.44,0.56,0.65,0.7,0.72,0.73,0.77,0.78,0.77,0.68,0.55,0.46,0.42,0.44,0.46,0.47,0.43,0.39,0.39,0.43,0.49,0.54,0.53,0.52,0.57,0.66,0.77,0.87,0.95,0.98,0.97,0.95,0.98,1.05,1.09,1.05,0.97,0.9,0.86,0.85,0.86,0.86,0.8,0.66,0.54,0.5,0.54,0.58,0.59,0.6,0.58,0.56,0.57,0.6,0.53,0.35,0.15,0.01,-0.06,-0.13,-0.22,-0.37,-0.51,-0.57,-0.57,-0.55,-0.54,-0.52,-0.51,-0.5,-0.47,-0.4,-0.32,-0.28,-0.25,-0.19,-0.1,-0.02,0.03,0.07,0.1,0.09,0.05,-0.05,-0.21,-0.41,-0.56,-0.69,-0.79,-0.9,-0.95,-0.88,-0.81,-0.79,-0.86,-0.93,-1.01,-1.07,-1.12,-1.14,-1.13,-1.13,-1.16,-1.14,-1.03,-0.88,-0.8,-0.78,-0.76,-0.7,-0.65,-0.61,-0.56,-0.56,-0.61,-0.64,-0.6,-0.5,-0.41,-0.37,-0.32,-0.25,-0.19,-0.11,0.02,0.18,0.31,0.44,0.61,0.79,0.91,0.96,0.95,0.89,0.83,0.77,0.73,0.72,0.67,0.58,0.51,0.52,0.55,0.57,0.57,0.51,0.37,0.22,0.14,0.12,0.12,0.16,0.19,0.19,0.17,0.15,0.17,</t>
  </si>
  <si>
    <t>To_Avoid_Formula-2.76,-2.76,-2.77,-2.77,-2.77,-2.77,-2.77,-2.77,-2.77,-2.77,-2.77,-2.77,-2.77,-2.77,-2.77,-2.77,-2.77,-2.77,-2.77,-2.77,-2.77,-2.77,-2.76,-2.76,-2.76,-2.76,-2.76,-2.75,-2.75,-2.75,-2.75,-2.74,-2.74,-2.73,-2.73,-2.73,-2.72,-2.72,-2.72,-2.71,-2.71,-2.7,-2.7,-2.69,-2.69,-2.68,-2.68,-2.67,-2.67,-2.66,-2.66,-2.65,-2.65,-2.64,-2.64,-2.63,-2.62,-2.62,-2.61,-2.61,-2.6,-2.6,-2.59,-2.59,-2.58,-2.57,-2.57,-2.56,-2.56,-2.55,-2.55,-2.54,-2.54,-2.53,-2.53,-2.52,-2.52,-2.51,-2.51,-2.5,-2.5,-2.49,-2.49,-2.48,-2.48,-2.48,-2.47,-2.47,-2.46,-2.46,-2.46,-2.45,-2.45,-2.45,-2.45,-2.44,-2.44,-2.44,-2.44,-2.44,-2.44,-2.43,-2.43,-2.43,-2.43,-2.43,-2.43,-2.43,-2.44,-2.44,-2.44,-2.44,-2.44,-2.45,-2.45,-2.45,-2.46,-2.46,-2.47,-2.47,-2.48,-2.48,-2.49,-2.5,-2.5,-2.51,-2.52,-2.52,-2.53,-2.54,-2.55,-2.56,-2.57,-2.58,-2.59,-2.6,-2.61,-2.62,-2.63,-2.64,-2.65,-2.66,-2.67,-2.68,-2.7,-2.71,-2.72,-2.73,-2.75,-2.76,-2.77,-2.79,-2.8,-2.82,-2.83,-2.84,-2.86,-2.87,-2.89,-2.91,-2.92,-2.94,-2.96,-2.97,-2.99,-3.01,-3.02,-3.04,-3.06,-3.08,-3.1,-3.11,-3.13,-3.15,-3.17,-3.19,-3.21,-3.23,-3.25,-3.27,-3.29,-3.31,-3.33,-3.35,-3.37,-3.39,-3.41,-3.43,-3.46,-3.48,-3.5,-3.52,-3.54,-3.56,-3.58,-3.6,-3.63,-3.65,-3.67,-3.69,-3.71,-3.74,-3.76,-3.78,-3.8,-3.82,-3.84,-3.87,-3.89,-3.91,-3.93,-3.95,-3.98,-4.0,-4.02,-4.04,-4.06,-4.08,-4.1,-4.13,-4.15,-4.17,-4.19,-4.21,-4.23,-4.25,-4.27,-4.29,-4.31,-4.33,-4.35,-4.37,-4.39,-4.41,-4.43,-4.45,-4.46,-4.48,-4.5,-4.52,-4.54,-4.56,-4.57,-4.59,-4.61,-4.63,-4.65,-4.66,-4.68,-4.7,-4.71,-4.73,-4.75,-4.76,-4.78,-4.79,-4.81,-4.82,-4.84,-4.86,-4.87,-4.89,-4.9,-4.91,-4.93,-4.94,-4.96,-4.97,-4.98,-5.0,-5.01,-5.02,-5.04,-5.05,-5.06,-5.08,-5.09,-5.1,-5.11,-5.13,-5.14,-5.15,-5.16,-5.17,-5.18,-5.2,-5.21,-5.22,-5.23,-5.24,-5.25,-5.26,-5.27,-5.29,-5.3,-5.31,-5.32,-5.33,-5.34,-5.35,-5.36,-5.37,-5.38,-5.39,-5.4,-5.41,-5.41,-5.42,-5.43,-5.44,-5.45,-5.46,-5.47,-5.47,-5.48,-5.49,-5.5,-5.51,-5.51,-5.52,-5.53,-5.53,-5.54,-5.55,-5.55,-5.56,-5.57,-5.57,-5.58,-5.58,-5.59,-5.6,-5.6,-5.61,-5.61,-5.62,-5.62,-5.62,-5.63,-5.63,-5.64,-5.64,-5.65,-5.65,-5.65,-5.66,-5.66,-5.66,-5.66,-5.67,-5.67,-5.67,-5.67,-5.68,-5.68,-5.68,-5.68,-5.68,-5.68,-5.68,-5.68,-5.68,-5.69,-5.69,-5.68,-5.68,-5.68,-5.68,-5.68,-5.68,-5.68,-5.68,-5.68,-5.67,-5.67,-5.67,-5.67,-5.66,-5.66,-5.66,-5.65,-5.65,-5.65,-5.64,-5.64,-5.63,-5.63,-5.63,-5.62,-5.62,-5.61,-5.61,-5.6,-5.6,-5.59,-5.58,-5.58,-5.57,-5.57,-5.56,-5.55,-5.55,-5.54,-5.53,-5.53,-5.52,-5.51,-5.5,-5.5,-5.49,-5.48,-5.47,-5.46,-5.46,-5.45,-5.44,-5.43,-5.42,-5.41,-5.41,-5.4,-5.39,-5.38,-5.37,-5.36,-5.35,-5.34,-5.33,-5.32,-5.31,-5.31,-5.3,-5.29,-5.28,-5.27,-5.26,-5.25,-5.24,-5.23,-5.22,-5.21,-5.2,-5.19,-5.18,-5.17,-5.16,-5.15,-5.14,-5.14,-5.13,-5.12,-5.11,-5.1,-5.09,-5.08,-5.07,-5.06,-5.05,-5.04,-5.03,-5.02,-5.01,-5.01,-5.0,-4.99,-4.98,-4.97,-4.96,-4.95,-4.94,-4.93,-4.92,-4.91,-4.91,-4.9,-4.89,-4.88,-4.87,-4.86,-4.85,-4.84,-4.83,-4.83,-4.82,-4.81,-4.8,-4.79,-4.78,-4.77,-4.76,-4.76,-4.75,-4.74,-4.73,-4.72,-4.71,-4.7,-4.7,-4.69,-4.68,-4.67,-4.66,-4.65,-4.64,-4.64,-4.63,-4.62,-4.61,-4.6,-4.59,-4.58,-4.58,-4.57,-4.56,-4.55,-4.54,-4.53,-4.53,-4.52,-4.51,-4.5,-4.49,-4.48,-4.48,-4.47,-4.46,-4.45,-4.44,-4.43,-4.43,-4.42,-4.41,-4.4,-4.39,-4.39,-4.38,-4.37,-4.36,-4.35,-4.35,-4.34,-4.33,-4.32,-4.31,-4.3,-4.3,-4.29,-4.28,-4.27,-4.26,-4.26,-4.25,-4.24,-4.23,-4.23,-4.22,-4.21,-4.2,-4.2,-4.19,-4.18,-4.18,-4.17,-4.16,-4.15,-4.15,-4.14,-4.14,-4.13,-4.12,-4.12,-4.11,-4.1,-4.1,-4.09,-4.09,-4.08,-4.08,-4.07,-4.07,-4.06,-4.06,-4.05,-4.05,-4.04,-4.04,-4.03,-4.03,-4.02,-4.02,-4.02,-4.01,-4.01,-4.0,-4.0,-3.99,-3.99,-3.99,-3.98,-3.98,-3.97,-3.97,-3.96,-3.96,-3.95,-3.95,-3.94,-3.94,-3.93,-3.93,-3.92,-3.92,-3.91,-3.91,-3.9,-3.9,-3.89,-3.89,-3.88,-3.87,-3.87,-3.86,-3.86,-3.85,-3.84,-3.84,-3.83,-3.83,-3.82,-3.81,-3.81,-3.8,-3.79,-3.79,-3.78,-3.78,-3.77,-3.76,-3.76,-3.75,-3.74,-3.74,-3.73,-3.72,-3.72,-3.71,-3.71,-3.7,-3.69,-3.69,-3.68,-3.67,-3.67,-3.66,-3.65,-3.65,-3.64,-3.63,-3.63,-3.62,-3.61,-3.61,-3.6</t>
  </si>
  <si>
    <t>To_Avoid_Formula,-3.59,-3.58,-3.58,-3.57,-3.56,-3.55,-3.55,-3.54,-3.53,-3.52,-3.51,-3.5,-3.5,-3.49,-3.48,-3.47,-3.46,-3.45,-3.44,-3.43,-3.42,-3.41,-3.4,-3.39,-3.38,-3.37,-3.36,-3.35,-3.34,-3.33,-3.32,-3.31,-3.3,-3.28,-3.27,-3.26,-3.25,-3.24,-3.23,-3.21,-3.2,-3.19,-3.18,-3.17,-3.15,-3.14,-3.13,-3.11,-3.1,-3.09,-3.08,-3.06,-3.05,-3.03,-3.02,-3.01,-2.99,-2.98,-2.97,-2.95,-2.94,-2.92,-2.91,-2.89,-2.88,-2.86,-2.85,-2.84,-2.82,-2.81,-2.79,-2.78,-2.76,-2.74,-2.73,-2.71,-2.7,-2.68,-2.67,-2.65,-2.64,-2.62,-2.61,-2.59,-2.58,-2.56,-2.55,-2.53,-2.52,-2.5,-2.49,-2.47,-2.46,-2.45,-2.43,-2.42,-2.4,-2.39,-2.38,-2.36,-2.35,-2.34,-2.33,-2.31,-2.3,-2.29,-2.28,-2.27,-2.26,-2.25,-2.24,-2.23,-2.22,-2.21,-2.2,-2.19,-2.18,-2.17,-2.16,-2.16,-2.15,-2.14,-2.13,-2.13,-2.12,-2.11,-2.11,-2.1,-2.1,-2.09,-2.09,-2.08,-2.08,-2.07,-2.07,-2.06,-2.06,-2.06,-2.05,-2.05,-2.05,-2.05,-2.04,-2.04,-2.04,-2.04,-2.04,-2.03,-2.03,-2.03,-2.03,-2.03,-2.03,-2.03,-2.03,-2.03,-2.03,-2.03,-2.03,-2.03,-2.03,-2.03,-2.03,-2.03,-2.03,-2.03,-2.03,-2.03,-2.03,-2.03,-2.03,-2.03,-2.03,-2.04,-2.04,-2.04,-2.04,-2.04,-2.04,-2.04,-2.05,-2.05,-2.05,-2.05,-2.05,-2.06,-2.06,-2.06,-2.06,-2.06,-2.07,-2.07,-2.07,-2.07,-2.08,-2.08,-2.08,-2.08,-2.09,-2.09,-2.09,-2.09,-2.1,-2.1,-2.1,-2.11,-2.11,-2.11,-2.11,-2.12,-2.12,-2.12,-2.13,-2.13,-2.13,-2.14,-2.14,-2.14,-2.15,-2.15,-2.15,-2.16,-2.16,-2.16,-2.17,-2.17,-2.18,-2.18,-2.18,-2.19,-2.19,-2.2,-2.2,-2.21,-2.21,-2.22,-2.22,-2.23,-2.23,-2.24,-2.24,-2.25,-2.25,-2.26,-2.26,-2.27,-2.27,-2.28,-2.29,-2.29,-2.3,-2.3,-2.31,-2.32,-2.32,-2.33,-2.34,-2.34,-2.35,-2.35,-2.36,-2.37,-2.38,-2.38,-2.39,-2.4,-2.4,-2.41,-2.42,-2.42,-2.43,-2.44,-2.45,-2.45,-2.46,-2.47,-2.48,-2.48,-2.49,-2.5,-2.51,-2.51,-2.52,-2.53,-2.54,-2.54,-2.55,-2.56,-2.57,-2.57,-2.58,-2.59,-2.59,-2.6,-2.61,-2.62,-2.62,-2.63,-2.64,-2.64,-2.65,-2.66,-2.66,-2.67,-2.68,-2.68,-2.69,-2.7,-2.7,-2.71,-2.72,-2.72,-2.73,-2.74,-2.74,-2.75,-2.75,-2.76,-2.77,-2.77,-2.78,-2.78,-2.79,-2.79,-2.8,-2.8,-2.81,-2.81,-2.82,-2.82,-2.83,-2.83,-2.84,-2.84,-2.84,-2.85,-2.85,-2.85,-2.86,-2.86,-2.86,-2.86,-2.86,-2.87,-2.87,-2.87,-2.87,-2.87,-2.87,-2.87,-2.87,-2.87,-2.87,-2.86,-2.86,-2.86,-2.86,-2.85,-2.85,-2.85,-2.84,-2.84,-2.83,-2.83,-2.82,-2.81,-2.81,-2.8,-2.79,-2.78,-2.77,-2.76,-2.75,-2.75,-2.73,-2.72,-2.71,-2.7,-2.69,-2.68,-2.66,-2.65,-2.64,</t>
  </si>
  <si>
    <t>To_Avoid_Formula3.14,3.31,3.52,3.79,4.0,4.09,4.05,3.86,3.64,3.45,3.4,3.46,3.51,3.54,3.52,3.45,3.36,3.29,3.21,2.99,2.69,2.37,2.17,2.07,1.97,1.93,2.01,2.23,2.46,2.61,2.69,2.75,2.9,3.06,3.14,3.13,3.13,3.2,3.28,3.26,3.1,2.98,2.97,3.01,2.99,2.96,2.99,3.15,3.39,3.66,3.94,4.15,4.3,4.44,4.58,4.7,4.73,4.59,4.35,4.1,3.93,3.77,3.54,3.25,2.95,2.65,2.35,1.96,1.55,1.18,0.86,0.55,0.2,-0.24,-0.59,-0.75,-0.79,-0.77,-0.75,-0.65,-0.41,-0.08,0.19,0.31,0.32,0.38,0.5,0.63,0.6,0.45,0.2,-0.02,-0.12,-0.17,-0.29,-0.42,-0.44,-0.37,-0.31,-0.27,-0.13,0.01,0.09,0.1,0.12,0.21,0.36,0.54,0.75,0.95,1.15,1.37,1.56,1.74,1.88,2.01,2.15,2.25,2.28,2.31,2.38,2.44,2.4,2.31,2.19,2.14,2.23,2.34,2.39,2.34,2.3,2.37,2.56,2.76,2.91,3.06,3.23,3.37,3.39,3.34,3.29,3.18,2.92,2.52,2.12,1.84,1.69,1.57,1.35,0.95,0.54,0.33,0.3,0.3,0.3,0.39,0.58,0.78,0.98,1.27,1.58,1.74,1.73,1.75,1.83,1.83,1.67,1.48,1.35,1.3,1.4,1.62,1.91,2.21,2.51,2.68,2.68,2.49,2.21,1.9,1.64,1.48,1.41,1.42,1.47,1.61,1.81,2.07,2.27,2.42,2.65,2.89,3.01,2.95,2.79,2.74,2.82,2.92,3.05,3.21,3.39,3.53,3.52,3.41,3.25,3.13,3.0,2.66,2.22,1.84,1.58,1.58,1.77,2.22,2.77,3.27,3.6,3.82,4.0,4.03,3.96,3.84,3.67,3.37,2.98,2.47,1.75,0.88,0.06,-0.61,-1.16,-1.47,-1.62,-1.61,-1.33,-0.78,-0.06,0.66,1.42,2.02,2.35,2.46,2.5,2.57,2.72,2.86,2.9,2.83,2.74,2.74,2.79,2.86,2.88,2.8,2.69,2.65,2.66,2.59,2.42,2.22,2.05,1.91,1.71,1.42,1.19,1.01,0.9,0.85,0.9,1.04,1.22,1.36,1.33,1.22,1.17,1.19,1.18,1.16,1.15,1.14,1.06,0.98,1.0,1.07,1.14,1.15,1.12,1.07,0.99,0.91,0.84,0.83,0.86,0.91,0.94,0.89,0.66,0.29,-0.17,-0.53,-0.74,-0.99,-1.26,-1.52,-1.74,-1.87,-1.9,-1.89,-1.86,-1.73,-1.46,-1.12,-0.75,-0.34,0.03,0.35,0.54,0.59,0.59,0.56,0.54,0.46,0.32,0.12,-0.01,0.01,0.14,0.19,0.09,-0.01,-0.06,-0.14,-0.23,-0.32,-0.36,-0.36,-0.33,-0.25,-0.03,0.26,0.51,0.7,0.92,1.14,1.27,1.34,1.44,1.56,1.72,1.84,1.86,1.79,1.67,1.59,1.56,1.44,1.11,0.74,0.47,0.39,0.31,0.08,-0.21,-0.41,-0.4,-0.2,0.04,0.18,0.28,0.43,0.69,0.86,0.76,0.49,0.17,-0.02,-0.08,-0.18,-0.36,-0.54,-0.63,-0.66,-0.67,-0.69,-0.67,-0.6,-0.5,-0.49,-0.6,-0.72,-0.8,-0.89,-0.99,-1.04,-1.02,-1.03,-1.11,-1.2,-1.25,-1.22,-1.12,-1.0,-0.97,-1.07,-1.22,-1.28,-1.27,-1.28,-1.39,-1.5,-1.48,-1.39,-1.22,-1.01,-0.86,-0.81,-0.76,-0.58,-0.22,0.21,0.49,0.58,0.63,0.86,1.2,1.42,1.4,1.24,1.0,0.79,0.63,0.45,0.23,0.06,0.01,0.02,0.01,-0.01,0.05,0.12,0.19,0.28,0.4,0.48,0.47,0.31,0.1,0.0,0.02,0.06,-0.01,-0.16,-0.29,-0.26,-0.18,-0.16,-0.23,-0.28,-0.2,-0.08,0.03,0.12,0.18,0.29,0.45,0.64,0.7,0.6,0.46,0.39,0.39,0.36,0.31,0.24,0.2,0.18,0.19,0.18,0.15,0.13,0.22,0.39,0.57,0.64,0.63,0.65,0.78,1.0,1.23,1.39,1.48,1.57,1.7,1.91,2.26,2.69,3.03,3.25,3.35,3.32,3.22,3.04,2.72,2.28,1.86,1.49,1.14,0.82,0.53,0.28,0.09,-0.02,0.05,0.27,0.54,0.74,0.96,1.19,1.45,1.7,1.83,1.8,1.62,1.26,0.8,0.33,-0.12,-0.52,-0.8,-1.01,-1.18,-1.26,-1.15,-0.89,-0.6,-0.38,-0.2,0.02,0.25,0.48,0.68,0.82,0.97,1.17,1.38,1.51,1.57,1.66,1.73,1.75,1.67,1.56,1.5,1.48,1.44,1.39,1.35,1.29,1.18,1.1,1.06,0.99,0.85,0.7,0.67,0.71,0.72,0.68,0.62,0.62,0.66,0.67,0.65,0.65,0.76,0.94,1.13,1.22,1.23,1.22,1.17,1.01,0.83,0.76,0.79,0.8,0.7,0.62,0.63,0.72,0.82,0.95,1.04,1.04,0.94,0.81,0.72,0.64,0.49,0.21,-0.09,-0.4,-0.63,-0.76,-0.86,-0.97,-1.07,-1.12,-1.1,-1.08,-1.1,-1.07,-0.92,-0.67,-0.41,-0.29,-0.24,-0.13,0.15,0.47,0.65,0.75,0.89,1.13,1.35,1.46,1.47,1.49,1.55,1.6,1.61,1.59,1.59,1.59,1.54,1.47,1.38,1.25,1.08,0.84,0.53,0.18,-0.17,-0.45,-0.62,-0.75,-0.86,-0.94,-1.03,-1.11,-1.14,-1.07,-0.96,-0.92,-0.95,-0.95,-0.84,-0.7,-0.62,-0.6,-0.6,-0.5,-0.32,-0.11,0.08,0.21,0.31,0.43,0.55,0.62,0.62,0.61,0.62,0.62,0.61,0.64,0.72,0.79,0.86,0.93,0.97,1.0,1.04,1.11,1.06,0.78,0.41,0.11,-0.09,-0.26,-0.49,-0.7,-0.78,-0.81,-0.82,-0.76,-0.55,-0.19,0.29,0.74,1.08,1.5,2.0,2.53,2.9,3.07,3.2,3.29,3.36,3.41,3.41,3.3,3.1,2.88,2.75,2.67,2.48,2.22,1.9,1.68,1.61,1.6,1.55,1.43,1.35,1.39,1.49,1.52,1.47,1.42,1.4,1.36,1.29,1.28,1.35,1.4,1.4,1.4,1.42,1.4,1.3,1.14,0.95,0.7,0.46,0.31,0.26,0.23,0.16,0.07,0.03,0.11,0.28,0.49,0.68,0.85,1.07,1.3,1.56,1.79,1.94,2.05,2.16,2.24,2.22,2.15,2.11,</t>
  </si>
  <si>
    <t>To_Avoid_Formula2.15,2.23,2.23,2.15,2.01,1.82,1.6,1.39,1.15,0.88,0.6,0.34,0.13,-0.07,-0.17,-0.21,-0.27,-0.35,-0.31,-0.17,-0.12,-0.11,0.05,0.36,0.59,0.75,0.94,1.13,1.28,1.35,1.35,1.26,1.11,0.9,0.66,0.4,0.27,0.3,0.38,0.44,0.46,0.49,0.56,0.7,0.85,1.05,1.25,1.38,1.43,1.53,1.73,1.81,1.59,1.26,1.02,0.86,0.73,0.5,0.28,0.15,0.21,0.38,0.57,0.8,1.08,1.37,1.63,1.9,2.09,2.2,2.26,2.33,2.4,2.46,2.54,2.63,2.7,2.76,2.81,2.81,2.68,2.44,2.24,2.09,1.91,1.65,1.36,1.13,0.96,0.87,0.83,0.77,0.7,0.67,0.75,0.91,1.12,1.3,1.34,1.29,1.28,1.4,1.53,1.62,1.72,1.85,2.0,2.11,2.23,2.41,2.59,2.65,2.61,2.55,2.54,2.53,2.44,2.28,2.11,2.03,1.97,1.87,1.78,1.69,1.59,1.47,1.34,1.22,1.14,1.11,1.07,0.97,0.8,0.7,0.74,0.87,0.98,1.07,1.12,1.15,1.15,1.12,1.09,1.09,1.08,1.04,0.99,0.95,1.01,1.1,1.14,1.15,1.24,1.45,1.63,1.7,1.66,1.59,1.58,1.55,1.45,1.3,1.2,1.16,1.11,1.07,1.02,0.96,0.87,0.78,0.7,0.57,0.36,0.24,0.32,0.49,0.61,0.63,0.65,0.79,1.13,1.5,1.72,1.9,2.12,2.31,2.32,2.2,2.06,1.9,1.67,1.43,1.26,1.25,1.39,1.66,2.0,2.34,2.74,3.19,3.51,3.57,3.51,3.53,3.64,3.69,3.61,3.5,3.44,3.41,3.34,3.31,3.39,3.5,3.45,3.24,3.04,2.95,2.9,2.74,2.44,2.13,1.84,1.52,1.15,0.77,0.45,0.18,0.0,-0.1,-0.2,-0.3,-0.29,-0.17,-0.07,-0.04,-0.01,0.08,0.2,0.28,0.3,0.32,0.46,0.73,0.99,1.15,1.17,1.09,0.99,1.02,1.11,1.22,1.33,1.45,1.57,1.7,1.86,2.01,2.04,1.92,1.66,1.32,1.02,0.79,0.65,0.6,0.68,0.88,1.14,1.46,1.71,1.78,1.69,1.57,1.46,1.39,1.33,1.23,1.12,</t>
  </si>
  <si>
    <t>To_Avoid_Formula-0.01,-0.01,-0.02,-0.02,-0.03,-0.03,-0.03,-0.04,-0.04,-0.04,-0.04,-0.04,-0.05,-0.05,-0.05,-0.05,-0.05,-0.05,-0.05,-0.05,-0.05,-0.05,-0.06,-0.06,-0.06,-0.07,-0.07,-0.08,-0.08,-0.09,-0.09,-0.1,-0.1,-0.11,-0.11,-0.12,-0.12,-0.13,-0.13,-0.14,-0.15,-0.15,-0.16,-0.17,-0.17,-0.18,-0.18,-0.19,-0.19,-0.2,-0.2,-0.21,-0.21,-0.22,-0.22,-0.23,-0.23,-0.24,-0.24,-0.24,-0.25,-0.25,-0.25,-0.25,-0.26,-0.26,-0.26,-0.27,-0.27,-0.28,-0.29,-0.29,-0.3,-0.3,-0.31,-0.32,-0.33,-0.34,-0.35,-0.36,-0.37,-0.38,-0.4,-0.41,-0.42,-0.43,-0.44,-0.45,-0.45,-0.46,-0.47,-0.47,-0.48,-0.48,-0.49,-0.49,-0.49,-0.49,-0.49,-0.49,-0.49,-0.49,-0.49,-0.49,-0.48,-0.48,-0.48,-0.48,-0.48,-0.48,-0.49,-0.49,-0.49,-0.49,-0.49,-0.5,-0.5,-0.5,-0.5,-0.5,-0.49,-0.49,-0.49,-0.49,-0.48,-0.47,-0.46,-0.45,-0.43,-0.42,-0.4,-0.39,-0.37,-0.36,-0.34,-0.33,-0.31,-0.3,-0.29,-0.28,-0.27,-0.26,-0.25,-0.24,-0.24,-0.23,-0.23,-0.23,-0.23,-0.23,-0.23,-0.23,-0.24,-0.24,-0.24,-0.25,-0.25,-0.26,-0.26,-0.27,-0.27,-0.27,-0.27,-0.27,-0.27,-0.27,-0.26,-0.26,-0.26,-0.26,-0.25,-0.25,-0.25,-0.25,-0.25,-0.26,-0.26,-0.27,-0.28,-0.29,-0.3,-0.31,-0.32,-0.33,-0.34,-0.35,-0.36,-0.37,-0.38,-0.4,-0.41,-0.42,-0.43,-0.44,-0.45,-0.46,-0.47,-0.48,-0.48,-0.49,-0.49,-0.5,-0.5,-0.51,-0.51,-0.51,-0.51,-0.51,-0.51,-0.51,-0.51,-0.51,-0.52,-0.52,-0.52,-0.52,-0.53,-0.53,-0.53,-0.53,-0.54,-0.54,-0.54,-0.54,-0.54,-0.54,-0.54,-0.54,-0.53,-0.53,-0.53,-0.52,-0.52,-0.52,-0.51,-0.51,-0.51,-0.5,-0.5,-0.49,-0.48,-0.48,-0.47,-0.46,-0.46,-0.45,-0.44,-0.44,-0.43,-0.43,-0.42,-0.42,-0.42,-0.41,-0.41,-0.41,-0.4,-0.4,-0.4,-0.4,-0.4,-0.4,-0.41,-0.41,-0.41,-0.41,-0.41,-0.41,-0.41,-0.4,-0.4,-0.4,-0.4,-0.4,-0.4,-0.39,-0.39,-0.39,-0.38,-0.38,-0.37,-0.37,-0.36,-0.35,-0.35,-0.34,-0.34,-0.34,-0.33,-0.33,-0.33,-0.33,-0.33,-0.33,-0.33,-0.33,-0.33,-0.32,-0.32,-0.33,-0.33,-0.33,-0.33,-0.33,-0.33,-0.33,-0.33,-0.33,-0.33,-0.33,-0.33,-0.33,-0.32,-0.32,-0.32,-0.32,-0.32,-0.33,-0.33,-0.34,-0.34,-0.34,-0.35,-0.36,-0.36,-0.37,-0.38,-0.4,-0.41,-0.42,-0.44,-0.46,-0.47,-0.49,-0.5,-0.52,-0.53,-0.54,-0.55,-0.56,-0.57,-0.57,-0.58,-0.59,-0.59,-0.6,-0.6,-0.6,-0.6,-0.6,-0.59,-0.59,-0.59,-0.58,-0.58,-0.57,-0.57,-0.56,-0.56,-0.55,-0.55,-0.54,-0.54,-0.54,-0.53,-0.53,-0.53,-0.52,-0.52,-0.51,-0.51,-0.51,-0.51,-0.5,-0.5,-0.5,-0.49,-0.48,-0.48,-0.47,-0.46,-0.45,-0.44,-0.43,-0.42,-0.42,-0.41,-0.4,-0.4,-0.39,-0.38,-0.38,-0.37,-0.37,-0.36,-0.36,-0.36,-0.36,-0.36,-0.36,-0.36,-0.36,-0.37,-0.37,-0.38,-0.38,-0.38,-0.39,-0.4,-0.4,-0.41,-0.42,-0.42,-0.43,-0.43,-0.44,-0.44,-0.45,-0.45,-0.45,-0.46,-0.46,-0.46,-0.46,-0.46,-0.46,-0.46,-0.46,-0.46,-0.46,-0.46,-0.46,-0.46,-0.46,-0.46,-0.46,-0.46,-0.46,-0.46,-0.46,-0.46,-0.46,-0.46,-0.47,-0.47,-0.47,-0.47,-0.47,-0.47,-0.47,-0.46,-0.46,-0.46,-0.46,-0.46,-0.45,-0.45,-0.44,-0.44,-0.43,-0.42,-0.42,-0.41,-0.4,-0.39,-0.39,-0.38,-0.38,-0.37,-0.36,-0.36,-0.35,-0.35,-0.34,-0.34,-0.33,-0.33,-0.32,-0.32,-0.31,-0.31,-0.3,-0.3,-0.29,-0.29,-0.28,-0.28,-0.27,-0.27,-0.26,-0.26,-0.25,-0.25,-0.25,-0.25,-0.24,-0.24,-0.24,-0.24,-0.24,-0.24,-0.24,-0.24,-0.23,-0.24,-0.24,-0.24,-0.24,-0.25,-0.25,-0.26,-0.26,-0.27,-0.27,-0.28,-0.28,-0.28,-0.28,-0.29,-0.29,-0.29,-0.29,-0.29,-0.29,-0.29,-0.29,-0.29,-0.3,-0.3,-0.3,-0.3,-0.3,-0.3,-0.31,-0.31,-0.31,-0.31,-0.32,-0.32,-0.32,-0.33,-0.33,-0.33,-0.33,-0.33,-0.33,-0.34,-0.34,-0.34,-0.34,-0.34,-0.34,-0.34,-0.34,-0.34,-0.34,-0.34,-0.34,-0.34,-0.33,-0.33,-0.33,-0.32,-0.32,-0.32,-0.32,-0.32,-0.31,-0.31,-0.31,-0.31,-0.31,-0.31,-0.31,-0.31,-0.31,-0.31,-0.31,-0.31,-0.31,-0.31,-0.31,-0.31,-0.31,-0.31,-0.3,-0.3,-0.3,-0.3,-0.29,-0.29,-0.29,-0.28,-0.28,-0.27,-0.27,-0.27,-0.27,-0.26,-0.26,-0.26,-0.25,-0.25,-0.24,-0.24,-0.23,-0.23,-0.22,-0.22,-0.21,-0.2,-0.2,-0.19,-0.19,-0.19,-0.18,-0.18,-0.17,-0.17,-0.16,-0.16,-0.15,-0.15,-0.15,-0.14,-0.14,-0.14,-0.13,-0.13,-0.13,-0.12,-0.12,-0.12,-0.12,-0.11,-0.11,-0.1,-0.1,-0.1,-0.1,-0.09,-0.09,-0.08,-0.08,-0.08,-0.07,-0.07,-0.06,-0.06,-0.05,-0.05,-0.04,-0.04,-0.03,-0.03,-0.03,-0.02,-0.02,-0.02,-0.02,-0.03,-0.03,-0.03,-0.03,-</t>
  </si>
  <si>
    <t>To_Avoid_Formula0.03,-0.03,-0.03,-0.04,-0.04,-0.04,-0.05,-0.05,-0.05,-0.05,-0.06,-0.06,-0.06,-0.06,-0.06,-0.06,-0.06,-0.06,-0.06,-0.06,-0.06,-0.07,-0.07,-0.07,-0.07,-0.07,-0.07,-0.07,-0.08,-0.08,-0.08,-0.08,-0.08,-0.08,-0.09,-0.09,-0.09,-0.09,-0.09,-0.09,-0.09,-0.09,-0.09,-0.09,-0.09,-0.09,-0.09,-0.09,-0.09,-0.09,-0.09,-0.09,-0.09,-0.08,-0.08,-0.08,-0.07,-0.07,-0.06,-0.06,-0.06,-0.06,-0.06,-0.06,-0.06,-0.06,-0.06,-0.06,-0.06,-0.06,-0.06,-0.06,-0.06,-0.06,-0.06,-0.06,-0.06,-0.06,-0.06,-0.07,-0.07,-0.07,-0.07,-0.07,-0.08,-0.08,-0.09,-0.1,-0.11,-0.11,-0.12,-0.13,-0.14,-0.15,-0.15,-0.16,-0.17,-0.17,-0.18,-0.19,-0.19,-0.2,-0.21,-0.21,-0.22,-0.22,-0.23,-0.24,-0.24,-0.24,-0.25,-0.25,-0.25,-0.25,-0.25,-0.25,-0.25,-0.25,-0.25,-0.25,-0.25,-0.26,-0.26,-0.26,-0.26,-0.26,-0.26,-0.25,-0.25,-0.25,-0.25,-0.25,-0.25,-0.25,-0.24,-0.24,-0.23,-0.22,-0.21,-0.21,-0.2,-0.19,-0.19,-0.18,-0.17,-0.16,-0.16,-0.15,-0.14,-0.13,-0.13,-0.12,-0.11,-0.11,-0.1,-0.09,-0.09,-0.08,-0.08,-0.08,-0.08,-0.07,-0.07,-0.07,-0.07,-0.07,-0.07,-0.07,-0.07,-0.07,-0.08,-0.08,-0.08,-0.09,-0.09,-0.1,-0.1,-0.11,-0.12,-0.12,-0.13,-0.14,-0.15,-0.16,-0.16,-0.17,-0.18,-0.19,-0.2,-0.21,-0.22,-0.23,-0.23,-0.24,-0.25,-0.25,-0.26,-0.27,-0.28,-0.28,-0.29,-0.3,-0.31,-0.31,-0.32,-0.33,-0.33,-0.34,-0.34,-0.34,-0.35,-0.35,-0.35,-0.36,-0.36,-0.36,-0.36,-0.37,-0.37,-0.37,-0.37,-0.37,-0.37,-0.37,-0.37,-0.37,-0.36,-0.36,-0.35,-0.35,-0.34,-0.34,-0.33,-0.33,-0.32,-0.31,-0.31,-0.3,-0.3,-0.29,-0.28,-0.27,-0.27,-0.26,-0.25,-0.24,-0.23,-0.22,-0.21,-0.2,-0.19,-0.19,-0.18,-0.17,-0.16,-0.16,-0.15,-0.15,-0.14,-0.14,-0.13,-0.12,-0.12,-0.11,-0.1,-0.09,-0.08,-0.07,-0.06,-0.05,-0.03,-0.02,-0.01,0.0,0.01,0.02,0.03,0.04,0.05,0.06,0.07,0.08,0.09,0.1,0.11,0.12,0.13,0.14,0.15,0.16,0.16,0.17,0.18,0.19,0.19,0.2,0.2,0.21,0.22,0.22,0.23,0.23,0.24,0.24,0.25,0.26,0.26,0.27,0.27,0.27,0.28,0.28,0.28,0.28,0.28,0.28,0.27,0.27,0.27,0.27,0.27,0.27,0.27,0.26,0.26,0.26,0.26,0.26,0.27,0.27,0.27,0.27,0.27,0.27,0.27,0.27,0.27,0.26,0.26,0.26,0.25,0.25,0.24,0.23,0.23,0.22,0.21,0.21,0.2,0.19,0.19,0.18,0.17,0.17,0.16,0.16,0.15,0.15,0.14,0.14,0.14,0.14,0.14,0.14,0.14,0.14,0.14,0.14,0.14,0.14,0.14,0.14,0.14,0.14,0.14,0.14,0.14,0.14,0.14,0.14,0.14,0.14,</t>
  </si>
  <si>
    <t>To_Avoid_Formula-0.81,-0.9,-0.98,-1.06,-1.14,-1.21,-1.27,-1.33,-1.39,-1.45,-1.51,-1.57,-1.63,-1.69,-1.75,-1.82,-1.89,-1.96,-2.02,-2.07,-2.12,-2.17,-2.22,-2.26,-2.31,-2.35,-2.4,-2.44,-2.48,-2.53,-2.58,-2.62,-2.64,-2.65,-2.64,-2.61,-2.56,-2.5,-2.43,-2.33,-2.21,-2.09,-1.97,-1.88,-1.81,-1.76,-1.74,-1.73,-1.73,-1.72,-1.7,-1.66,-1.6,-1.52,-1.41,-1.27,-1.1,-0.9,-0.66,-0.4,-0.11,0.19,0.48,0.77,1.03,1.26,1.45,1.59,1.69,1.75,1.77,1.78,1.77,1.73,1.69,1.64,1.58,1.51,1.42,1.33,1.24,1.15,1.09,1.05,1.03,1.04,1.06,1.1,1.15,1.22,1.28,1.35,1.43,1.5,1.59,1.69,1.81,1.94,2.1,2.27,2.44,2.61,2.77,2.91,3.02,3.07,3.09,3.06,3.0,2.91,2.82,2.71,2.6,2.49,2.37,2.26,2.14,2.01,1.88,1.74,1.58,1.42,1.26,1.09,0.91,0.73,0.53,0.34,0.15,-0.03,-0.21,-0.38,-0.55,-0.7,-0.83,-0.94,-1.04,-1.14,-1.23,-1.31,-1.38,-1.44,-1.48,-1.51,-1.53,-1.54,-1.53,-1.5,-1.45,-1.39,-1.32,-1.25,-1.17,-1.09,-1.01,-0.94,-0.87,-0.8,-0.73,-0.65,-0.56,-0.45,-0.32,-0.18,-0.05,0.07,0.17,0.26,0.33,0.36,0.36,0.33,0.27,0.19,0.09,-0.02,-0.13,-0.26,-0.38,-0.49,-0.59,-0.69,-0.77,-0.83,-0.88,-0.93,-0.98,-1.03,-1.08,-1.12,-1.16,-1.18,-1.19,-1.18,-1.17,-1.14,-1.12,-1.09,-1.06,-1.03,-0.99,-0.94,-0.89,-0.83,-0.77,-0.7,-0.62,-0.53,-0.45,-0.38,-0.31,-0.23,-0.17,-0.11,-0.08,-0.05,-0.04,-0.04,-0.04,-0.04,-0.05,-0.06,-0.05,-0.03,0.02,0.09,0.19,0.29,0.38,0.44,0.46,0.44,0.39,0.32,0.22,0.13,0.04,-0.03,-0.08,-0.11,-0.13,-0.13,-0.13,-0.12,-0.12,-0.13,-0.15,-0.21,-0.28,-0.37,-0.46,-0.54,-0.61,-0.67,-0.71,-0.74,-0.75,-0.74,-0.73,-0.73,-0.75,-0.79,-0.85,-0.92,-0.99,-1.05,-1.09,-1.12,-1.14,-1.15,-1.18,-1.22,-1.28,-1.35,-1.42,-1.48,-1.53,-1.56,-1.55,-1.51,-1.43,-1.31,-1.14,-0.95,-0.75,-0.55,-0.36,-0.19,-0.05,0.06,0.14,0.19,0.23,0.25,0.27,0.27,0.26,0.24,0.22,0.19,0.16,0.14,0.12,0.11,0.1,0.12,0.15,0.19,0.24,0.29,0.34,0.38,0.4,0.42,0.43,0.46,0.5,0.56,0.63,0.73,0.84,0.95,1.06,1.15,1.23,1.29,1.34,1.37,1.4,1.42,1.43,1.42,1.41,1.39,1.37,1.34,1.3,1.24,1.17,1.09,1.0,0.91,0.83,0.77,0.73,0.73,0.77,0.84,0.94,1.05,1.16,1.26,1.35,1.42,1.48,1.52,1.54,1.55,1.53,1.49,1.42,1.34,1.23,1.11,0.97,0.84,0.7,0.57,0.44,0.31,0.2,0.1,0.01,-0.06,-0.13,-0.21,-0.29,-0.38,-0.48,-0.61,-0.75,-0.9,-1.06,-1.21,-1.36,-1.49,-1.6,-1.68,-1.74,-1.78,-1.83,-1.88,-1.94,-2.0,-2.05,-2.08,-2.09,-2.08,-2.05,-2.01,-1.97,-1.94,-1.91,-1.89,-1.88,-1.87,-1.84,-1.8,-1.74,-1.68,-1.62,-1.58,-1.54,-1.5,-1.46,-1.43,-1.39,-1.35,-1.3,-1.25,-1.18,-1.1,-1.03,-0.95,-0.87,-0.79,-0.72,-0.66,-0.62,-0.59,-0.57,-0.55,-0.55,-0.56,-0.59,-0.64,-0.69,-0.75,-0.83,-0.91,-0.99,-1.07,-1.15,-1.22,-1.27,-1.31,-1.35,-1.37,-1.41,-1.45,-1.5,-1.55,-1.59,-1.63,-1.65,-1.67,-1.68,-1.68,-1.67,-1.65,-1.63,-1.62,-1.61,-1.61,-1.61,-1.63,-1.64,-1.65,-1.63,-1.58,-1.48,-1.33,-1.16,-0.97,-0.78,-0.6,-0.41,-0.24,-0.07,0.09,0.24,0.38,0.51,0.64,0.76,0.87,0.96,1.02,1.07,1.08,1.07,1.03,0.97,0.89,0.81,0.74,0.66,0.58,0.49,0.4,0.31,0.23,0.18,0.14,0.12,0.12,0.15,0.21,0.29,0.38,0.47,0.56,0.62,0.67,0.71,0.73,0.75,0.75,0.74,0.72,0.69,0.68,0.67,0.68,0.71,0.75,0.78,0.82,0.86,0.91,0.97,1.03,1.11,1.2,1.32,1.44,1.55,1.64,1.69,1.72,1.74,1.76,1.78,1.82,1.86,1.91,1.96,2.01,2.06,2.1,2.12,2.12,2.09,2.03,1.94,1.84,1.72,1.58,1.43,1.27,1.12,0.99,0.87,0.77,0.69,0.64,0.6,0.59,0.6,0.61,0.62,0.63,0.63,0.62,0.59,0.53,0.44,0.31,0.16,-0.01,-0.17,-0.32,-0.46,-0.57,-0.65,-0.71,-0.73,-0.73,-0.71,-0.66,-0.6,-0.53,-0.44,-0.34,-0.2,-0.03,0.14,0.31,0.44,0.55,0.62,0.67,0.7,0.7,0.68,0.65,0.62,0.58,0.54,0.48,0.41,0.33,0.25,0.17,0.11,0.05,0.0,-0.04,-0.08,-0.12,-0.15,-0.19,-0.22,-0.25,-0.27,-0.3,-0.3,-0.3,-0.28,-0.25,-0.21,-0.15,-0.08,0.01,0.11,0.21,0.32,0.44,0.58,0.73,0.9,1.07,1.26,1.44,1.62,1.78,1.93,2.04,2.1,2.12,2.09,2.03,1.94,1.83,1.72,1.61,1.5,1.41,1.33,1.27,1.23,1.19,1.17,1.16,1.16,1.17,1.2,1.24,1.28,1.31,1.34,1.36,1.37,1.4,1.44,1.49,1.54,1.59,1.64,1.67,1.68,1.67,1.64,1.59,1.51,1.42,1.3,1.17,1.02,0.87,0.72,0.58,0.47,0.37,0.3,0.24,0.2,0.19,0.19,0.2,0.21,0.21,0.21,0.21,0.2,0.18,0.17,0.14,0.11,0.08,0.04,0.01,-0.03,-0.07,-0.12,-0.17,-0.22,-0.27,-0.31,-0.35,-0.38,-0.4,-0.4,-0.38,-0.36,-0.32</t>
  </si>
  <si>
    <t>To_Avoid_Formula,-0.28,-0.25,-0.22,-0.2,-0.18,-0.18,-0.18,-0.2,-0.22,-0.24,-0.24,-0.24,-0.23,-0.24,-0.25,-0.27,-0.29,-0.29,-0.28,-0.25,-0.2,-0.13,-0.06,0.02,0.1,0.17,0.21,0.23,0.23,0.19,0.12,0.04,-0.06,-0.16,-0.27,-0.37,-0.48,-0.59,-0.7,-0.82,-0.93,-1.02,-1.08,-1.1,-1.09,-1.06,-1.0,-0.92,-0.84,-0.74,-0.65,-0.55,-0.45,-0.35,-0.24,-0.13,-0.03,0.05,0.1,0.11,0.09,0.03,-0.04,-0.13,-0.22,-0.31,-0.4,-0.48,-0.55,-0.62,-0.67,-0.71,-0.74,-0.76,-0.77,-0.76,-0.73,-0.69,-0.64,-0.58,-0.51,-0.44,-0.36,-0.28,-0.2,-0.13,-0.07,-0.02,0.02,0.05,0.07,0.08,0.09,0.09,0.08,0.06,0.05,0.03,0.02,0.02,0.03,0.05,0.1,0.15,0.2,0.26,0.31,0.37,0.42,0.47,0.51,0.55,0.59,0.64,0.7,0.78,0.86,0.95,1.02,1.07,1.08,1.05,0.98,0.88,0.74,0.58,0.41,0.24,0.06,-0.1,-0.24,-0.38,-0.52,-0.66,-0.79,-0.91,-1.03,-1.13,-1.2,-1.25,-1.27,-1.27,-1.25,-1.22,-1.2,-1.18,-1.17,-1.18,-1.21,-1.25,-1.3,-1.36,-1.42,-1.48,-1.54,-1.61,-1.68,-1.76,-1.84,-1.92,-1.99,-2.05,-2.08,-2.1,-2.09,-2.05,-1.97,-1.88,-1.78,-1.67,-1.57,-1.49,-1.44,-1.42,-1.42,-1.44,-1.47,-1.5,-1.52,-1.53,-1.52,-1.5,-1.46,-1.4,-1.33,-1.25,-1.17,-1.08,-1.0,-0.91,-0.82,-0.73,-0.65,-0.58,-0.52,-0.49,-0.49,-0.52,-0.58,-0.67,-0.78,-0.9,-1.02,-1.15,-1.26,-1.35,-1.43,-1.5,-1.55,-1.58,-1.6,-1.6,-1.59,-1.56,-1.52,-1.45,-1.35,-1.23,-1.08,-0.92,-0.75,-0.59,-0.44,-0.33,-0.26,-0.24,-0.26,-0.32,-0.4,-0.51,-0.62,-0.72,-0.79,-0.84,-0.87,-0.87,-0.85,-0.82,-0.77,-0.71,-0.63,-0.53,-0.41,-0.3,-0.21,-0.15,-0.12,-0.1,-0.09,-0.09,-0.1,-0.12,-0.15,-0.18,-0.21,-0.23,-0.23,-0.2,-0.14,-0.03,0.11,0.29,0.52,0.77,1.05,1.35,1.64,1.9,2.14,2.35,2.52,2.66,2.77,2.85,2.9,2.92,2.92,2.89,2.83,2.76,2.67,2.56,2.43,2.3,2.16,2.02,1.88,1.74,1.59,1.44,1.28,1.11,0.92,0.72,0.49,0.25,-0.01,-0.28,-0.55,-0.81,-1.03,-1.21,-1.34,-1.4,-1.41,-1.38,-1.32,-1.25,-1.17,-1.1,-1.04,-1.01,-0.99,-0.98,-0.98,-0.96,-0.92,-0.86,-0.78,-0.69,</t>
  </si>
  <si>
    <t>To_Avoid_Formula0.13,0.15,0.28,0.45,0.56,0.63,0.67,0.53,0.31,0.15,0.14,0.2,0.21,0.26,0.38,0.48,0.55,0.64,0.73,0.61,0.39,0.2,0.09,0.03,-0.04,0.01,0.19,0.47,0.73,0.96,1.11,1.12,1.12,1.2,1.25,1.12,0.95,0.92,0.94,0.84,0.61,0.46,0.42,0.36,0.18,0.03,-0.03,-0.08,-0.12,-0.12,-0.11,-0.19,-0.34,-0.46,-0.54,-0.65,-0.81,-0.99,-1.18,-1.41,-1.58,-1.66,-1.69,-1.76,-1.83,-1.8,-1.78,-1.79,-1.72,-1.52,-1.31,-1.15,-0.96,-0.7,-0.4,-0.04,0.43,0.9,1.31,1.66,2.02,2.42,2.7,2.86,2.89,2.88,2.87,2.83,2.76,2.62,2.38,2.15,2.06,2.01,1.85,1.6,1.47,1.54,1.61,1.6,1.68,1.78,1.8,1.72,1.69,1.76,1.79,1.8,1.81,1.82,1.79,1.74,1.73,1.72,1.62,1.47,1.36,1.29,1.11,0.85,0.62,0.47,0.28,0.08,-0.05,-0.06,-0.02,0.01,0.03,-0.03,-0.2,-0.43,-0.62,-0.69,-0.75,-0.8,-0.8,-0.76,-0.82,-0.98,-1.15,-1.32,-1.64,-2.05,-2.39,-2.56,-2.61,-2.6,-2.58,-2.67,-2.83,-2.83,-2.66,-2.47,-2.4,-2.34,-2.17,-1.93,-1.72,-1.45,-1.18,-1.09,-1.23,-1.32,-1.27,-1.23,-1.32,-1.42,-1.37,-1.24,-1.06,-0.76,-0.37,-0.06,0.07,0.05,-0.07,-0.32,-0.65,-1.0,-1.2,-1.35,-1.39,-1.28,-1.08,-0.94,-0.98,-1.07,-1.12,-1.12,-1.12,-1.11,-1.07,-1.09,-1.15,-1.15,-1.03,-0.92,-0.87,-0.82,-0.72,-0.62,-0.67,-0.76,-0.85,-0.87,-0.85,-0.91,-1.05,-1.31,-1.71,-2.04,-2.27,-2.46,-2.57,-2.65,-2.72,-2.79,-2.88,-2.89,-2.81,-2.56,-2.25,-1.93,-1.52,-1.29,-1.13,-0.93,-0.62,-0.22,0.3,1.0,1.86,2.72,3.58,4.59,5.59,6.47,7.2,7.74,7.94,7.86,7.86,7.97,8.05,7.96,7.7,7.45,7.14,6.71,6.17,5.65,5.1,4.47,3.8,3.23,2.75,2.25,1.71,1.25,0.83,0.32,-0.19,-0.6,-0.97,-1.42,-1.92,-2.33,-2.62,-2.85,-3.0,-3.07,-3.16,-3.31,-3.41,-3.39,-3.31,-3.27,-3.25,-3.16,-3.01,-2.81,-2.45,-2.0,-1.63,-1.4,-1.17,-0.9,-0.67,-0.54,-0.39,-0.16,0.08,0.35,0.64,0.85,0.75,0.42,-0.04,-0.41,-0.69,-1.04,-1.32,-1.5,-1.6,-1.6,-1.47,-1.23,-1.08,-0.91,-0.59,-0.19,0.17,0.44,0.67,0.84,0.87,0.78,0.71,0.61,0.44,0.22,0.07,-0.07,-0.22,-0.29,-0.22,-0.18,-0.32,-0.53,-0.64,-0.61,-0.56,-0.55,-0.53,-0.49,-0.4,-0.26,0.02,0.39,0.72,0.95,1.17,1.32,1.2,0.85,0.51,0.31,0.22,0.26,0.41,0.56,0.61,0.65,0.7,0.71,0.58,0.43,0.4,0.52,0.55,0.39,0.19,0.11,0.15,0.36,0.69,0.94,1.0,1.02,1.16,1.26,0.96,0.36,-0.33,-0.77,-0.83,-0.74,-0.65,-0.71,-0.82,-0.86,-0.8,-0.76,-0.83,-0.91,-0.89,-0.82,-0.84,-0.9,-0.94,-0.96,-1.02,-1.01,-0.93,-0.92,-1.13,-1.39,-1.5,-1.48,-1.37,-1.22,-1.1,-1.14,-1.27,-1.34,-1.37,-1.46,-1.66,-1.83,-1.84,-1.77,-1.61,-1.31,-0.98,-0.77,-0.7,-0.51,-0.05,0.4,0.53,0.48,0.46,0.61,0.89,1.17,1.25,1.13,0.9,0.77,0.74,0.64,0.43,0.3,0.31,0.4,0.51,0.65,0.82,0.88,0.89,0.97,1.08,1.04,0.85,0.6,0.42,0.34,0.35,0.4,0.38,0.25,0.08,-0.01,-0.1,-0.31,-0.6,-0.74,-0.74,-0.71,-0.67,-0.54,-0.42,-0.38,-0.33,-0.23,-0.28,-0.58,-0.97,-1.21,-1.32,-1.38,-1.38,-1.31,-1.21,-1.11,-0.93,-0.68,-0.54,-0.51,-0.41,-0.11,0.27,0.55,0.78,1.1,1.46,1.84,2.17,2.45,2.49,2.3,1.92,1.58,1.46,1.43,1.44,1.45,1.5,1.48,1.4,1.2,0.92,0.58,0.31,0.19,0.1,-0.03,-0.07,0.03,0.12,0.12,0.2,0.47,0.75,0.83,0.81,0.83,0.9,1.01,1.11,1.09,0.93,0.62,0.29,-0.04,-0.4,-0.73,-0.89,-0.97,-1.04,-1.1,-0.97,-0.68,-0.44,-0.36,-0.37,-0.35,-0.39,-0.52,-0.7,-0.89,-1.08,-1.2,-1.15,-1.02,-0.92,-0.83,-0.66,-0.5,-0.43,-0.43,-0.35,-0.12,0.08,0.25,0.42,0.57,0.64,0.74,0.88,0.91,0.65,0.16,-0.18,-0.4,-0.56,-0.67,-0.82,-0.9,-0.96,-0.86,-0.66,-0.48,-0.37,-0.25,0.04,0.39,0.68,0.9,1.08,1.22,1.31,1.5,1.67,1.65,1.29,0.94,0.83,0.79,0.79,0.81,0.91,0.95,0.84,0.64,0.4,0.09,-0.22,-0.48,-0.72,-0.95,-1.09,-1.09,-1.07,-1.14,-1.23,-1.19,-1.06,-0.99,-1.03,-0.98,-0.74,-0.42,-0.19,-0.02,0.11,0.28,0.51,0.77,0.86,0.82,0.69,0.56,0.46,0.33,0.23,0.19,0.19,0.11,-0.05,-0.18,-0.25,-0.39,-0.62,-0.78,-0.86,-0.92,-0.93,-0.88,-0.84,-0.93,-1.02,-0.98,-0.89,-0.95,-1.11,-1.22,-1.22,-1.16,-1.05,-0.84,-0.61,-0.46,-0.37,-0.23,-0.06,0.03,0.03,0.05,0.12,0.17,0.21,0.28,0.33,0.3,0.24,0.19,0.13,0.02,-0.09,-0.09,-0.04,-0.03,-0.06,0.0,0.17,0.26,0.32,0.42,0.54,0.57,0.6,0.6,0.43,0.01,-0.49,-0.89,-1.28,-1.65,-2.07,-2.51,-2.84,-3.15,-3.42,-3.57,-3.55,-3.43,-3.08,-2.61,-2.24,-1.88,-1.58,-1.0,-0.39,0.07,0.54,0.98,1.5,1.97,2.42,2.85,3.18,3.45,3.76,4.1,4.29,4.39,4.39,4.35,4.31,4.2,4.16,4.04</t>
  </si>
  <si>
    <t>To_Avoid_Formula,3.91,3.82,3.8,3.8,3.77,3.66,3.5,3.39,3.27,3.28,3.34,3.35,3.24,3.09,3.03,2.9,2.48,1.86,1.26,0.77,0.46,0.2,0.07,0.07,0.06,-0.04,-0.15,-0.23,-0.29,-0.45,-0.66,-0.83,-0.94,-0.98,-0.99,-1.03,-1.18,-1.34,-1.43,-1.52,-1.77,-2.12,-2.34,-2.41,-2.44,-2.55,-2.71,-2.88,-3.12,-3.38,-3.58,-3.75,-3.95,-4.19,-4.33,-4.27,-4.06,-3.78,-3.41,-3.05,-2.77,-2.45,-2.08,-1.8,-1.71,-1.66,-1.42,-1.12,-0.87,-0.63,-0.36,-0.12,0.01,0.13,0.23,0.19,-0.07,-0.35,-0.57,-0.61,-0.49,-0.33,-0.16,-0.02,0.11,0.24,0.38,0.41,0.35,0.29,0.31,0.34,0.39,0.53,0.64,0.5,0.25,0.09,-0.01,-0.18,-0.51,-0.8,-0.99,-1.0,-0.87,-0.64,-0.38,-0.13,0.07,0.28,0.51,0.58,0.48,0.34,0.27,0.22,0.18,0.21,0.33,0.46,0.58,0.74,0.89,0.86,0.66,0.52,0.44,0.31,0.1,-0.05,-0.1,-0.16,-0.21,-0.17,-0.1,-0.1,-0.12,-0.01,0.22,0.44,0.53,0.44,0.31,0.26,0.32,0.42,0.51,0.56,0.63,0.75,0.83,0.83,0.78,0.78,0.77,0.66,0.5,0.41,0.35,0.17,-0.11,-0.38,-0.51,-0.63,-0.78,-0.87,-0.93,-1.03,-1.13,-1.16,-1.16,-1.15,-1.08,-0.88,-0.75,-0.72,-0.65,-0.44,-0.19,-0.08,-0.03,0.03,0.07,0.05,0.05,0.07,0.12,0.13,0.12,0.11,0.1,0.06,0.02,0.0,0.01,0.06,0.15,0.26,0.3,0.23,0.11,0.06,-0.05,-0.26,-0.49,-0.66,-0.79,-0.95,-1.1,-1.23,-1.34,-1.5,-1.59,-1.69,-1.86,-2.12,-2.4,-2.55,-2.69,-2.85,-3.03,-3.16,-3.21,-3.01,-2.51,-1.85,-1.22,-0.62,0.05,0.58,1.07,1.58,2.14,2.6,2.91,3.23,3.65,3.98,4.06,4.04,4.13,4.27,4.38,4.41,4.24,4.06,3.92,3.88,3.79,3.59,3.34,3.18,3.08,2.97,2.84,2.66,2.54,2.34,2.01,1.72,1.57,1.47,1.22,0.81,0.48,0.22,-0.15,-0.59,-1.0,-1.27,-1.45,-1.51,-1.47,-1.44,-1.41,-1.28,-1.04,-0.86,-0.8,-0.73,-0.55,-0.37,-0.34,-0.33,-0.26,-0.16,-0.09,-0.06,-0.04,-0.13,-0.34,-0.55,-0.58,-0.55,-0.53,-0.5,-0.4,-0.28,-0.16,-0.02,0.13,0.21,0.13,-0.02,-0.17,-0.25,-0.3,-0.25,-0.1,0.07,0.2,0.35,0.54,0.63,0.51,0.23,0.0,-0.14,-0.18,-0.16,-0.14,-0.14,</t>
  </si>
  <si>
    <t>To_Avoid_Formula-0.87,-0.94,-0.93,-0.89,-0.88,-0.83,-0.75,-0.77,-0.87,-0.95,-0.95,-0.93,-0.96,-0.93,-0.81,-0.68,-0.57,-0.44,-0.31,-0.31,-0.39,-0.46,-0.5,-0.56,-0.64,-0.63,-0.53,-0.4,-0.26,-0.11,0.02,0.02,-0.02,0.01,0.05,-0.02,-0.15,-0.19,-0.18,-0.23,-0.35,-0.42,-0.45,-0.52,-0.69,-0.83,-0.91,-1.05,-1.22,-1.35,-1.47,-1.65,-1.87,-2.05,-2.19,-2.37,-2.55,-2.68,-2.78,-2.93,-3.09,-3.16,-3.16,-3.18,-3.21,-3.15,-3.1,-3.05,-2.91,-2.67,-2.45,-2.28,-2.05,-1.71,-1.37,-1.05,-0.67,-0.28,0.06,0.32,0.56,0.81,1.01,1.18,1.28,1.34,1.36,1.36,1.4,1.44,1.42,1.38,1.4,1.45,1.43,1.29,1.23,1.32,1.42,1.47,1.55,1.66,1.74,1.76,1.82,1.95,2.02,2.06,2.1,2.15,2.16,2.15,2.2,2.27,2.27,2.22,2.2,2.24,2.21,2.08,1.96,1.91,1.87,1.83,1.87,1.98,2.08,2.16,2.26,2.33,2.27,2.09,1.89,1.79,1.73,1.68,1.67,1.72,1.73,1.66,1.58,1.5,1.34,1.12,0.95,0.86,0.82,0.82,0.86,0.86,0.8,0.77,0.83,0.88,0.83,0.72,0.69,0.71,0.74,0.78,0.83,0.79,0.61,0.45,0.4,0.38,0.3,0.22,0.25,0.32,0.38,0.5,0.7,0.84,0.81,0.71,0.58,0.41,0.18,-0.06,-0.22,-0.38,-0.49,-0.5,-0.42,-0.45,-0.67,-0.99,-1.22,-1.38,-1.58,-1.77,-1.87,-1.93,-2.0,-2.06,-2.07,-2.1,-2.19,-2.3,-2.36,-2.39,-2.5,-2.61,-2.69,-2.74,-2.74,-2.74,-2.77,-2.98,-3.41,-3.92,-4.44,-5.05,-5.63,-6.15,-6.57,-6.94,-7.31,-7.53,-7.61,-7.49,-7.29,-7.0,-6.57,-6.26,-5.92,-5.47,-4.95,-4.42,-3.8,-3.12,-2.31,-1.54,-0.86,-0.1,0.63,1.31,1.89,2.42,2.77,2.97,3.3,3.73,4.11,4.34,4.46,4.63,4.75,4.69,4.49,4.28,4.05,3.76,3.43,3.13,2.88,2.63,2.36,2.17,1.97,1.65,1.33,1.13,0.92,0.57,0.13,-0.29,-0.66,-1.02,-1.32,-1.54,-1.69,-1.87,-2.05,-2.14,-2.16,-2.21,-2.29,-2.31,-2.22,-2.08,-1.83,-1.49,-1.21,-1.02,-0.81,-0.53,-0.28,-0.11,0.06,0.31,0.56,0.83,1.15,1.44,1.51,1.41,1.19,0.98,0.77,0.5,0.27,0.13,0.04,-0.02,0.02,0.14,0.19,0.21,0.32,0.51,0.67,0.74,0.81,0.87,0.86,0.81,0.8,0.77,0.65,0.51,0.46,0.43,0.35,0.27,0.27,0.29,0.2,0.02,-0.08,-0.03,0.04,0.07,0.08,0.09,0.14,0.22,0.38,0.63,0.87,1.06,1.25,1.38,1.29,0.99,0.67,0.47,0.35,0.38,0.59,0.85,1.03,1.17,1.31,1.46,1.56,1.63,1.77,1.97,2.08,2.06,2.02,2.04,2.08,2.2,2.44,2.66,2.73,2.74,2.82,2.92,2.75,2.34,1.83,1.46,1.41,1.51,1.66,1.65,1.55,1.46,1.48,1.48,1.35,1.18,1.09,1.11,1.09,1.03,0.97,0.92,0.84,0.79,0.79,0.74,0.48,0.17,-0.02,-0.13,-0.17,-0.18,-0.18,-0.26,-0.41,-0.56,-0.7,-0.9,-1.18,-1.44,-1.6,-1.73,-1.78,-1.72,-1.57,-1.48,-1.51,-1.49,-1.27,-1.06,-1.07,-1.16,-1.2,-1.16,-1.02,-0.81,-0.66,-0.65,-0.72,-0.72,-0.65,-0.64,-0.73,-0.79,-0.77,-0.7,-0.59,-0.44,-0.29,-0.25,-0.26,-0.2,-0.11,-0.15,-0.3,-0.45,-0.52,-0.55,-0.54,-0.51,-0.49,-0.55,-0.67,-0.79,-0.95,-1.2,-1.48,-1.65,-1.74,-1.83,-1.88,-1.84,-1.79,-1.83,-1.88,-1.9,-1.99,-2.26,-2.62,-2.89,-3.07,-3.19,-3.24,-3.22,-3.17,-3.13,-3.03,-2.84,-2.73,-2.75,-2.73,-2.56,-2.28,-2.03,-1.77,-1.43,-1.08,-0.74,-0.42,-0.1,0.02,-0.07,-0.4,-0.72,-0.91,-1.04,-1.07,-1.03,-0.89,-0.75,-0.64,-0.62,-0.63,-0.66,-0.65,-0.54,-0.42,-0.37,-0.25,-0.01,0.18,0.23,0.28,0.47,0.66,0.69,0.62,0.6,0.61,0.69,0.82,0.92,0.95,0.9,0.85,0.8,0.67,0.52,0.45,0.43,0.38,0.3,0.31,0.41,0.47,0.42,0.31,0.22,0.07,-0.18,-0.46,-0.73,-1.01,-1.25,-1.33,-1.27,-1.22,-1.17,-1.03,-0.86,-0.74,-0.67,-0.54,-0.29,-0.04,0.18,0.41,0.64,0.81,1.0,1.23,1.35,1.21,0.83,0.52,0.27,0.09,-0.01,-0.16,-0.28,-0.39,-0.34,-0.16,0.0,0.03,0.06,0.26,0.59,0.91,1.18,1.45,1.73,1.99,2.27,2.52,2.58,2.35,2.1,2.03,2.01,2.01,2.01,2.13,2.24,2.24,2.17,2.01,1.77,1.55,1.42,1.3,1.18,1.1,1.09,1.09,0.99,0.88,0.85,0.89,0.87,0.76,0.71,0.82,0.95,1.02,1.1,1.2,1.31,1.42,1.54,1.59,1.55,1.4,1.2,1.04,0.9,0.84,0.83,0.84,0.77,0.63,0.53,0.48,0.35,0.15,0.0,-0.05,-0.07,-0.03,0.1,0.25,0.28,0.29,0.39,0.49,0.4,0.21,0.04,-0.03,-0.04,-0.02,0.05,0.14,0.19,0.22,0.31,0.36,0.33,0.24,0.22,0.25,0.21,0.14,0.08,0.03,-0.07,-0.2,-0.31,-0.43,-0.59,-0.71,-0.73,-0.7,-0.7,-0.74,-0.71,-0.59,-0.53,-0.49,-0.42,-0.3,-0.27,-0.24,-0.24,-0.35,-0.63,-0.97,-1.27,-1.64,-2.02,-2.45,-2.94,-3.4,-3.89,-4.37,-4.77,-5.08,-5.35,-5.45,-5.38,-5.33,-5.31,-5.35,-5.11,-4.72,-4.35,-3.93,-3.49,-2.94,-2.4,-1.83,-1.22,-0.63,-0.09,0.47,1.04,1.53,1.97,2.35,2.63,2.82,2.93,3.12,3.28,3.4,3.49,3.63,3.</t>
  </si>
  <si>
    <t>To_Avoid_Formula83,4.04,4.18,4.24,4.36,4.48,4.71,4.96,5.16,5.28,5.35,5.5,5.61,5.45,5.09,4.74,4.51,4.41,4.32,4.3,4.38,4.48,4.49,4.46,4.4,4.32,4.1,3.85,3.64,3.47,3.36,3.26,3.15,2.98,2.8,2.7,2.59,2.38,2.06,1.85,1.73,1.63,1.48,1.32,1.15,0.92,0.67,0.45,0.26,0.03,-0.26,-0.47,-0.52,-0.44,-0.32,-0.14,0.05,0.18,0.31,0.45,0.56,0.5,0.34,0.3,0.37,0.44,0.51,0.62,0.74,0.79,0.88,0.99,1.0,0.79,0.57,0.39,0.33,0.34,0.37,0.43,0.5,0.55,0.59,0.61,0.52,0.33,0.13,0.06,0.03,0.01,0.03,0.09,0.05,-0.06,-0.14,-0.22,-0.38,-0.68,-0.96,-1.2,-1.36,-1.43,-1.4,-1.34,-1.3,-1.3,-1.26,-1.19,-1.22,-1.38,-1.56,-1.67,-1.77,-1.86,-1.88,-1.81,-1.71,-1.62,-1.46,-1.29,-1.23,-1.29,-1.33,-1.34,-1.4,-1.5,-1.54,-1.53,-1.56,-1.63,-1.64,-1.59,-1.62,-1.69,-1.68,-1.57,-1.48,-1.5,-1.62,-1.74,-1.82,-1.83,-1.81,-1.77,-1.76,-1.74,-1.68,-1.63,-1.66,-1.76,-1.81,-1.81,-1.85,-1.94,-1.99,-2.02,-2.14,-2.33,-2.52,-2.63,-2.76,-2.89,-2.98,-3.05,-3.15,-3.26,-3.3,-3.31,-3.34,-3.34,-3.19,-3.07,-3.02,-2.97,-2.84,-2.71,-2.68,-2.7,-2.7,-2.69,-2.72,-2.72,-2.7,-2.67,-2.67,-2.67,-2.66,-2.67,-2.75,-2.84,-2.89,-2.9,-2.91,-2.91,-2.88,-2.86,-2.9,-2.96,-3.0,-3.08,-3.24,-3.42,-3.56,-3.71,-3.89,-4.07,-4.23,-4.39,-4.57,-4.7,-4.85,-5.06,-5.34,-5.69,-6.03,-6.41,-6.79,-7.15,-7.46,-7.77,-7.91,-7.75,-7.32,-6.86,-6.43,-5.88,-5.35,-4.77,-4.13,-3.41,-2.74,-2.2,-1.67,-1.09,-0.65,-0.52,-0.51,-0.37,-0.19,-0.04,0.1,0.17,0.31,0.43,0.6,0.76,0.88,0.95,1.07,1.25,1.42,1.54,1.57,1.63,1.69,1.69,1.69,1.79,1.9,1.9,1.8,1.76,1.75,1.64,1.44,1.26,1.16,1.1,1.11,1.18,1.24,1.29,1.39,1.55,1.68,1.72,1.79,1.95,2.08,2.11,2.14,2.24,2.31,2.3,2.25,2.26,2.22,2.11,1.99,1.98,2.0,2.01,2.02,2.1,2.22,2.33,2.46,2.61,2.76,2.83,2.88,2.95,3.06,3.16,3.31,3.51,3.67,3.75,3.82,3.92,3.97,3.9,3.74,3.63,3.59,3.63,3.72,3.82,3.91,</t>
  </si>
  <si>
    <t>To_Avoid_Formula-1.36,-1.38,-1.33,-1.29,-1.23,-1.08,-0.84,-0.64,-0.52,-0.4,-0.28,-0.21,-0.18,-0.08,0.13,0.36,0.56,0.76,0.96,1.08,1.15,1.23,1.27,1.22,1.17,1.17,1.19,1.18,1.17,1.23,1.29,1.22,1.09,1.03,1.01,0.93,0.79,0.71,0.68,0.64,0.59,0.57,0.54,0.44,0.28,0.16,0.07,-0.13,-0.39,-0.62,-0.81,-1.02,-1.22,-1.37,-1.47,-1.59,-1.65,-1.58,-1.45,-1.37,-1.35,-1.25,-1.05,-0.85,-0.68,-0.44,-0.22,0.02,0.34,0.72,1.02,1.26,1.55,1.96,2.31,2.52,2.71,2.88,2.99,2.98,2.88,2.75,2.62,2.54,2.45,2.29,2.08,1.85,1.75,1.71,1.65,1.56,1.47,1.39,1.26,1.04,0.84,0.76,0.7,0.59,0.49,0.42,0.35,0.26,0.21,0.2,0.11,-0.02,-0.15,-0.26,-0.39,-0.54,-0.61,-0.65,-0.73,-0.84,-0.92,-0.91,-0.94,-1.05,-1.18,-1.22,-1.21,-1.16,-1.03,-0.87,-0.79,-0.74,-0.64,-0.53,-0.55,-0.75,-1.01,-1.15,-1.23,-1.28,-1.3,-1.24,-1.17,-1.13,-1.11,-1.06,-1.02,-0.98,-0.9,-0.81,-0.74,-0.66,-0.49,-0.28,-0.16,-0.1,-0.06,-0.02,-0.1,-0.27,-0.4,-0.47,-0.53,-0.61,-0.67,-0.74,-0.86,-0.97,-0.99,-0.93,-0.87,-0.8,-0.65,-0.51,-0.46,-0.4,-0.3,-0.25,-0.37,-0.48,-0.53,-0.53,-0.54,-0.56,-0.53,-0.55,-0.57,-0.53,-0.42,-0.46,-0.72,-1.07,-1.29,-1.41,-1.59,-1.74,-1.75,-1.62,-1.47,-1.35,-1.27,-1.21,-1.22,-1.27,-1.26,-1.21,-1.17,-1.06,-0.93,-0.78,-0.6,-0.32,-0.05,0.0,-0.24,-0.67,-1.19,-1.89,-2.57,-3.11,-3.44,-3.64,-3.81,-3.74,-3.48,-3.03,-2.48,-1.82,-1.02,-0.32,0.46,1.38,2.26,3.04,3.78,4.42,5.07,5.56,5.83,6.02,6.1,6.13,6.06,6.02,5.95,5.84,5.89,6.02,6.05,5.92,5.74,5.66,5.54,5.2,4.69,4.19,3.72,3.24,2.76,2.29,1.86,1.48,1.15,0.92,0.67,0.3,-0.04,-0.2,-0.41,-0.77,-1.23,-1.69,-2.12,-2.57,-2.94,-3.19,-3.28,-3.35,-3.44,-3.48,-3.42,-3.38,-3.39,-3.32,-3.12,-2.88,-2.57,-2.22,-1.94,-1.73,-1.49,-1.17,-0.88,-0.69,-0.51,-0.29,-0.1,0.1,0.35,0.6,0.69,0.69,0.61,0.48,0.28,0.03,-0.15,-0.24,-0.31,-0.38,-0.4,-0.36,-0.4,-0.51,-0.58,-0.61,-0.66,-0.8,-0.91,-1.0,-1.07,-1.11,-1.07,-1.05,-1.11,-1.17,-1.09,-0.98,-0.96,-1.01,-1.04,-0.99,-0.99,-1.06,-1.08,-0.95,-0.79,-0.68,-0.62,-0.57,-0.51,-0.44,-0.35,-0.22,-0.06,0.07,0.19,0.23,0.12,-0.17,-0.47,-0.65,-0.74,-0.68,-0.39,-0.03,0.28,0.5,0.68,0.91,1.18,1.41,1.64,1.83,1.91,1.93,1.96,1.99,1.93,1.85,1.88,1.95,1.88,1.73,1.63,1.58,1.39,1.06,0.67,0.37,0.31,0.44,0.63,0.66,0.55,0.43,0.4,0.37,0.18,-0.05,-0.2,-0.2,-0.18,-0.2,-0.23,-0.25,-0.29,-0.33,-0.35,-0.41,-0.63,-0.88,-1.03,-1.13,-1.19,-1.22,-1.19,-1.17,-1.21,-1.28,-1.38,-1.52,-1.67,-1.8,-1.89,-1.98,-2.02,-1.96,-1.77,-1.61,-1.57,-1.53,-1.38,-1.27,-1.3,-1.32,-1.26,-1.2,-1.1,-0.86,-0.58,-0.38,-0.24,-0.05,0.16,0.31,0.38,0.44,0.51,0.61,0.74,0.91,1.02,1.03,0.99,1.0,1.03,0.95,0.82,0.75,0.79,0.81,0.79,0.79,0.84,0.85,0.77,0.62,0.41,0.16,-0.07,-0.2,-0.3,-0.42,-0.48,-0.44,-0.38,-0.42,-0.51,-0.56,-0.62,-0.77,-0.99,-1.15,-1.23,-1.25,-1.19,-1.06,-0.92,-0.8,-0.64,-0.39,-0.23,-0.2,-0.19,-0.07,0.15,0.39,0.66,0.98,1.26,1.45,1.62,1.81,1.85,1.66,1.24,0.8,0.45,0.14,-0.01,-0.02,0.13,0.33,0.53,0.66,0.82,0.99,1.18,1.42,1.64,1.75,1.9,2.13,2.28,2.23,2.09,2.03,1.94,1.74,1.44,1.2,1.0,0.88,0.88,0.91,0.95,1.0,1.08,1.14,1.11,1.02,0.94,0.88,0.77,0.58,0.41,0.26,0.07,-0.18,-0.45,-0.71,-1.01,-1.39,-1.75,-2.06,-2.36,-2.62,-2.71,-2.63,-2.51,-2.4,-2.21,-1.97,-1.72,-1.54,-1.32,-1.01,-0.72,-0.46,-0.2,0.05,0.26,0.45,0.65,0.76,0.64,0.28,-0.04,-0.34,-0.52,-0.6,-0.71,-0.82,-0.93,-0.87,-0.66,-0.49,-0.5,-0.56,-0.43,-0.13,0.18,0.44,0.71,1.03,1.31,1.55,1.69,1.66,1.38,1.1,0.96,0.82,0.72,0.61,0.63,0.7,0.71,0.65,0.49,0.25,0.07,0.04,0.04,0.03,0.02,0.02,0.02,-0.08,-0.19,-0.24,-0.25,-0.31,-0.45,-0.53,-0.52,-0.53,-0.59,-0.56,-0.48,-0.43,-0.45,-0.46,-0.48,-0.54,-0.71,-0.97,-1.17,-1.28,-1.26,-1.18,-1.11,-1.12,-1.16,-1.15,-1.11,-1.14,-1.22,-1.23,-1.14,-1.0,-0.8,-0.48,-0.13,0.1,0.29,0.52,0.68,0.63,0.46,0.31,0.26,0.28,0.28,0.31,0.32,0.33,0.36,0.43,0.41,0.3,0.16,0.13,0.16,0.09,-0.06,-0.2,-0.31,-0.43,-0.55,-0.66,-0.77,-0.88,-0.92,-0.84,-0.74,-0.67,-0.62,-0.54,-0.38,-0.29,-0.23,-0.13,0.02,0.09,0.15,0.16,0.11,0.02,-0.09,-0.2,-0.42,-0.68,-0.94,-1.25,-1.59,-1.97,-2.33,-2.62,-2.89,-3.16,-3.3,-3.24,-3.13,-3.09,-3.13,-2.9,-2.45,-1.93,-1.36,-0.77,-0.1,0.55,1.21,1.93,2.6</t>
  </si>
  <si>
    <t>To_Avoid_Formula3,3.27,3.82,4.34,4.79,5.21,5.55,5.72,5.72,5.59,5.56,5.53,5.43,5.25,5.08,5.0,4.98,4.88,4.69,4.56,4.45,4.41,4.35,4.26,4.1,3.9,3.78,3.62,3.26,2.73,2.25,1.92,1.73,1.5,1.29,1.19,1.13,0.99,0.78,0.51,0.17,-0.29,-0.75,-1.13,-1.47,-1.75,-2.0,-2.22,-2.46,-2.66,-2.78,-2.87,-3.01,-3.21,-3.33,-3.37,-3.41,-3.46,-3.48,-3.47,-3.48,-3.52,-3.51,-3.47,-3.46,-3.5,-3.48,-3.31,-3.04,-2.79,-2.52,-2.23,-2.0,-1.85,-1.72,-1.59,-1.6,-1.77,-1.9,-1.85,-1.76,-1.69,-1.58,-1.44,-1.31,-1.13,-0.88,-0.72,-0.76,-0.79,-0.77,-0.7,-0.65,-0.59,-0.5,-0.39,-0.3,-0.24,-0.23,-0.33,-0.55,-0.75,-0.78,-0.73,-0.7,-0.66,-0.53,-0.36,-0.22,-0.1,-0.02,-0.06,-0.18,-0.28,-0.39,-0.51,-0.58,-0.57,-0.53,-0.53,-0.56,-0.54,-0.49,-0.49,-0.58,-0.66,-0.66,-0.66,-0.64,-0.56,-0.4,-0.21,-0.03,0.21,0.48,0.69,0.82,0.93,1.04,1.11,1.16,1.27,1.39,1.43,1.39,1.39,1.44,1.42,1.33,1.28,1.28,1.24,1.11,0.96,0.87,0.79,0.71,0.68,0.68,0.65,0.61,0.61,0.62,0.53,0.37,0.26,0.26,0.28,0.24,0.23,0.22,0.18,0.09,0.01,-0.05,-0.12,-0.18,-0.2,-0.21,-0.25,-0.28,-0.24,-0.19,-0.18,-0.16,0.0,0.15,0.26,0.32,0.4,0.43,0.35,0.26,0.21,0.18,0.13,0.11,0.12,0.13,0.11,0.1,0.1,0.08,-0.05,-0.21,-0.29,-0.31,-0.37,-0.48,-0.53,-0.53,-0.53,-0.54,-0.56,-0.62,-0.72,-0.8,-0.87,-0.97,-1.11,-1.23,-1.33,-1.41,-1.5,-1.54,-1.61,-1.7,-1.81,-2.04,-2.34,-2.71,-3.03,-3.26,-3.43,-3.64,-3.76,-3.59,-3.09,-2.54,-2.07,-1.48,-0.84,-0.12,0.63,1.43,2.17,2.75,3.25,3.69,3.89,3.73,3.41,3.25,3.1,2.91,2.79,2.74,2.81,2.81,2.82,2.83,2.87,2.87,2.88,2.93,2.99,2.96,2.79,2.65,2.58,2.53,2.47,2.44,2.41,2.31,2.18,2.12,2.06,1.92,1.71,1.52,1.38,1.26,1.16,1.07,0.98,0.88,0.79,0.7,0.59,0.46,0.35,0.3,0.22,0.07,-0.05,-0.1,-0.22,-0.47,-0.73,-0.88,-0.99,-1.11,-1.23,-1.3,-1.36,-1.44,-1.5,-1.49,-1.44,-1.4,-1.36,-1.28,-1.15,-1.03,-0.86,-0.64,-0.43,-0.28,-0.12,0.03,0.08,-0.02,-0.14,-0.24,-0.35,-0.48,-0.61,-0.66,-0.66,-0.6,-0.49,-0.37,-0.26,</t>
  </si>
  <si>
    <t>To_Avoid_Formula0.98,1.2,1.51,2.01,2.57,2.95,3.0,2.75,2.43,2.19,2.03,1.8,1.37,0.86,0.53,0.3,0.05,-0.22,-0.58,-1.01,-1.4,-1.68,-1.7,-1.56,-1.47,-1.46,-1.45,-1.29,-1.08,-0.91,-0.76,-0.6,-0.4,-0.15,0.15,0.44,0.75,1.04,1.21,1.29,1.17,0.98,0.75,0.55,0.38,0.27,0.24,0.25,0.33,0.52,0.81,1.03,1.1,1.16,1.32,1.6,1.74,1.61,1.34,1.11,0.98,0.78,0.4,-0.15,-0.72,-1.29,-1.81,-2.34,-2.89,-3.4,-3.84,-4.17,-4.39,-4.59,-4.7,-4.68,-4.56,-4.32,-4.0,-3.6,-3.06,-2.42,-1.77,-1.24,-0.85,-0.49,-0.05,0.43,0.85,1.05,0.96,0.77,0.66,0.58,0.35,-0.01,-0.36,-0.56,-0.62,-0.59,-0.51,-0.49,-0.54,-0.51,-0.33,0.01,0.37,0.66,0.92,1.24,1.57,1.81,1.94,2.05,2.15,2.14,2.14,2.16,2.18,2.19,2.17,2.08,1.86,1.56,1.24,0.99,0.86,0.78,0.64,0.46,0.29,0.22,0.31,0.48,0.61,0.68,0.79,0.97,1.08,1.16,1.14,0.96,0.58,0.13,-0.22,-0.46,-0.68,-0.99,-1.41,-1.96,-2.51,-2.9,-3.07,-3.09,-3.05,-2.9,-2.61,-2.13,-1.54,-0.85,-0.26,0.05,0.16,0.4,0.88,1.28,1.34,1.17,1.05,1.0,1.01,1.04,1.12,1.23,1.24,1.1,0.94,0.77,0.46,0.07,-0.18,-0.19,-0.07,0.08,0.17,0.21,0.19,0.16,0.06,-0.09,-0.03,0.21,0.52,0.73,0.9,1.09,1.34,1.52,1.63,1.74,1.78,1.72,1.45,1.14,0.83,0.48,0.11,-0.35,-0.73,-0.96,-1.16,-1.24,-1.15,-0.82,-0.43,-0.11,0.07,0.29,0.59,0.78,0.83,0.85,1.0,1.15,1.14,0.89,0.18,-0.9,-2.16,-3.38,-4.44,-5.07,-5.44,-5.61,-5.36,-4.74,-3.9,-3.0,-1.95,-0.96,-0.12,0.7,1.62,2.51,3.33,4.02,4.36,4.45,4.35,4.07,3.57,2.92,2.21,1.39,0.67,0.3,0.21,0.09,-0.15,-0.51,-0.81,-0.99,-1.12,-1.32,-1.55,-1.77,-1.96,-2.03,-1.91,-1.65,-1.43,-1.31,-1.26,-1.19,-1.04,-0.87,-0.73,-0.55,-0.27,-0.05,0.04,0.09,0.15,0.18,0.1,-0.07,-0.23,-0.26,-0.23,-0.27,-0.35,-0.35,-0.3,-0.24,-0.2,-0.17,-0.32,-0.71,-1.24,-1.67,-1.89,-2.11,-2.32,-2.51,-2.64,-2.71,-2.73,-2.75,-2.76,-2.67,-2.35,-1.78,-1.04,-0.17,0.56,1.09,1.53,1.85,2.11,2.3,2.4,2.36,2.2,1.97,1.72,1.47,1.26,0.94,0.44,-0.04,-0.41,-0.68,-0.82,-0.91,-0.93,-0.9,-0.8,-0.56,-0.14,0.27,0.51,0.56,0.73,1.04,1.28,1.41,1.57,1.8,2.04,2.2,2.22,2.13,1.92,1.62,1.3,0.93,0.41,-0.18,-0.66,-0.88,-1.03,-1.35,-1.78,-2.13,-2.25,-2.06,-1.75,-1.5,-1.32,-1.13,-0.75,-0.25,0.02,0.01,-0.22,-0.32,-0.16,0.03,0.05,-0.14,-0.43,-0.7,-0.85,-0.97,-1.1,-1.28,-1.35,-1.25,-1.09,-0.89,-0.78,-0.81,-0.81,-0.68,-0.48,-0.4,-0.45,-0.53,-0.56,-0.55,-0.52,-0.5,-0.47,-0.47,-0.5,-0.48,-0.39,-0.29,-0.35,-0.47,-0.45,-0.28,-0.01,0.24,0.36,0.31,0.24,0.39,0.85,1.43,1.77,1.85,1.92,2.25,2.69,2.89,2.79,2.46,2.01,1.65,1.44,1.21,0.81,0.28,-0.19,-0.47,-0.57,-0.64,-0.81,-1.08,-1.23,-1.12,-0.84,-0.52,-0.33,-0.33,-0.35,-0.23,-0.04,0.04,-0.03,-0.17,-0.28,-0.31,-0.29,-0.35,-0.51,-0.68,-0.67,-0.54,-0.28,0.02,0.18,0.27,0.39,0.65,0.86,0.89,0.72,0.57,0.55,0.59,0.58,0.44,0.28,0.15,0.07,0.0,-0.14,-0.32,-0.43,-0.31,-0.03,0.18,0.23,0.26,0.42,0.69,0.98,1.19,1.31,1.38,1.51,1.76,2.13,2.48,2.64,2.68,2.71,2.69,2.57,2.26,1.72,1.05,0.46,0.01,-0.44,-0.87,-1.38,-1.98,-2.61,-3.05,-3.2,-3.08,-2.78,-2.47,-2.08,-1.53,-0.83,-0.16,0.34,0.67,0.8,0.73,0.52,0.24,-0.11,-0.58,-1.07,-1.55,-1.93,-2.22,-2.34,-2.34,-2.3,-2.21,-2.01,-1.6,-1.01,-0.32,0.35,0.94,1.5,1.96,2.39,2.69,2.83,2.81,2.62,2.35,2.05,1.77,1.48,1.23,0.95,0.71,0.53,0.32,0.02,-0.27,-0.45,-0.58,-0.81,-1.03,-1.08,-0.96,-0.84,-0.82,-0.86,-0.82,-0.74,-0.68,-0.64,-0.54,-0.35,-0.12,0.14,0.37,0.53,0.55,0.45,0.28,0.15,0.14,0.17,0.14,0.03,-0.03,-0.02,-0.04,-0.12,-0.18,-0.17,-0.19,-0.28,-0.35,-0.29,-0.19,-0.27,-0.58,-0.89,-1.1,-1.25,-1.39,-1.58,-1.79,-2.02,-2.17,-2.14,-2.02,-1.91,-1.79,-1.56,-1.16,-0.63,-0.19,0.16,0.51,0.91,1.33,1.62,1.82,2.01,2.23,2.44,2.55,2.55,2.41,2.22,2.01,1.89,1.83,1.72,1.44,1.07,0.82,0.63,0.36,-0.05,-0.51,-0.93,-1.3,-1.66,-2.0,-2.22,-2.36,-2.45,-2.54,-2.61,-2.66,-2.61,-2.45,-2.21,-2.0,-1.79,-1.48,-1.02,-0.53,-0.16,0.02,0.15,0.36,0.62,0.92,1.19,1.35,1.38,1.38,1.46,1.56,1.57,1.45,1.32,1.23,1.21,1.24,1.22,1.11,0.96,0.85,0.76,0.68,0.62,0.56,0.45,0.16,-0.2,-0.51,-0.71,-0.86,-1.13,-1.42,-1.56,-1.66,-1.75,-1.73,-1.55,-1.24,-0.82,-0.32,0.29,1.1,1.89,2.62,3.15,3.55,3.9,4.07,4.17,4.23,4.17,3.85,3.3,2.59,2.01,1.59,0.97,0.22,-0.63,-1.22,-1.46,-1.6,-1.74,-1.94,-2.0</t>
  </si>
  <si>
    <t>To_Avoid_Formula6,-2.02,-1.81,-1.58,-1.41,-1.33,-1.27,-1.12,-0.93,-0.62,-0.33,-0.21,-0.2,-0.15,-0.01,0.06,-0.09,-0.35,-0.57,-0.77,-0.96,-1.09,-1.1,-1.06,-1.13,-1.28,-1.36,-1.29,-1.12,-0.93,-0.72,-0.45,-0.08,0.35,0.86,1.33,1.63,1.79,1.92,2.08,2.15,2.11,2.01,1.87,1.74,1.55,1.3,0.94,0.52,0.04,-0.4,-0.79,-1.17,-1.56,-1.89,-2.09,-2.22,-2.28,-2.36,-2.5,-2.58,-2.46,-2.18,-1.93,-1.72,-1.34,-0.79,-0.29,0.15,0.6,1.0,1.36,1.52,1.56,1.53,1.46,1.21,0.83,0.52,0.38,0.26,0.02,-0.15,-0.3,-0.45,-0.57,-0.58,-0.5,-0.3,0.0,0.27,0.53,0.87,1.33,1.55,1.29,0.88,0.58,0.4,0.24,-0.06,-0.42,-0.69,-0.84,-0.88,-0.81,-0.62,-0.45,-0.37,-0.19,0.31,0.83,1.18,1.41,1.6,1.9,2.18,2.39,2.42,2.32,2.18,2.01,1.73,1.31,0.81,0.34,0.0,-0.3,-0.62,-0.97,-1.27,-1.5,-1.67,-1.8,-1.93,-2.06,-2.14,-2.06,-1.76,-1.32,-0.94,-0.75,-0.62,-0.36,0.04,0.4,0.66,0.85,1.02,1.23,1.41,1.56,1.66,1.68,1.53,1.31,1.21,1.25,1.25,1.03,0.75,0.49,0.31,0.12,-0.12,-0.33,-0.54,-0.82,-1.12,-1.31,-1.39,-1.41,-1.43,-1.46,-1.47,-1.48,-1.41,-1.29,-1.1,-0.89,-0.71,-0.57,-0.45,-0.32,-0.23,-0.13,-0.05,-0.03,-0.03,0.02,0.15,0.31,0.36,0.27,0.17,0.18,0.33,0.48,0.56,0.55,0.5,0.49,0.47,0.41,0.32,0.25,0.15,0.01,-0.07,-0.14,-0.28,-0.58,-0.85,-1.0,-1.09,-1.23,-1.34,-1.23,-0.96,-0.69,-0.57,-0.51,-0.32,0.06,0.48,0.76,1.03,1.34,1.61,1.75,1.83,1.82,1.58,1.18,0.82,0.63,0.6,0.6,0.53,0.5,0.62,0.85,1.07,1.19,1.25,1.31,1.46,1.75,2.02,2.18,2.24,2.2,2.02,1.68,1.31,1.05,0.76,0.27,-0.27,-0.53,-0.56,-0.63,-0.9,-1.25,-1.48,-1.66,-1.92,-2.26,-2.57,-2.87,-3.22,-3.5,-3.55,-3.44,-3.34,-3.24,-3.06,-2.81,-2.48,-2.14,-1.77,-1.31,-0.87,-0.47,-0.12,0.29,0.73,1.09,1.35,1.46,1.38,1.16,1.08,1.15,1.23,1.25,1.25,1.29,1.4,1.54,1.55,1.32,0.93,0.51,0.16,-0.06,-0.19,-0.37,-0.51,-0.54,-0.45,-0.31,-0.1,0.01,-0.08,-0.32,-0.48,-0.46,-0.27,0.0,0.21,0.33,</t>
  </si>
  <si>
    <t>To_Avoid_Formula51.37,51.37,51.37,51.37,51.37,51.37,51.37,51.37,51.37,51.37,51.38,51.38,51.38,51.38,51.38,51.38,51.38,51.38,51.38,51.38,51.38,51.38,51.38,51.38,51.38,51.38,51.38,51.38,51.38,51.38,51.38,51.38,51.38,51.38,51.38,51.38,51.38,51.38,51.38,51.38,51.38,51.38,51.38,51.38,51.38,51.38,51.38,51.38,51.39,51.39,51.39,51.39,51.39,51.39,51.39,51.39,51.39,51.39,51.39,51.39,51.39,51.39,51.39,51.39,51.39,51.39,51.39,51.39,51.39,51.39,51.39,51.39,51.39,51.39,51.39,51.39,51.39,51.39,51.39,51.39,51.39,51.39,51.39,51.39,51.39,51.39,51.4,51.4,51.4,51.4,51.4,51.4,51.4,51.4,51.4,51.4,51.4,51.4,51.4,51.4,51.4,51.4,51.4,51.4,51.4,51.4,51.4,51.4,51.4,51.4,51.4,51.4,51.4,51.4,51.4,51.4,51.4,51.4,51.4,51.4,51.4,51.41,51.41,51.41,51.41,51.41,51.41,51.41,51.41,51.41,51.41,51.41,51.41,51.41,51.41,51.41,51.41,51.41,51.41,51.41,51.41,51.41,51.41,51.41,51.41,51.41,51.41,51.41,51.41,51.41,51.41,51.41,51.41,51.41,51.41,51.41,51.42,51.42,51.42,51.42,51.42,51.42,51.42,51.42,51.42,51.42,51.42,51.42,51.42,51.42,51.42,51.42,51.42,51.42,51.42,51.42,51.42,51.42,51.42,51.42,51.42,51.42,51.42,51.42,51.42,51.42,51.42,51.42,51.43,51.43,51.43,51.43,51.43,51.43,51.43,51.43,51.43,51.43,51.43,51.43,51.43,51.43,51.43,51.43,51.43,51.43,51.43,51.43,51.43,51.43,51.43,51.43,51.43,51.43,51.43,51.43,51.43,51.43,51.43,51.44,51.44,51.44,51.44,51.44,51.44,51.44,51.44,51.44,51.44,51.44,51.44,51.44,51.44,51.44,51.44,51.44,51.44,51.44,51.44,51.44,51.44,51.44,51.44,51.44,51.44,51.44,51.44,51.44,51.45,51.45,51.45,51.45,51.45,51.45,51.45,51.45,51.45,51.45,51.45,51.45,51.45,51.45,51.45,51.45,51.45,51.45,51.45,51.45,51.45,51.45,51.45,51.45,51.45,51.45,51.45,51.45,51.45,51.45,51.46,51.46,51.46,51.46,51.46,51.46,51.46,51.46,51.46,51.46,51.46,51.46,51.46,51.46,51.46,51.46,51.46,51.46,51.46,51.46,51.46,51.46,51.46,51.46,51.46,51.46,51.46,51.46,51.46,51.46,51.47,51.47,51.47,51.47,51.47,51.47,51.47,51.47,51.47,51.47,51.47,51.47,51.47,51.47,51.47,51.47,51.47,51.47,51.47,51.47,51.47,51.47,51.47,51.47,51.47,51.47,51.47,51.47,51.47,51.47,51.48,51.48,51.48,51.48,51.48,51.48,51.48,51.48,51.48,51.48,51.48,51.48,51.48,51.48,51.48,51.48,51.48,51.48,51.48,51.48,51.48,51.48,51.48,51.48,51.48,51.48,51.48,51.48,51.48,51.48,51.49,51.49,51.49,51.49,51.49,51.49,51.49,51.49,51.49,51.49,51.49,51.49,51.49,51.49,51.49,51.49,51.49,51.49,51.49,51.49,51.49,51.49,51.49,51.49,51.49,51.49,51.49,51.49,51.49,51.49,51.49,51.5,51.5,51.5,51.5,51.5,51.5,51.5,51.5,51.5,51.5,51.5,51.5,51.5,51.5,51.5,51.5,51.5,51.5,51.5,51.5,51.5,51.5,51.5,51.5,51.5,51.5,51.5,51.5,51.5,51.5,51.51,51.51,51.51,51.51,51.51,51.51,51.51,51.51,51.51,51.51,51.51,51.51,51.51,51.51,51.51,51.51,51.51,51.51,51.51,51.51,51.51,51.51,51.51,51.51,51.51,51.51,51.51,51.51,51.51,51.51,51.51,51.51,51.52,51.52,51.52,51.52,51.52,51.52,51.52,51.52,51.52,51.52,51.52,51.52,51.52,51.52,51.52,51.52,51.52,51.52,51.52,51.52,51.52,51.52,51.52,51.52,51.52,51.52,51.52,51.52,51.52,51.52,51.53,51.53,51.53,51.53,51.53,51.53,51.53,51.53,51.53,51.53,51.53,51.53,51.53,51.53,51.53,51.53,51.53,51.53,51.53,51.53,51.53,51.53,51.53,51.53,51.53,51.53,51.53,51.53,51.53,51.54,51.54,51.54,51.54,51.54,51.54,51.54,51.54,51.54,51.54,51.54,51.54,51.54,51.54,51.54,51.54,51.54,51.54,51.54,51.54,51.54,51.54,51.54,51.54,51.54,51.54,51.54,51.55,51.55,51.55,51.55,51.55,51.55,51.55,51.55,51.55,51.55,51.55,51.55,51.55,51.55,51.55,51.55,51.55,51.55,51.55,51.55,51.55,51.55,51.55,51.55,51.55,51.55,51.55,51.56,51.56,51.56,51.56,51.56,51.56,51.56,51.56,51.56,51.56,51.56,51.56,51.56,51.56,51.56,51.56,51.56,51.56,51.56,51.56,51.56,51.56,51.56,51.56,51.56,51.56,51.57,51.57,51.57,51.57,51.57,51.57,51.57,51.57,51.57,51.57,51.57,51.57,51.57,51.57,51.57,51.57,51.57,51.57,51.57,51.57,51.57,51.57,51.57,51.57,51.58,51.58,51.58,51.58,51.58,51.58,51.58,51.58,51.58,51.58,51.58,51.58,51.58,51.58,51.58,51.58,51.58,51.58,51.58,51.58,51.58,51.58,51.58,51.58,51.59,51.59,51.59,51.59,51.59,51.59,51.59,51.59,51.59,51.59,51.59,51.59,51.59,51.59,51.59,51.59,5</t>
  </si>
  <si>
    <t>To_Avoid_Formula1.59,51.59,51.59,51.59,51.59,51.59,51.59,51.59,51.59,51.6,51.6,51.6,51.6,51.6,51.6,51.6,51.6,51.6,51.6,51.6,51.6,51.6,51.6,51.6,51.6,51.6,51.6,51.6,51.6,51.6,51.6,51.6,51.6,51.61,51.61,51.61,51.61,51.61,51.61,51.61,51.61,51.61,51.61,51.61,51.61,51.61,51.61,51.61,51.61,51.61,51.61,51.61,51.61,51.61,51.61,51.61,51.62,51.62,51.62,51.62,51.62,51.62,51.62,51.62,51.62,51.62,51.62,51.62,51.62,51.62,51.62,51.62,51.62,51.62,51.62,51.62,51.62,51.62,51.62,51.62,51.63,51.63,51.63,51.63,51.63,51.63,51.63,51.63,51.63,51.63,51.63,51.63,51.63,51.63,51.63,51.63,51.63,51.63,51.63,51.63,51.63,51.63,51.63,51.63,51.63,51.64,51.64,51.64,51.64,51.64,51.64,51.64,51.64,51.64,51.64,51.64,51.64,51.64,51.64,51.64,51.64,51.64,51.64,51.64,51.64,51.64,51.64,51.64,51.64,51.64,51.65,51.65,51.65,51.65,51.65,51.65,51.65,51.65,51.65,51.65,51.65,51.65,51.65,51.65,51.65,51.65,51.65,51.65,51.65,51.65,51.65,51.65,51.65,51.65,51.65,51.65,51.65,51.66,51.66,51.66,51.66,51.66,51.66,51.66,51.66,51.66,51.66,51.66,51.66,51.66,51.66,51.66,51.66,51.66,51.66,51.66,51.66,51.66,51.66,51.66,51.66,51.66,51.66,51.66,51.66,51.67,51.67,51.67,51.67,51.67,51.67,51.67,51.67,51.67,51.67,51.67,51.67,51.67,51.67,51.67,51.67,51.67,51.67,51.67,51.67,51.67,51.67,51.67,51.67,51.67,51.67,51.67,51.67,51.67,51.68,51.68,51.68,51.68,51.68,51.68,51.68,51.68,51.68,51.68,51.68,51.68,51.68,51.68,51.68,51.68,51.68,51.68,51.68,51.68,51.68,51.68,51.68,51.68,51.68,51.68,51.68,51.68,51.68,51.68,51.69,51.69,51.69,51.69,51.69,51.69,51.69,51.69,51.69,51.69,51.69,51.69,51.69,51.69,51.69,51.69,51.69,51.69,51.69,51.69,51.69,51.69,51.69,51.69,51.69,51.69,51.69,51.69,51.69,51.69,51.69,51.7,51.7,51.7,51.7,51.7,51.7,51.7,51.7,51.7,51.7,51.7,51.7,51.7,51.7,51.7,51.7,51.7,51.7,51.7,51.7,51.7,51.7,51.7,51.7,51.7,51.7,51.7,51.7,51.7,51.7,51.7,51.71,51.71,51.71,51.71,51.71,51.71,51.71,51.71,51.71,51.71,51.71,51.71,51.71,51.71,51.71,51.71,51.71,51.71,51.71,51.71,51.71,51.71,51.71,51.71,51.71,51.71,51.71,51.71,51.71,51.71,51.72,51.72,51.72,51.72,51.72,51.72,51.72,51.72,51.72,51.72,51.72,51.72,51.72,51.72,51.72,51.72,51.72,51.72,51.72,51.72,51.72,51.72,51.72,51.72,51.72,51.72,51.72,51.72,51.72,51.73,51.73,51.73,51.73,51.73,51.73,51.73,51.73,51.73,51.73,51.73,51.73,51.73,51.73,51.73,51.73,51.73,</t>
  </si>
  <si>
    <t>To_Avoid_Formula0.36,0.33,0.23,0.22,0.33,0.5,0.67,0.84,0.96,0.99,1.05,1.09,1.1,1.02,0.9,0.77,0.65,0.5,0.41,0.42,0.43,0.38,0.29,0.25,0.24,0.21,0.19,0.2,0.22,0.21,0.22,0.32,0.41,0.42,0.38,0.33,0.27,0.21,0.21,0.23,0.19,0.09,0.03,0.03,0.07,0.11,0.13,0.1,0.06,0.03,0.05,0.1,0.12,0.13,0.14,0.14,0.16,0.21,0.31,0.4,0.44,0.45,0.47,0.5,0.53,0.52,0.45,0.35,0.27,0.26,0.31,0.3,0.19,0.04,-0.08,-0.17,-0.25,-0.31,-0.33,-0.31,-0.31,-0.3,-0.26,-0.16,-0.07,-0.04,-0.05,0.0,0.1,0.21,0.32,0.46,0.61,0.77,0.88,1.01,1.06,0.99,0.87,0.73,0.57,0.34,0.11,-0.06,-0.24,-0.45,-0.68,-0.93,-1.13,-1.3,-1.36,-1.35,-1.33,-1.33,-1.31,-1.24,-1.12,-1.04,-1.01,-0.98,-0.94,-0.9,-0.89,-0.86,-0.8,-0.8,-0.88,-0.98,-1.04,-1.06,-1.07,-1.07,-1.11,-1.11,-1.0,-0.86,-0.68,-0.44,-0.13,0.15,0.37,0.57,0.69,0.71,0.67,0.57,0.42,0.33,0.28,0.29,0.35,0.42,0.41,0.38,0.43,0.45,0.33,0.18,0.03,-0.1,-0.17,-0.17,-0.13,-0.13,-0.13,-0.12,-0.09,-0.06,-0.02,-0.05,-0.16,-0.25,-0.34,-0.41,-0.44,-0.46,-0.53,-0.62,-0.67,-0.64,-0.6,-0.57,-0.6,-0.65,-0.68,-0.67,-0.69,-0.75,-0.85,-0.92,-0.92,-0.87,-0.75,-0.63,-0.51,-0.53,-0.55,-0.53,-0.49,-0.49,-0.59,-0.75,-0.95,-1.12,-1.21,-1.22,-1.25,-1.34,-1.45,-1.52,-1.55,-1.54,-1.48,-1.42,-1.37,-1.33,-1.26,-1.15,-1.04,-0.96,-0.93,-0.91,-0.84,-0.71,-0.55,-0.34,-0.1,0.13,0.26,0.24,0.14,0.03,-0.08,-0.25,-0.42,-0.52,-0.5,-0.5,-0.55,-0.73,-0.94,-1.08,-1.17,-1.28,-1.39,-1.47,-1.55,-1.66,-1.67,-1.54,-1.34,-1.23,-1.15,-1.12,-1.21,-1.3,-1.37,-1.39,-1.5,-1.64,-1.76,-1.77,-1.76,-1.73,-1.73,-1.7,-1.64,-1.58,-1.49,-1.42,-1.31,-1.14,-0.92,-0.75,-0.57,-0.39,-0.19,0.07,0.42,0.77,1.05,1.29,1.57,1.83,1.89,1.76,1.71,1.88,2.22,2.58,2.74,2.71,2.58,2.46,2.37,2.36,2.4,2.42,2.45,2.6,2.68,2.49,2.07,1.76,1.69,1.77,1.85,1.78,1.67,1.72,1.87,1.85,1.68,1.57,1.52,1.48,1.44,1.42,1.41,1.44,1.54,1.66,1.74,1.65,1.47,1.43,1.5,1.49,1.38,1.28,1.26,1.26,1.25,1.19,1.18,1.3,1.52,1.71,1.84,2.01,2.24,2.46,2.59,2.68,2.73,2.76,2.74,2.74,2.71,2.58,2.27,1.89,1.57,1.28,1.02,0.86,0.9,1.05,1.07,0.93,0.77,0.59,0.42,0.43,0.43,0.29,0.05,-0.14,-0.25,-0.4,-0.59,-0.69,-0.61,-0.51,-0.5,-0.53,-0.48,-0.35,-0.2,0.0,0.17,0.14,-0.2,-0.7,-0.91,-0.71,-0.51,-0.53,-0.8,-0.99,-0.89,-0.82,-0.96,-1.22,-1.51,-1.82,-2.07,-2.32,-2.44,-2.28,-1.69,-1.01,-0.69,-0.65,-0.76,-0.96,-1.26,-1.72,-2.11,-2.33,-2.3,-2.16,-2.09,-1.94,-1.77,-1.61,-1.43,-1.15,-0.89,-0.69,-0.51,-0.37,-0.32,-0.32,-0.36,-0.41,-0.5,-0.56,-0.57,-0.55,-0.45,-0.26,-0.1,-0.04,0.01,0.06,0.09,0.09,0.05,-0.01,-0.07,0.02,0.17,0.27,0.18,0.04,-0.09,-0.26,-0.4,-0.48,-0.59,-0.75,-0.91,-0.96,-0.9,-0.84,-0.71,-0.49,-0.19,0.06,0.3,0.45,0.56,0.7,0.81,0.83,0.76,0.65,0.5,0.35,0.24,0.15,0.04,-0.07,-0.2,-0.33,-0.47,-0.56,-0.53,-0.42,-0.37,-0.35,-0.32,-0.35,-0.44,-0.57,-0.78,-1.08,-1.35,-1.41,-1.31,-1.19,-1.13,-1.11,-1.1,-1.14,-1.24,-1.36,-1.49,-1.65,-1.73,-1.72,-1.69,-1.65,-1.62,-1.6,-1.59,-1.61,-1.67,-1.78,-1.87,-1.88,-1.79,-1.62,-1.48,-1.38,-1.25,-1.0,-0.68,-0.37,-0.11,0.05,0.19,0.35,0.54,0.77,1.0,1.17,1.33,1.48,1.57,1.58,1.48,1.36,1.27,1.28,1.41,1.69,2.0,2.23,2.43,2.71,3.04,3.31,3.5,3.63,3.69,3.64,3.56,3.46,3.39,3.35,3.29,3.22,3.19,3.17,3.13,3.05,2.97,2.86,2.74,2.57,2.37,2.17,1.99,1.86,1.76,1.66,1.43,1.17,0.82,0.46,0.18,0.02,-0.04,-0.04,-0.02,-0.11,-0.29,-0.49,-0.69,-0.85,-1.05,-1.19,-1.29,-1.44,-1.67,-1.99,-2.28,-2.53,-2.76,-3.0,-3.15,-3.27,-3.49,-3.83,-4.26,-4.74,-5.26,-5.64,-5.83,-5.94,-5.95,-5.67,-5.14,-4.72,-4.42,-4.11,-3.78,-3.52,-3.32,-3.09,-2.85,-2.65,-2.47,-2.29,-2.19,-2.18,-2.18,-2.18,-2.19,-2.15,-2.04,-1.91,-1.79,-1.65,-1.5,-1.3,-1.07,-0.82,-0.58,-0.34,-0.08,0.2,0.45,0.66,0.83,0.91,0.9,0.88,0.81,0.75,0.8,0.91,1.04,1.16,1.22,1.2,1.11,1.0,0.93,0.92,0.95,1.0,1.06,1.08,1.01,0.92,0.85,0.84,0.89,0.98,1.04,1.06,1.1,1.13,1.11,1.09,1.1,1.13,1.19,1.27,1.41,1.59,1.74,1.78,1.83,1.89,1.96,2.02,2.04,2.01,1.95,1.88,1.8,1.76,1.75,1.79,1.85,1.9,1.87,1.82,1.76,1.7,1.66,1.66,1.68,1.71,1.78,1.88,1.99,2.02,1.99,1.99,1.95,1.88,1.83,1.8,1.84,1.9,2.0,2.01,2.05,2.08,2.12,2.13,2.09,1.98,1.85,1.77,1.68,1.62,1.63,1.65,1.67,1.71,1.72,1.71,1.7</t>
  </si>
  <si>
    <t>To_Avoid_Formula3,1.74,1.67,1.54,1.37,1.24,1.09,0.91,0.73,0.58,0.47,0.34,0.19,0.08,0.01,-0.07,-0.17,-0.29,-0.38,-0.43,-0.47,-0.51,-0.55,-0.58,-0.64,-0.7,-0.73,-0.74,-0.71,-0.65,-0.52,-0.41,-0.34,-0.37,-0.45,-0.52,-0.57,-0.66,-0.77,-0.87,-0.98,-1.08,-1.19,-1.31,-1.44,-1.55,-1.55,-1.39,-1.12,-0.94,-0.87,-0.78,-0.71,-0.71,-0.78,-0.81,-0.77,-0.7,-0.71,-0.77,-0.83,-0.9,-0.95,-0.97,-0.98,-0.98,-1.03,-1.05,-1.06,-1.08,-1.13,-1.19,-1.26,-1.35,-1.4,-1.44,-1.49,-1.55,-1.58,-1.53,-1.42,-1.3,-1.21,-1.14,-1.11,-1.13,-1.17,-1.25,-1.34,-1.4,-1.45,-1.51,-1.62,-1.73,-1.8,-1.88,-1.97,-2.05,-2.15,-2.22,-2.28,-2.31,-2.36,-2.42,-2.44,-2.43,-2.42,-2.45,-2.47,-2.48,-2.44,-2.4,-2.37,-2.35,-2.34,-2.3,-2.24,-2.19,-2.14,-2.06,-1.98,-1.93,-1.9,-1.87,-1.8,-1.73,-1.68,-1.61,-1.46,-1.24,-0.98,-0.76,-0.57,-0.31,-0.01,0.22,0.36,0.49,0.63,0.75,0.8,0.8,0.79,0.77,0.78,0.78,0.76,0.71,0.66,0.61,0.57,0.55,0.56,0.64,0.73,0.79,0.83,0.86,0.88,0.92,0.95,0.98,0.98,0.98,1.0,1.05,1.06,1.06,1.08,1.14,1.2,1.22,1.2,1.19,1.21,1.21,1.17,1.12,1.1,1.08,1.05,1.03,1.0,0.95,0.89,0.85,0.81,0.75,0.7,0.68,0.66,0.64,0.58,0.5,0.4,0.26,0.07,-0.15,-0.39,-0.57,-0.61,-0.63,-0.66,-0.7,-0.69,-0.68,-0.7,-0.79,-0.88,-0.91,-0.92,-0.94,-0.96,-0.95,-0.96,-0.9,-0.77,-0.61,-0.46,-0.28,-0.1,0.03,0.11,0.17,0.24,0.34,0.44,0.53,0.61,0.7,0.79,0.85,0.91,0.94,0.95,0.92,0.89,0.89,0.93,0.97,1.01,1.03,1.0,0.91,0.77,0.62,0.54,0.51,0.48,0.45,0.42,0.42,0.45,0.49,0.49,0.48,0.49,0.54,0.57,0.58,0.59,0.57,0.53,0.45,0.39,0.35,0.34,0.35,0.42,0.48,0.53,0.55,0.57,0.56,0.55,0.52,0.46,0.39,0.3,0.19,0.07,-0.02,0.0,0.09,0.15,0.22,0.27,0.3,0.33,0.37,0.43,0.5,0.57,0.69,0.79,0.84,0.86,0.88,0.88,0.89,0.87,0.83,0.79,0.79,0.83,0.87,0.9,0.89,0.91,0.94,0.95,0.91,0.85,0.79,0.73,0.62,</t>
  </si>
  <si>
    <t>To_Avoid_Formula0.17,0.14,0.04,0.03,0.14,0.31,0.47,0.62,0.71,0.71,0.74,0.75,0.72,0.61,0.46,0.31,0.18,0.03,-0.06,-0.05,-0.04,-0.1,-0.18,-0.21,-0.22,-0.23,-0.24,-0.22,-0.2,-0.2,-0.17,-0.08,0.02,0.02,-0.01,-0.06,-0.12,-0.17,-0.16,-0.14,-0.17,-0.26,-0.31,-0.29,-0.23,-0.18,-0.16,-0.18,-0.21,-0.22,-0.19,-0.13,-0.1,-0.08,-0.07,-0.06,-0.04,0.02,0.12,0.21,0.24,0.24,0.25,0.27,0.29,0.27,0.19,0.08,0.0,-0.01,0.04,0.03,-0.08,-0.22,-0.33,-0.4,-0.46,-0.49,-0.48,-0.44,-0.42,-0.39,-0.32,-0.2,-0.1,-0.07,-0.07,-0.01,0.1,0.2,0.31,0.44,0.57,0.69,0.78,0.87,0.88,0.77,0.61,0.45,0.27,0.04,-0.2,-0.36,-0.51,-0.7,-0.89,-1.1,-1.24,-1.34,-1.34,-1.26,-1.17,-1.12,-1.04,-0.9,-0.74,-0.61,-0.54,-0.47,-0.4,-0.33,-0.29,-0.23,-0.14,-0.13,-0.18,-0.26,-0.29,-0.27,-0.25,-0.23,-0.24,-0.21,-0.08,0.08,0.27,0.51,0.81,1.06,1.23,1.39,1.45,1.41,1.31,1.16,0.97,0.84,0.75,0.73,0.76,0.78,0.74,0.68,0.68,0.67,0.51,0.34,0.17,0.03,-0.05,-0.05,-0.02,-0.03,-0.04,-0.03,-0.01,0.01,0.04,0.0,-0.11,-0.2,-0.3,-0.36,-0.37,-0.39,-0.44,-0.52,-0.55,-0.5,-0.44,-0.4,-0.42,-0.45,-0.46,-0.44,-0.44,-0.49,-0.56,-0.6,-0.58,-0.5,-0.37,-0.23,-0.09,-0.1,-0.12,-0.09,-0.06,-0.05,-0.14,-0.29,-0.47,-0.62,-0.67,-0.64,-0.64,-0.69,-0.76,-0.79,-0.78,-0.73,-0.63,-0.52,-0.45,-0.38,-0.28,-0.15,-0.02,0.07,0.1,0.13,0.2,0.33,0.48,0.67,0.89,1.08,1.16,1.09,0.95,0.8,0.65,0.46,0.27,0.17,0.18,0.17,0.11,-0.07,-0.28,-0.4,-0.47,-0.56,-0.64,-0.69,-0.74,-0.81,-0.78,-0.61,-0.39,-0.26,-0.17,-0.13,-0.2,-0.28,-0.33,-0.33,-0.42,-0.52,-0.61,-0.59,-0.54,-0.49,-0.46,-0.4,-0.32,-0.23,-0.13,-0.05,0.08,0.24,0.45,0.61,0.77,0.91,1.07,1.27,1.56,1.84,2.02,2.15,2.32,2.46,2.39,2.14,1.97,2.03,2.25,2.47,2.48,2.3,2.05,1.79,1.59,1.46,1.39,1.3,1.23,1.27,1.24,0.96,0.45,0.08,-0.04,-0.02,0.01,-0.11,-0.26,-0.25,-0.14,-0.21,-0.41,-0.54,-0.62,-0.68,-0.72,-0.76,-0.78,-0.75,-0.67,-0.55,-0.49,-0.59,-0.78,-0.82,-0.75,-0.75,-0.86,-0.95,-0.95,-0.93,-0.93,-0.97,-0.96,-0.81,-0.58,-0.39,-0.26,-0.11,0.11,0.3,0.41,0.45,0.47,0.46,0.41,0.37,0.32,0.16,-0.17,-0.54,-0.84,-1.1,-1.31,-1.41,-1.31,-1.11,-1.04,-1.13,-1.23,-1.35,-1.44,-1.36,-1.28,-1.35,-1.51,-1.61,-1.62,-1.68,-1.75,-1.75,-1.56,-1.36,-1.26,-1.2,-1.05,-0.84,-0.61,-0.36,-0.13,-0.11,-0.39,-0.82,-0.95,-0.66,-0.39,-0.34,-0.54,-0.66,-0.48,-0.34,-0.41,-0.6,-0.8,-1.01,-1.16,-1.29,-1.29,-1.02,-0.34,0.4,0.76,0.81,0.73,0.55,0.29,-0.12,-0.43,-0.58,-0.47,-0.26,-0.12,0.09,0.31,0.5,0.71,1.0,1.26,1.44,1.6,1.7,1.72,1.68,1.6,1.51,1.39,1.3,1.26,1.24,1.31,1.46,1.56,1.58,1.56,1.56,1.52,1.46,1.36,1.24,1.14,1.17,1.26,1.29,1.14,0.94,0.77,0.56,0.39,0.28,0.14,-0.04,-0.21,-0.27,-0.2,-0.16,-0.04,0.16,0.43,0.63,0.82,0.92,0.96,1.02,1.06,1.01,0.86,0.68,0.47,0.28,0.13,0.0,-0.14,-0.27,-0.42,-0.57,-0.71,-0.8,-0.76,-0.65,-0.6,-0.58,-0.56,-0.59,-0.68,-0.8,-0.99,-1.27,-1.49,-1.51,-1.37,-1.2,-1.1,-1.06,-1.01,-1.02,-1.08,-1.16,-1.25,-1.35,-1.37,-1.32,-1.22,-1.13,-1.05,-0.99,-0.93,-0.9,-0.92,-0.98,-1.02,-0.98,-0.84,-0.62,-0.45,-0.32,-0.17,0.1,0.42,0.7,0.94,1.06,1.16,1.26,1.4,1.56,1.72,1.81,1.88,1.93,1.93,1.84,1.66,1.45,1.28,1.22,1.27,1.47,1.69,1.82,1.9,2.07,2.27,2.4,2.44,2.43,2.33,2.14,1.93,1.7,1.5,1.35,1.18,1.01,0.88,0.77,0.64,0.48,0.33,0.16,-0.02,-0.24,-0.47,-0.69,-0.89,-1.03,-1.12,-1.22,-1.42,-1.65,-1.96,-2.26,-2.46,-2.54,-2.51,-2.42,-2.31,-2.3,-2.39,-2.49,-2.57,-2.62,-2.69,-2.71,-2.68,-2.69,-2.79,-2.95,-3.08,-3.16,-3.21,-3.26,-3.22,-3.16,-3.18,-3.32,-3.54,-3.79,-4.06,-4.18,-4.11,-3.95,-3.69,-3.17,-2.42,-1.81,-1.34,-0.88,-0.42,-0.05,0.24,0.55,0.86,1.11,1.33,1.53,1.65,1.67,1.69,1.69,1.68,1.73,1.83,1.95,2.05,2.16,2.28,2.43,2.6,2.79,2.95,3.09,3.25,3.42,3.54,3.62,3.64,3.57,3.42,3.26,3.04,2.85,2.77,2.75,2.74,2.72,2.65,2.48,2.26,2.02,1.83,1.71,1.62,1.56,1.51,1.42,1.24,1.05,0.89,0.78,0.75,0.75,0.73,0.66,0.61,0.55,0.45,0.34,0.28,0.24,0.22,0.23,0.29,0.39,0.45,0.41,0.37,0.35,0.33,0.31,0.25,0.14,0.01,-0.13,-0.27,-0.36,-0.42,-0.43,-0.42,-0.42,-0.49,-0.57,-0.67,-0.76,-0.82,-0.84,-0.85,-0.83,-0.79,-0.7,-0.62,-0.6,-0.66,-0.68,-0.74,-0.82,-0.87,-0.9,-0.86,-0.8,-0.71,-0.7,-0.67,-0.64,-0.61,-0.59,-0.64</t>
  </si>
  <si>
    <t>To_Avoid_Formula,-0.75,-0.87,-0.93,-1.0,-1.03,-0.99,-0.95,-0.89,-0.84,-0.8,-0.78,-0.73,-0.69,-0.74,-0.84,-0.96,-1.05,-1.15,-1.26,-1.38,-1.45,-1.49,-1.54,-1.59,-1.61,-1.59,-1.57,-1.57,-1.58,-1.57,-1.52,-1.45,-1.39,-1.32,-1.26,-1.21,-1.18,-1.1,-1.01,-0.88,-0.73,-0.53,-0.34,-0.2,-0.17,-0.19,-0.19,-0.18,-0.19,-0.24,-0.27,-0.3,-0.33,-0.37,-0.41,-0.46,-0.48,-0.39,-0.16,0.17,0.4,0.51,0.63,0.74,0.75,0.71,0.71,0.77,0.85,0.86,0.82,0.77,0.72,0.68,0.68,0.69,0.7,0.66,0.65,0.66,0.64,0.6,0.55,0.5,0.42,0.39,0.36,0.34,0.29,0.28,0.34,0.47,0.58,0.68,0.74,0.75,0.73,0.67,0.59,0.48,0.42,0.37,0.31,0.2,0.1,0.03,-0.03,-0.11,-0.18,-0.25,-0.3,-0.33,-0.34,-0.37,-0.4,-0.39,-0.36,-0.32,-0.33,-0.33,-0.31,-0.26,-0.2,-0.16,-0.13,-0.1,-0.06,0.0,0.05,0.11,0.18,0.25,0.29,0.3,0.32,0.37,0.41,0.44,0.49,0.6,0.78,0.99,1.15,1.27,1.46,1.66,1.79,1.82,1.84,1.87,1.87,1.81,1.69,1.56,1.44,1.34,1.24,1.12,0.97,0.83,0.7,0.58,0.48,0.43,0.43,0.45,0.44,0.4,0.36,0.31,0.28,0.24,0.21,0.14,0.08,0.05,0.03,-0.01,-0.07,-0.1,-0.09,-0.08,-0.11,-0.18,-0.24,-0.26,-0.3,-0.38,-0.45,-0.5,-0.55,-0.6,-0.63,-0.68,-0.75,-0.82,-0.85,-0.9,-0.95,-1.0,-1.01,-1.02,-1.02,-1.06,-1.12,-1.2,-1.3,-1.45,-1.63,-1.81,-1.91,-1.88,-1.82,-1.78,-1.74,-1.65,-1.57,-1.52,-1.53,-1.54,-1.49,-1.43,-1.37,-1.31,-1.23,-1.16,-1.03,-0.83,-0.62,-0.41,-0.19,0.02,0.17,0.27,0.33,0.42,0.52,0.62,0.71,0.78,0.86,0.93,0.98,1.01,1.02,1.0,0.95,0.89,0.87,0.89,0.91,0.92,0.91,0.86,0.75,0.59,0.43,0.35,0.31,0.28,0.25,0.22,0.23,0.25,0.3,0.29,0.28,0.29,0.33,0.35,0.36,0.36,0.33,0.29,0.21,0.14,0.11,0.1,0.11,0.18,0.24,0.28,0.3,0.31,0.29,0.27,0.23,0.17,0.09,0.0,-0.1,-0.21,-0.28,-0.25,-0.15,-0.07,0.0,0.05,0.09,0.11,0.15,0.21,0.27,0.33,0.43,0.51,0.54,0.54,0.53,0.5,0.49,0.44,0.38,0.33,0.31,0.33,0.35,0.35,0.33,0.33,0.34,0.32,0.26,0.18,0.11,0.04,-0.08,</t>
  </si>
  <si>
    <t>To_Avoid_Formula-2.62,-2.61,-2.59,-2.58,-2.56,-2.55,-2.53,-2.52,-2.5,-2.48,-2.47,-2.45,-2.43,-2.41,-2.39,-2.38,-2.36,-2.34,-2.32,-2.3,-2.28,-2.26,-2.24,-2.22,-2.2,-2.18,-2.15,-2.13,-2.11,-2.09,-2.07,-2.04,-2.02,-2.0,-1.97,-1.95,-1.93,-1.9,-1.88,-1.86,-1.83,-1.81,-1.78,-1.76,-1.73,-1.71,-1.68,-1.66,-1.63,-1.6,-1.58,-1.55,-1.53,-1.5,-1.47,-1.45,-1.42,-1.4,-1.37,-1.34,-1.32,-1.29,-1.26,-1.24,-1.21,-1.18,-1.16,-1.13,-1.1,-1.08,-1.05,-1.02,-1.0,-0.97,-0.94,-0.92,-0.89,-0.86,-0.84,-0.81,-0.79,-0.76,-0.73,-0.71,-0.68,-0.66,-0.63,-0.6,-0.58,-0.55,-0.53,-0.5,-0.48,-0.45,-0.43,-0.4,-0.38,-0.35,-0.33,-0.31,-0.28,-0.26,-0.24,-0.21,-0.19,-0.17,-0.14,-0.12,-0.1,-0.08,-0.06,-0.04,-0.01,0.01,0.03,0.05,0.07,0.09,0.11,0.13,0.14,0.16,0.18,0.2,0.22,0.23,0.25,0.27,0.28,0.3,0.31,0.33,0.34,0.36,0.37,0.38,0.4,0.41,0.42,0.43,0.44,0.45,0.46,0.47,0.48,0.49,0.5,0.5,0.51,0.52,0.52,0.53,0.53,0.53,0.54,0.54,0.54,0.54,0.54,0.54,0.54,0.54,0.54,0.53,0.53,0.53,0.52,0.52,0.51,0.51,0.5,0.49,0.49,0.48,0.47,0.46,0.46,0.45,0.44,0.43,0.42,0.41,0.4,0.39,0.38,0.36,0.35,0.34,0.33,0.32,0.3,0.29,0.28,0.27,0.24,0.22,0.21,0.2,0.18,0.17,0.15,0.14,0.12,0.11,0.09,0.08,0.06,0.05,0.03,0.02,0.0,-0.02,-0.03,-0.05,-0.06,-0.08,-0.09,-0.11,-0.13,-0.14,-0.16,-0.17,-0.19,-0.2,-0.22,-0.23,-0.25,-0.26,-0.28,-0.29,-0.31,-0.32,-0.34,-0.35,-0.36,-0.38,-0.39,-0.41,-0.42,-0.43,-0.44,-0.46,-0.47,-0.48,-0.49,-0.5,-0.51,-0.53,-0.54,-0.55,-0.56,-0.57,-0.58,-0.58,-0.59,-0.6,-0.61,-0.62,-0.63,-0.63,-0.64,-0.65,-0.65,-0.66,-0.67,-0.67,-0.68,-0.68,-0.69,-0.69,-0.69,-0.7,-0.7,-0.7,-0.71,-0.71,-0.71,-0.71,-0.71,-0.72,-0.72,-0.72,-0.72,-0.72,-0.72,-0.72,-0.72,-0.71,-0.71,-0.71,-0.71,-0.71,-0.7,-0.7,-0.7,-0.7,-0.69,-0.69,-0.68,-0.68,-0.67,-0.67,-0.66,-0.65,-0.65,-0.64,-0.63,-0.62,-0.61,-0.6,-0.59,-0.58,-0.57,-0.56,-0.55,-0.54,-0.53,-0.51,-0.5,-0.48,-0.47,-0.45,-0.44,-0.42,-0.4,-0.38,-0.36,-0.35,-0.32,-0.3,-0.28,-0.26,-0.24,-0.21,-0.19,-0.17,-0.14,-0.11,-0.09,-0.06,-0.03,0.0,0.03,0.06,0.09,0.12,0.15,0.19,0.22,0.26,0.29,0.33,0.37,0.4,0.44,0.48,0.52,0.56,0.61,0.65,0.69,0.74,0.78,0.83,0.87,0.92,0.97,1.02,1.07,1.11,1.16,1.22,1.27,1.32,1.37,1.43,1.48,1.53,1.59,1.65,1.7,1.76,1.82,1.87,1.93,1.99,2.05,2.11,2.17,2.23,2.29,2.36,2.42,2.48,2.54,2.61,2.67,2.74,2.8,2.87,2.93,3.0,3.06,3.13,3.2,3.27,3.33,3.4,3.47,3.54,3.61,3.68,3.75,3.82,3.89,3.96,4.03,4.1,4.18,4.25,4.32,4.39,4.46,4.54,4.61,4.68,4.76,4.83,4.9,4.98,5.05,5.12,5.2,5.27,5.35,5.42,5.5,5.57,5.65,5.72,5.8,5.87,5.95,6.02,6.1,6.17,6.25,6.32,6.4,6.48,6.55,6.63,6.7,6.78,6.85,6.93,7.0,7.08,7.15,7.23,7.3,7.37,7.45,7.52,7.6,7.67,7.74,7.81,7.88,7.96,8.03,8.1,8.17,8.24,8.3,8.37,8.44,8.5,8.57,8.63,8.7,8.76,8.82,8.88,8.94,9.0,9.06,9.11,9.17,9.22,9.28,9.33,9.38,9.43,9.48,9.52,9.57,9.61,9.66,9.7,9.74,9.78,9.82,9.85,9.89,9.92,9.96,9.99,10.02,10.05,10.08,10.11,10.13,10.16,10.18,10.2,10.22,10.24,10.26,10.28,10.29,10.31,10.32,10.34,10.35,10.36,10.37,10.37,10.38,10.39,10.39,10.4,10.4,10.4,10.4,10.4,10.4,10.4,10.39,10.39,10.38,10.38,10.37,10.36,10.35,10.34,10.33,10.32,10.3,10.29,10.27,10.26,10.24,10.22,10.2,10.18,10.16,10.14,10.12,10.09,10.07,10.04,10.02,9.99,9.96,9.93,9.9,9.87,9.84,9.81,9.78,9.75,9.71,9.68,9.64,9.6,9.57,9.53,9.49,9.45,9.41,9.37,9.33,9.28,9.24,9.2,9.15,9.11,9.06,9.02,8.97,8.93,8.88,8.83,8.78,8.73,8.69,8.64,8.59,8.54,8.48,8.43,8.38,8.33,8.28,8.22,8.17,8.12,8.06,8.01,7.96,7.9,7.85,7.79,7.74,7.68,7.63,7.57,7.52,7.46,7.41,7.35,7.3,7.24,7.18,7.13,7.07,7.02,6.96,6.91,6.85,6.8,6.74,6.68,6.63,6.58,6.52,6.47,6.41,6.36,6.3,6.25,6.2,6.14,6.09,6.04,5.99,5.94,5.89,5.83,5.78,5.73,5.68,5.63,5.59,5.54,5.49,5.44,5.39,5.35,5.3,5.25,5.21,5.16,5.11,5.07,5.02,4.98,4.94,4.89,4.85,4.81,4.76,4.72,4.68,4.64,4.6,4.55,4.51,4.47,4.43,4.39,4.35,4.31,4.27,4.23,4.19,4.15,4.11,4.07,4.03,3.99,3.95,3.91,3.88,3.84,3.8,3.76,3.72,3.68,3.64,3.6,3.56,3.53,3.49,3.45,3.41,3.37,3.33,3.29,3.26,3.22,3.18,3.14,3.1,3.06,3.02,2.99,2.95,2.91,2.87,2.83,2.79,2.76,2.72,2.68,2.64,2.6,2.57,2.53,2.49,2.46,2.42,2.39,2.35,2.31,2.28,2.24,2.21,2.18,2.14,2.1</t>
  </si>
  <si>
    <t>To_Avoid_Formula1,2.08,2.05,2.02,1.98,1.95,1.92,1.89,1.87,1.84,1.81,1.78,1.76,1.73,1.71,1.68,1.66,1.63,1.61,1.59,1.57,1.55,1.53,1.51,1.49,1.47,1.45,1.43,1.42,1.4,1.39,1.37,1.36,1.34,1.33,1.32,1.31,1.3,1.29,1.28,1.27,1.26,1.25,1.24,1.23,1.23,1.22,1.22,1.21,1.21,1.2,1.2,1.2,1.2,1.19,1.19,1.19,1.19,1.19,1.19,1.19,1.19,1.2,1.2,1.2,1.2,1.21,1.21,1.21,1.22,1.22,1.23,1.23,1.24,1.24,1.25,1.25,1.26,1.26,1.27,1.28,1.28,1.29,1.29,1.3,1.31,1.31,1.32,1.32,1.33,1.33,1.34,1.35,1.35,1.36,1.36,1.37,1.37,1.38,1.38,1.38,1.39,1.39,1.4,1.4,1.4,1.4,1.41,1.41,1.41,1.41,1.42,1.42,1.42,1.42,1.42,1.42,1.42,1.42,1.42,1.41,1.41,1.41,1.41,1.4,1.4,1.4,1.39,1.39,1.38,1.38,1.37,1.36,1.36,1.35,1.34,1.33,1.32,1.31,1.3,1.29,1.28,1.27,1.26,1.25,1.24,1.23,1.21,1.2,1.19,1.17,1.16,1.15,1.13,1.11,1.1,1.08,1.07,1.05,1.03,1.01,1.0,0.98,0.96,0.94,0.92,0.9,0.88,0.86,0.84,0.82,0.8,0.78,0.75,0.73,0.71,0.69,0.67,0.64,0.62,0.6,0.57,0.55,0.52,0.5,0.48,0.45,0.43,0.4,0.38,0.35,0.33,0.3,0.27,0.25,0.22,0.2,0.17,0.15,0.12,0.09,0.07,0.04,0.01,-0.01,-0.04,-0.06,-0.09,-0.12,-0.14,-0.17,-0.2,-0.22,-0.25,-0.27,-0.3,-0.32,-0.35,-0.38,-0.4,-0.43,-0.45,-0.48,-0.5,-0.53,-0.55,-0.58,-0.6,-0.62,-0.65,-0.67,-0.69,-0.72,-0.74,-0.76,-0.78,-0.8,-0.83,-0.85,-0.87,-0.89,-0.91,-0.93,-0.95,-0.97,-0.98,-1.0,-1.02,-1.04,-1.06,-1.07,-1.09,-1.1,-1.12,-1.14,-1.15,-1.17,-1.18,-1.19,-1.21,-1.22,-1.23,-1.25,-1.26,-1.27,-1.28,-1.29,-1.3,-1.31,-1.32,-1.33,-1.34,-1.35,-1.36,-1.37,-1.38,-1.39,-1.4,-1.4,-1.41,-1.42,-1.43,-1.43,-1.44,-1.44,-1.45,-1.46,-1.46,-1.47,-1.47,-1.47,-1.48,-1.48,-1.49,-1.49,-1.49,-1.5,-1.5,-1.5,-1.51,-1.51,-1.51,-1.51,</t>
  </si>
  <si>
    <t>To_Avoid_Formula0.98,0.89,0.88,0.96,1.05,1.14,1.21,1.33,1.5,1.81,2.11,2.28,2.3,2.29,2.35,2.39,2.27,2.0,1.7,1.42,1.17,0.92,0.72,0.54,0.42,0.33,0.21,0.06,-0.1,-0.27,-0.43,-0.58,-0.69,-0.73,-0.72,-0.69,-0.62,-0.48,-0.3,-0.17,-0.11,-0.06,0.01,0.08,0.1,0.07,0.04,0.1,0.27,0.48,0.65,0.84,1.06,1.27,1.4,1.39,1.28,1.11,0.93,0.75,0.56,0.38,0.24,0.08,-0.08,-0.21,-0.25,-0.19,-0.05,0.18,0.49,0.83,1.22,1.63,2.04,2.36,2.57,2.69,2.73,2.74,2.73,2.66,2.54,2.4,2.27,2.18,2.09,2.0,1.98,2.03,2.1,2.15,2.21,2.33,2.48,2.64,2.81,3.0,3.21,3.48,3.71,3.92,4.06,4.12,4.14,4.09,3.98,3.78,3.5,3.16,2.68,2.13,1.66,1.25,1.03,0.84,0.83,1.1,1.73,2.48,3.25,3.86,4.3,4.7,4.87,4.77,4.48,4.29,4.23,4.34,4.56,4.84,5.17,5.5,5.69,5.66,5.59,5.5,5.35,5.14,4.93,4.79,4.74,4.78,4.99,5.25,5.51,5.82,6.2,6.52,6.64,6.66,6.72,6.79,6.78,6.74,6.76,6.81,6.76,6.59,6.37,6.13,5.9,5.65,5.43,5.11,4.77,4.52,4.37,4.25,4.15,4.15,4.26,4.38,4.47,4.55,4.66,4.73,4.73,4.74,4.76,4.7,4.54,4.43,4.39,4.36,4.28,4.17,4.02,3.79,3.48,3.21,3.01,2.87,2.64,2.57,2.56,2.62,2.63,2.56,2.44,2.34,2.26,2.17,2.06,1.94,1.85,1.83,1.88,2.04,2.3,2.57,2.81,3.08,3.48,3.98,4.43,4.75,4.9,4.86,4.71,4.53,4.31,4.04,3.67,3.31,3.0,2.88,2.99,3.21,3.44,3.68,3.93,4.15,4.28,4.26,4.2,4.16,4.1,3.95,3.71,3.49,3.36,3.29,3.24,3.25,3.36,3.52,3.52,3.17,2.59,1.96,1.34,0.56,-0.27,-0.98,-1.65,-2.38,-3.24,-4.15,-5.16,-5.97,-6.72,-7.36,-7.81,-7.96,-7.78,-7.44,-7.05,-6.59,-5.95,-5.0,-3.87,-2.82,-2.01,-1.2,-0.49,-0.11,0.05,0.1,0.12,0.1,0.01,-0.21,-0.4,-0.34,-0.02,0.23,0.41,0.64,1.02,1.37,1.48,1.26,0.9,0.65,0.54,0.47,0.45,0.53,0.63,0.78,1.06,1.35,1.41,1.32,1.15,0.92,0.69,0.49,0.27,-0.04,-0.33,-0.48,-0.52,-0.49,-0.27,0.16,0.68,1.25,1.89,2.43,2.88,3.37,3.95,4.42,4.63,4.71,4.65,4.37,3.96,3.67,3.52,3.42,3.36,3.48,3.79,4.14,4.39,4.62,4.95,5.34,5.74,6.1,6.46,6.88,7.37,7.69,7.85,8.04,8.25,8.15,7.69,7.22,6.73,6.16,5.72,5.64,5.78,5.72,5.25,4.89,4.81,4.91,5.11,5.27,5.42,5.47,5.4,5.15,4.85,4.44,3.8,2.88,2.2,2.25,3.44,5.3,6.71,7.26,7.32,7.11,6.61,5.85,4.75,3.8,3.24,2.66,1.87,1.02,0.47,0.34,0.49,0.76,1.09,1.52,1.85,1.98,1.88,1.8,1.94,2.13,2.27,2.4,2.72,3.09,3.33,3.27,3.22,3.43,3.82,3.97,3.83,3.76,3.84,3.92,3.77,3.46,3.19,2.98,2.88,2.84,2.73,2.59,2.45,2.28,2.04,1.73,1.42,1.11,0.84,0.62,0.44,0.28,0.18,0.17,0.31,0.66,1.15,1.51,1.71,1.81,2.02,2.24,2.23,2.02,1.85,1.85,1.92,2.07,2.24,2.37,2.4,2.46,2.66,2.91,3.07,3.17,3.28,3.47,3.71,3.98,4.2,4.32,4.38,4.39,4.29,4.09,3.92,3.82,3.73,3.55,3.33,3.17,3.12,3.19,3.24,3.15,3.02,2.94,2.92,2.86,2.76,2.76,3.02,3.45,3.8,4.03,4.09,4.11,4.13,4.09,3.98,3.84,3.65,3.41,3.24,3.27,3.43,3.57,3.71,3.88,4.13,4.45,4.77,4.99,5.1,5.19,5.28,5.35,5.35,5.27,5.1,4.84,4.54,4.25,3.94,3.59,3.28,3.09,2.98,2.92,2.89,2.92,2.98,3.07,3.16,3.12,2.96,2.82,2.73,2.63,2.41,2.09,1.8,1.71,1.76,1.75,1.68,1.58,1.51,1.43,1.29,1.12,1.15,1.27,1.3,1.24,1.4,1.73,1.96,2.05,2.15,2.3,2.4,2.56,2.85,3.12,3.29,3.42,3.55,3.67,3.75,3.82,3.81,3.66,3.46,3.29,3.2,3.21,3.25,3.34,3.45,3.57,3.59,3.34,2.84,2.34,2.14,2.07,1.88,1.49,1.05,0.47,-0.15,-0.65,-0.93,-1.02,-1.04,-1.17,-1.38,-1.53,-1.52,-1.44,-1.35,-1.15,-0.94,-0.82,-0.78,-0.76,-0.86,-1.04,-1.21,-1.41,-1.63,-1.6,-1.36,-1.11,-0.9,-0.77,-0.67,-0.56,-0.36,-0.03,0.33,0.54,0.62,0.63,0.65,0.62,0.36,-0.11,-0.36,-0.2,0.1,0.38,0.61,1.03,1.69,2.55,3.31,3.84,4.28,4.69,4.99,5.13,5.14,5.02,4.82,4.68,4.68,4.74,4.83,5.03,5.31,5.61,5.84,5.97,6.06,6.04,5.89,5.6,5.3,5.03,4.85,4.67,4.46,4.24,4.02,3.86,3.73,3.54,3.21,2.88,2.64,2.57,2.57,2.52,2.44,2.39,2.29,1.96,1.43,0.77,0.27,-0.04,-0.31,-0.58,-0.76,-0.85,-0.93,-0.93,-0.88,-0.85,-0.9,-0.9,-0.73,-0.31,0.19,0.82,1.55,2.42,3.39,4.44,5.26,5.75,6.17,6.51,6.69,6.54,6.25,5.91,5.66,5.49,5.34,5.13,4.87,4.7,4.66,4.56,4.2,3.58,3.03,2.69,2.55,2.41,2.16,1.96,1.86,1.85,1.82,1.8,1.87,2.11,2.28,2.27,2.09,1.99,1.97,1.85,1.66,1.49,1.35,1.21,1.09,0.97,0.87,0.88,1.03,1.23,1.36,1.49,1.6,1.68,1.7,1.66,1.6,1.52,1.42,1.21,0.94,0.73,0.63,0.54,0.43,0.36,0.37,0.48,0.59,0.65,0.66,0.68,0.75,0.84,0.9,0.95,1.0,1.04,1.03,1.01,1.03,1.13,1.32,1.59,1.91,2.17,2.4,2.72,</t>
  </si>
  <si>
    <t>To_Avoid_Formula3.13,3.41,3.44,3.3,3.13,2.99,2.77,2.54,2.29,2.02,1.67,1.29,0.98,0.77,0.62,0.48,0.35,0.26,0.29,0.41,0.46,0.36,0.18,0.04,-0.03,-0.1,-0.17,-0.31,-0.44,-0.53,-0.6,-0.69,-0.8,-0.83,-0.78,-0.71,-0.7,-0.73,-0.71,-0.58,-0.43,-0.41,-0.46,-0.49,-0.49,-0.52,-0.54,-0.55,-0.58,-0.59,-0.57,-0.59,-0.67,-0.77,-0.86,-0.94,-1.02,-1.16,-1.36,-1.51,-1.59,-1.64,-1.71,-1.72,-1.66,-1.54,-1.41,-1.28,-1.15,-1.03,-0.9,-0.78,-0.65,-0.45,-0.18,0.06,0.23,0.39,0.62,0.84,1.0,1.07,1.14,1.24,1.34,1.38,1.4,1.47,1.57,1.67,1.75,1.81,1.82,1.83,1.8,1.75,1.68,1.63,1.54,1.4,1.24,1.14,1.03,0.92,0.86,0.85,0.81,0.77,0.81,0.9,0.94,0.89,0.81,0.82,0.94,1.08,1.16,1.26,1.46,1.75,2.08,2.37,2.65,2.91,3.18,3.47,3.77,4.0,4.15,4.27,4.35,4.43,4.46,4.45,4.43,4.39,4.26,4.04,3.75,3.33,2.76,2.12,1.45,0.72,0.02,-0.83,-1.65,-2.32,-2.82,-3.26,-3.62,-3.8,-3.82,-3.73,-3.56,-3.32,-3.02,-2.66,-2.27,-1.87,-1.54,-1.24,-0.95,-0.69,-0.45,-0.21,0.02,0.22,0.43,0.66,0.83,0.91,0.93,1.0,1.08,1.14,1.15,1.15,1.15,1.22,1.33,1.44,1.53,1.64,1.83,2.04,2.18,2.22,2.2,2.19,2.18,2.1,1.92,1.65,1.37,1.02,0.71,0.59,0.59,0.66,0.77,0.94,1.21,1.54,1.84,2.09,2.29,2.46,2.61,2.72,2.71,2.55,2.32,2.1,1.88,1.67,1.48,1.33,1.22,1.19,1.23,1.31,1.41,1.57,1.77,1.95,2.04,2.01,1.9,1.65,1.33,0.96,0.5,0.09,-0.07,-0.08,-0.01,0.08,0.24,0.44,0.68,0.97,1.29,1.61,1.86,1.91,1.83,1.78,1.83,1.88,1.87,1.87,1.95,2.11,2.29,2.42,2.48,2.54,2.61,2.65,2.57,2.42,2.21,2.0,1.84,1.67,</t>
  </si>
  <si>
    <t>To_Avoid_Formula0.14,0.14,0.15,0.15,0.15,0.16,0.16,0.17,0.18,0.19,0.2,0.21,0.22,0.23,0.24,0.26,0.27,0.28,0.29,0.31,0.32,0.33,0.34,0.36,0.37,0.38,0.39,0.4,0.41,0.42,0.43,0.44,0.45,0.46,0.46,0.47,0.48,0.49,0.49,0.49,0.49,0.49,0.49,0.49,0.49,0.49,0.49,0.49,0.49,0.49,0.49,0.48,0.48,0.48,0.47,0.46,0.46,0.45,0.44,0.43,0.42,0.4,0.39,0.38,0.36,0.35,0.33,0.32,0.31,0.29,0.28,0.27,0.26,0.25,0.24,0.23,0.22,0.21,0.21,0.2,0.19,0.19,0.18,0.17,0.17,0.16,0.15,0.14,0.14,0.14,0.13,0.13,0.12,0.12,0.11,0.1,0.09,0.09,0.08,0.07,0.06,0.05,0.04,0.04,0.03,0.03,0.02,0.02,0.02,0.02,0.01,0.01,0.01,0.01,0.01,0.0,0.0,0.0,-0.01,-0.02,-0.02,-0.03,-0.04,-0.05,-0.06,-0.07,-0.08,-0.09,-0.1,-0.11,-0.12,-0.13,-0.14,-0.15,-0.15,-0.16,-0.16,-0.17,-0.18,-0.18,-0.18,-0.18,-0.18,-0.18,-0.18,-0.18,-0.18,-0.18,-0.18,-0.17,-0.17,-0.16,-0.16,-0.15,-0.15,-0.15,-0.14,-0.13,-0.13,-0.12,-0.11,-0.1,-0.08,-0.07,-0.05,-0.04,-0.02,-0.01,0.01,0.03,0.05,0.07,0.09,0.1,0.12,0.14,0.16,0.17,0.19,0.21,0.22,0.23,0.25,0.26,0.27,0.28,0.29,0.3,0.31,0.32,0.32,0.33,0.34,0.34,0.37,0.38,0.39,0.4,0.41,0.42,0.43,0.44,0.45,0.45,0.46,0.46,0.46,0.47,0.47,0.46,0.46,0.46,0.45,0.45,0.44,0.44,0.43,0.42,0.42,0.41,0.4,0.39,0.38,0.38,0.37,0.37,0.36,0.36,0.35,0.35,0.35,0.34,0.34,0.34,0.34,0.33,0.33,0.33,0.32,0.32,0.32,0.32,0.32,0.31,0.3,0.29,0.28,0.26,0.25,0.23,0.22,0.22,0.21,0.21,0.21,0.21,0.2,0.2,0.2,0.19,0.19,0.19,0.18,0.18,0.18,0.18,0.18,0.18,0.18,0.19,0.19,0.2,0.2,0.21,0.21,0.21,0.21,0.21,0.21,0.21,0.21,0.2,0.2,0.21,0.21,0.21,0.22,0.22,0.22,0.23,0.23,0.24,0.24,0.25,0.26,0.28,0.3,0.31,0.34,0.36,0.37,0.38,0.39,0.4,0.4,0.41,0.42,0.43,0.44,0.46,0.48,0.49,0.51,0.53,0.55,0.57,0.58,0.6,0.61,0.63,0.64,0.65,0.66,0.67,0.69,0.7,0.71,0.73,0.74,0.76,0.78,0.79,0.8,0.81,0.82,0.83,0.83,0.84,0.84,0.84,0.84,0.84,0.83,0.83,0.82,0.81,0.8,0.79,0.77,0.76,0.75,0.74,0.73,0.72,0.71,0.71,0.7,0.68,0.67,0.65,0.62,0.6,0.57,0.55,0.52,0.49,0.46,0.43,0.4,0.38,0.35,0.33,0.3,0.28,0.26,0.24,0.22,0.2,0.18,0.16,0.14,0.13,0.11,0.1,0.09,0.09,0.08,0.07,0.07,0.07,0.07,0.08,0.08,0.09,0.09,0.1,0.11,0.11,0.12,0.14,0.15,0.16,0.18,0.19,0.2,0.22,0.23,0.25,0.27,0.29,0.32,0.35,0.37,0.4,0.43,0.46,0.49,0.52,0.54,0.57,0.6,0.62,0.64,0.67,0.69,0.71,0.73,0.74,0.76,0.77,0.78,0.79,0.8,0.81,0.82,0.83,0.83,0.84,0.84,0.84,0.84,0.84,0.83,0.83,0.82,0.82,0.81,0.8,0.79,0.78,0.77,0.75,0.73,0.7,0.68,0.65,0.62,0.6,0.57,0.55,0.53,0.5,0.48,0.46,0.43,0.41,0.38,0.36,0.33,0.31,0.28,0.25,0.23,0.2,0.17,0.15,0.13,0.1,0.08,0.06,0.05,0.03,0.02,0.01,-0.01,-0.03,-0.04,-0.05,-0.06,-0.07,-0.08,-0.09,-0.09,-0.1,-0.1,-0.1,-0.1,-0.1,-0.1,-0.1,-0.09,-0.08,-0.06,-0.04,-0.02,0.0,0.02,0.04,0.05,0.06,0.07,0.07,0.08,0.08,0.09,0.09,0.1,0.1,0.11,0.12,0.14,0.15,0.16,0.18,0.2,0.21,0.23,0.25,0.26,0.28,0.29,0.3,0.31,0.32,0.33,0.34,0.35,0.36,0.37,0.38,0.4,0.41,0.42,0.43,0.44,0.45,0.45,0.46,0.47,0.48,0.48,0.49,0.49,0.49,0.49,0.5,0.5,0.51,0.52,0.53,0.55,0.56,0.58,0.61,0.63,0.65,0.68,0.7,0.72,0.74,0.76,0.77,0.78,0.8,0.81,0.82,0.83,0.84,0.84,0.85,0.86,0.87,0.88,0.88,0.89,0.9,0.91,0.92,0.92,0.92,0.92,0.92,0.91,0.91,0.9,0.9,0.89,0.88,0.87,0.85,0.84,0.82,0.81,0.79,0.77,0.75,0.73,0.71,0.69,0.67,0.64,0.61,0.58,0.55,0.52,0.49,0.45,0.42,0.38,0.35,0.32,0.29,0.27,0.24,0.21,0.19,0.16,0.14,0.12,0.1,0.08,0.06,0.04,0.03,0.01,-0.01,-0.02,-0.04,-0.05,-0.05,-0.06,-0.06,-0.06,-0.05,-0.05,-0.04,-0.02,-0.01,0.01,0.03,0.06,0.08,0.11,0.14,0.17,0.2,0.23,0.26,0.29,0.32,0.35,0.38,0.42,0.45,0.48,0.52,0.55,0.58,0.62,0.65,0.68,0.71,0.74,0.77,0.8,0.83,0.86,0.88,0.91,0.93,0.95,0.97,0.99,1.0,1.02,1.03,1.04,1.05,1.06,1.06,1.06,1.06,1.06,1.05,1.05,1.04,1.02,1.0,0.98,0.96,0.93,0.9,0.87,0.84,0.81,0.78,0.75,0.72,0.69,0.66,0.64,0.61,0.58,0.56,0.53,0.51,0.49,0.46,0.44,0.42,0.39,0.37,0.35,0.32,0.3,0.28,0.26,0.23,0.21,0.2,0.18,0.16,0.15,0.14,0.13,0.12,0.11,0.11,0.11,0.1,0.1,0.1,0.1,0.1,0.1,0.1,0.11,0.12,0.12,0.13,0.14,0.15,0.16,0.18,0.19,0.2,0.21,0.22,0.22,0.23,0.23,0.23,0.24,0.24,0.23,0.23,0.23,0.22,0.22,0.21,0.21,0.2,0.2,0.19,0.19,0.18,0.18,0.17,0.16,0.16,0.15,0.14,0.13,0.12,</t>
  </si>
  <si>
    <t>To_Avoid_Formula0.1,0.09,0.07,0.06,0.04,0.03,0.01,0.0,-0.02,-0.04,-0.05,-0.07,-0.09,-0.11,-0.12,-0.14,-0.15,-0.17,-0.18,-0.19,-0.21,-0.22,-0.23,-0.25,-0.26,-0.27,-0.28,-0.29,-0.29,-0.3,-0.3,-0.31,-0.31,-0.31,-0.31,-0.32,-0.32,-0.32,-0.32,-0.32,-0.31,-0.31,-0.31,-0.3,-0.3,-0.29,-0.29,-0.28,-0.28,-0.27,-0.26,-0.25,-0.25,-0.24,-0.23,-0.22,-0.21,-0.21,-0.2,-0.19,-0.18,-0.17,-0.17,-0.16,-0.16,-0.15,-0.15,-0.14,-0.14,-0.13,-0.13,-0.13,-0.13,-0.12,-0.12,-0.12,-0.12,-0.12,-0.12,-0.12,-0.12,-0.12,-0.12,-0.12,-0.12,-0.12,-0.12,-0.12,-0.12,-0.13,-0.13,-0.13,-0.13,-0.13,-0.13,-0.13,-0.12,-0.12,-0.12,-0.11,-0.11,-0.11,-0.1,-0.1,-0.09,-0.09,-0.08,-0.08,-0.07,-0.06,-0.06,-0.05,-0.04,-0.03,-0.02,-0.02,-0.01,0.0,0.01,0.02,0.03,0.04,0.05,0.07,0.08,0.09,0.1,0.12,0.13,0.14,0.15,0.16,0.17,0.18,0.19,0.2,0.21,0.22,0.22,0.23,0.23,0.23,0.23,0.23,0.23,0.23,0.23,0.23,0.22,0.22,0.21,0.2,0.2,0.19,0.18,0.17,0.16,0.15,0.14,0.13,0.12,0.11,0.1,0.09,0.07,0.06,0.05,0.04,0.02,0.01,-0.01,-0.02,-0.04,-0.06,-0.07,-0.09,-0.11,-0.12,-0.13,-0.15,-0.16,-0.17,-0.17,-0.18,-0.19,-0.2,-0.2,-0.21,-0.21,-0.21,-0.22,-0.22,-0.22,-0.21,-0.21,-0.21,-0.21,-0.21,-0.2,-0.2,-0.19,-0.19,-0.18,-0.17,-0.16,-0.15,-0.14,-0.13,-0.12,-0.11,-0.1,-0.08,-0.07,-0.06,-0.05,-0.03,-0.02,-0.01,0.01,0.02,0.04,0.05,0.07,0.08,0.09,0.11,0.12,0.13,0.14,0.16,0.17,0.18,0.18,0.19,0.2,0.2,0.21,0.22,0.22,0.23,0.23,0.23,0.24,0.24,0.24,0.24,0.23,0.23,0.23,0.22,0.22,0.21,0.21,0.2,0.19,0.18,0.17,0.16,0.15,0.14,</t>
  </si>
  <si>
    <t>To_Avoid_Formula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11.39,13.29,12.63,12.0,11.4,10.83,10.29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</t>
  </si>
  <si>
    <t>To_Avoid_Formula-0.6,-0.53,-0.47,-0.42,-0.38,-0.34,-0.31,-0.27,-0.24,-0.21,-0.19,-0.18,-0.18,-0.19,-0.2,-0.21,-0.22,-0.24,-0.24,-0.24,-0.22,-0.18,-0.14,-0.1,-0.06,-0.02,0.01,0.03,0.06,0.09,0.12,0.16,0.19,0.22,0.25,0.29,0.32,0.36,0.37,0.37,0.36,0.33,0.28,0.23,0.19,0.15,0.12,0.1,0.09,0.06,0.02,-0.05,-0.14,-0.26,-0.4,-0.55,-0.7,-0.83,-0.95,-1.02,-1.05,-1.05,-1.02,-0.97,-0.9,-0.83,-0.75,-0.67,-0.59,-0.51,-0.44,-0.36,-0.27,-0.19,-0.1,-0.01,0.08,0.16,0.23,0.29,0.34,0.38,0.41,0.43,0.45,0.47,0.49,0.51,0.53,0.54,0.54,0.52,0.5,0.47,0.43,0.42,0.43,0.49,0.58,0.68,0.77,0.85,0.91,0.94,0.93,0.91,0.89,0.87,0.86,0.86,0.87,0.88,0.88,0.87,0.87,0.88,0.89,0.92,0.94,0.96,0.96,0.95,0.91,0.87,0.82,0.78,0.74,0.72,0.72,0.73,0.74,0.75,0.75,0.73,0.7,0.66,0.6,0.52,0.43,0.34,0.25,0.15,0.06,-0.05,-0.14,-0.22,-0.27,-0.31,-0.33,-0.33,-0.33,-0.31,-0.28,-0.25,-0.21,-0.18,-0.14,-0.08,-0.01,0.08,0.18,0.28,0.39,0.5,0.62,0.73,0.83,0.93,1.01,1.07,1.11,1.14,1.16,1.14,1.1,1.03,0.93,0.79,0.63,0.46,0.29,0.15,0.04,-0.05,-0.11,-0.15,-0.2,-0.25,-0.3,-0.36,-0.43,-0.48,-0.54,-0.59,-0.63,-0.62,-0.58,-0.5,-0.41,-0.3,-0.17,-0.04,0.1,0.23,0.35,0.47,0.59,0.69,0.79,0.89,0.97,1.03,1.07,1.09,1.08,1.05,1.0,0.92,0.81,0.69,0.55,0.41,0.26,0.1,-0.06,-0.23,-0.39,-0.5,-0.56,-0.56,-0.51,-0.42,-0.3,-0.16,-0.01,0.14,0.31,0.49,0.7,0.92,1.15,1.38,1.6,1.81,2.0,2.17,2.32,2.44,2.55,2.64,2.71,2.74,2.75,2.73,2.69,2.64,2.57,2.5,2.45,2.43,2.46,2.52,2.62,2.75,2.89,3.04,3.18,3.33,3.49,3.65,3.8,3.95,4.09,4.21,4.32,4.42,4.51,4.6,4.68,4.74,4.79,4.82,4.82,4.8,4.75,4.65,4.48,4.25,4.0,3.78,3.6,3.47,3.38,3.28,3.14,2.95,2.72,2.51,2.34,2.22,2.15,2.13,2.15,2.19,2.24,2.29,2.32,2.31,2.27,2.2,2.12,2.02,1.91,1.8,1.7,1.63,1.61,1.63,1.67,1.74,1.83,1.93,2.05,2.2,2.38,2.58,2.81,3.06,3.32,3.56,3.79,4.0,4.19,4.36,4.5,4.59,4.65,4.7,4.72,4.73,4.72,4.68,4.61,4.49,4.33,4.11,3.84,3.52,3.16,2.79,2.41,2.08,1.79,1.6,1.51,1.53,1.66,1.86,2.08,2.31,2.52,2.71,2.86,2.96,3.04,3.08,3.08,3.02,2.9,2.73,2.52,2.26,1.96,1.62,1.25,0.88,0.51,0.16,-0.17,-0.48,-0.76,-1.02,-1.25,-1.4,-1.44,-1.33,-1.11,-0.8,-0.41,0.03,0.49,0.94,1.36,1.77,2.19,2.62,3.03,3.4,3.7,3.92,4.08,4.18,4.26,4.36,4.47,4.61,4.76,4.9,5.03,5.14,5.22,5.29,5.33,5.36,5.37,5.38,5.39,5.4,5.37,5.29,5.17,5.01,4.81,4.58,4.34,4.09,3.83,3.58,3.34,3.11,2.91,2.74,2.6,2.5,2.43,2.4,2.41,2.43,2.47,2.52,2.57,2.63,2.68,2.71,2.73,2.74,2.75,2.75,2.73,2.71,2.68,2.64,2.59,2.53,2.48,2.44,2.42,2.43,2.45,2.48,2.5,2.52,2.53,2.52,2.49,2.43,2.34,2.24,2.12,2.0,1.88,1.78,1.71,1.66,1.63,1.62,1.61,1.59,1.57,1.55,1.55,1.58,1.63,1.72,1.82,1.94,2.06,2.15,2.21,2.23,2.21,2.16,2.12,2.08,2.05,2.05,2.07,2.09,2.12,2.15,2.17,2.2,2.25,2.34,2.47,2.65,2.87,3.12,3.4,3.7,4.02,4.35,4.7,5.07,5.46,5.87,6.29,6.73,7.18,7.62,8.05,8.46,8.84,9.15,9.38,9.5,9.5,9.38,9.14,8.76,8.26,7.65,6.96,6.2,5.4,4.6,3.81,3.03,2.26,1.5,0.72,-0.04,-0.78,-1.48,-2.11,-2.66,-3.11,-3.48,-3.75,-3.95,-4.06,-4.1,-4.08,-4.01,-3.9,-3.76,-3.59,-3.4,-3.19,-2.96,-2.72,-2.5,-2.28,-2.08,-1.9,-1.74,-1.62,-1.52,-1.44,-1.39,-1.36,-1.35,-1.37,-1.43,-1.51,-1.62,-1.75,-1.88,-2.02,-2.14,-2.23,-2.29,-2.31,-2.3,-2.25,-2.18,-2.07,-1.92,-1.73,-1.5,-1.22,-0.91,-0.58,-0.25,0.06,0.35,0.64,0.94,1.29,1.7,2.18,2.77,3.47,4.27,5.12,5.97,6.76,7.47,8.11,8.67,9.15,9.56,9.88,10.12,10.29,10.4,10.46,10.49,10.48,10.43,10.33,10.18,9.97,9.72,9.42,9.1,8.75,8.4,8.06,7.72,7.39,7.07,6.77,6.48,6.2,5.93,5.67,5.42,5.16,4.9,4.61,4.31,3.97,3.61,3.23,2.83,2.42,2.0,1.57,1.12,0.67,0.22,-0.21,-0.61,-0.94,-1.21,-1.38,-1.45,-1.41,-1.27,-1.02,-0.68,-0.27,0.21,0.73,1.27,1.79,2.27,2.7,3.07,3.36,3.57,3.7,3.77,3.79,3.77,3.72,3.64,3.55,3.46,3.36,3.27,3.19,3.11,3.04,2.97,2.91,2.86,2.82,2.78,2.75,2.72,2.68,2.64,2.6,2.56,2.53,2.5,2.48,2.46,2.44,2.42,2.38,2.35,2.3,2.26,2.23,2.19,2.17,2.15,2.15,2.15,2.17,2.19,2.21,2.25,2.29,2.36,2.44,2.55,2.68,2.82,2.97,3.11,3.23,3.33,3.39,3.43,3.44,3.43,3.38,3.29,3.14,2.95,2.71,2.44,2.14,1.83,1.51,1.21,0.93,0.67,0.44,0.24,0.07,-0.06,-0.16,-0.23,-0.27,-0.29,-0.28,-0.26,-0.22,-0.15,-0.06,0.07,0.23,0.42,0.65,0.91,1.19,1.49</t>
  </si>
  <si>
    <t>To_Avoid_Formula,1.8,2.1,2.39,2.65,2.87,3.04,3.15,3.2,3.16,3.05,2.88,2.66,2.41,2.14,1.85,1.56,1.27,1.0,0.76,0.56,0.41,0.31,0.27,0.28,0.33,0.41,0.51,0.63,0.75,0.86,0.97,1.07,1.15,1.2,1.23,1.23,1.19,1.14,1.07,0.99,0.91,0.83,0.77,0.73,0.72,0.72,0.75,0.81,0.91,1.03,1.19,1.35,1.53,1.7,1.86,2.0,2.12,2.2,2.26,2.29,2.3,2.29,2.26,2.23,2.18,2.13,2.07,2.01,1.95,1.89,1.83,1.77,1.73,1.7,1.68,1.68,1.7,1.74,1.78,1.83,1.88,1.94,1.98,2.02,2.03,2.04,2.03,2.02,2.0,1.99,1.98,1.98,1.98,2.0,2.03,2.07,2.12,2.16,2.21,2.25,2.3,2.36,2.43,2.5,2.56,2.62,2.66,2.7,2.72,2.72,2.72,2.7,2.69,2.67,2.66,2.65,2.64,2.63,2.62,2.6,2.56,2.51,2.45,2.37,2.28,2.19,2.1,2.02,1.95,1.89,1.85,1.82,1.8,1.77,1.74,1.69,1.61,1.5,1.35,1.16,0.94,0.68,0.38,0.06,-0.28,-0.63,-0.99,-1.34,-1.66,-1.95,-2.19,-2.37,-2.48,-2.5,-2.43,-2.27,-2.03,-1.72,-1.35,-0.95,-0.51,-0.06,0.39,0.84,1.3,1.75,2.21,2.64,3.0,3.29,3.51,3.64,3.71,3.7,3.64,3.52,3.35,3.16,2.94,2.71,2.47,2.24,2.01,1.81,1.62,1.45,1.32,1.22,1.13,1.07,1.01,0.96,0.91,0.88,0.84,0.8,0.75,0.69,0.61,0.52,0.41,0.3,0.17,0.04,-0.09,-0.21,-0.31,-0.39,-0.43,-0.42,-0.38,-0.29,-0.19,-0.08,0.04,0.15,0.26,0.38,0.5,0.62,0.76,0.9,1.05,1.2,1.35,1.49,1.62,1.75,1.86,1.96,2.03,2.09,2.13,2.15,2.16,2.15,2.13,2.1,2.06,2.03,1.99,1.96,1.94,1.92,1.91,1.91,1.92,1.93,1.96,1.98,1.97,1.93,1.87,1.8,1.71,1.63,1.55,1.48,1.42,1.37,1.34,1.32,1.32,1.33,1.35,1.37,1.4,1.43,1.46,1.5,1.53,1.55,1.57,1.57,1.56,1.54,1.52,1.49,1.45,1.41,1.38,1.35,</t>
  </si>
  <si>
    <t>To_Avoid_Formula-0.24,-0.33,-0.32,-0.26,-0.26,-0.32,-0.36,-0.35,-0.34,-0.26,-0.15,-0.13,-0.27,-0.43,-0.51,-0.59,-0.79,-1.08,-1.33,-1.57,-1.8,-2.01,-2.12,-2.16,-2.12,-2.03,-1.93,-1.9,-1.89,-1.83,-1.74,-1.73,-1.76,-1.72,-1.55,-1.36,-1.18,-0.94,-0.64,-0.36,-0.17,0.04,0.26,0.43,0.5,0.57,0.65,0.75,0.88,1.04,1.22,1.36,1.46,1.52,1.53,1.38,1.12,0.83,0.56,0.31,0.02,-0.19,-0.34,-0.51,-0.66,-0.7,-0.6,-0.47,-0.37,-0.19,0.0,0.08,0.11,0.13,0.16,0.18,0.24,0.34,0.45,0.55,0.56,0.54,0.52,0.48,0.48,0.58,0.73,0.86,1.04,1.27,1.39,1.33,1.14,1.03,1.02,1.0,1.01,1.06,1.12,1.16,1.16,1.17,1.16,1.09,1.07,1.06,1.04,0.95,0.8,0.63,0.33,-0.05,-0.29,-0.38,-0.44,-0.61,-0.68,-0.5,-0.17,0.12,0.37,0.54,0.56,0.49,0.36,0.18,-0.02,-0.15,-0.17,-0.06,0.08,0.16,0.26,0.33,0.25,-0.01,-0.22,-0.32,-0.4,-0.5,-0.61,-0.68,-0.77,-0.9,-1.01,-1.03,-1.03,-0.96,-0.77,-0.51,-0.34,-0.21,-0.04,0.1,0.09,-0.03,-0.1,-0.05,0.01,0.01,0.05,0.1,0.07,-0.03,-0.03,-0.09,-0.27,-0.49,-0.57,-0.57,-0.56,-0.52,-0.48,-0.39,-0.32,-0.26,-0.21,-0.24,-0.43,-0.62,-0.72,-0.84,-1.04,-1.22,-1.26,-1.23,-1.3,-1.4,-1.46,-1.49,-1.62,-1.73,-1.69,-1.56,-1.48,-1.43,-1.33,-1.2,-1.1,-1.0,-0.97,-0.96,-0.95,-0.92,-0.95,-1.11,-1.28,-1.36,-1.37,-1.3,-1.07,-0.72,-0.39,-0.06,0.41,1.0,1.46,1.7,1.82,1.94,2.12,2.26,2.42,2.55,2.58,2.58,2.67,2.78,2.8,2.66,2.52,2.33,2.16,2.07,2.0,1.85,1.61,1.36,1.08,0.79,0.49,0.22,-0.03,-0.25,-0.35,-0.3,-0.18,-0.12,-0.19,-0.49,-0.95,-1.46,-1.96,-2.59,-3.2,-3.49,-3.61,-3.75,-4.01,-4.21,-4.4,-4.52,-4.58,-4.52,-4.4,-4.13,-3.53,-2.83,-2.25,-1.72,-1.1,-0.33,0.46,1.15,1.66,2.1,2.46,2.61,2.57,2.48,2.35,2.14,1.88,1.62,1.38,1.24,1.22,1.15,1.03,0.98,1.03,1.03,0.91,0.75,0.59,0.47,0.35,0.17,0.0,-0.06,-0.04,-0.06,-0.03,0.07,0.1,-0.01,-0.21,-0.42,-0.58,-0.72,-0.84,-0.99,-1.08,-1.06,-0.98,-0.87,-0.65,-0.28,0.13,0.48,0.78,0.98,1.19,1.47,1.75,1.83,1.77,1.78,1.81,1.71,1.53,1.47,1.5,1.53,1.6,1.78,1.95,1.94,1.75,1.55,1.45,1.39,1.31,1.17,1.04,1.0,1.01,0.9,0.69,0.53,0.43,0.18,-0.25,-0.71,-1.26,-1.82,-2.13,-2.03,-1.79,-1.78,-2.12,-2.35,-2.35,-2.32,-2.37,-2.36,-2.18,-2.19,-2.61,-3.2,-3.68,-4.29,-5.2,-6.14,-6.55,-6.19,-4.9,-3.22,-1.87,-1.09,-0.53,-0.23,-0.34,-0.61,-0.96,-1.02,-0.69,-0.19,0.32,0.71,0.93,1.15,1.51,1.91,2.34,2.79,3.13,3.34,3.54,3.9,4.23,4.31,4.17,4.11,4.28,4.39,4.23,3.83,3.53,3.45,3.38,3.03,2.43,1.94,1.65,1.44,1.0,0.4,-0.11,-0.49,-0.75,-0.91,-1.07,-1.2,-1.26,-1.29,-1.44,-1.68,-1.85,-1.89,-1.92,-1.99,-2.03,-2.0,-1.94,-1.83,-1.59,-1.15,-0.63,-0.25,-0.04,0.07,0.34,0.68,0.84,0.83,0.9,1.15,1.4,1.59,1.78,1.94,2.01,2.03,2.1,2.19,2.24,2.29,2.35,2.39,2.43,2.54,2.58,2.46,2.24,1.98,1.62,1.19,0.81,0.51,0.24,0.02,-0.2,-0.45,-0.63,-0.7,-0.78,-0.99,-1.22,-1.39,-1.49,-1.6,-1.72,-1.76,-1.6,-1.29,-1.04,-0.96,-1.07,-1.19,-1.28,-1.48,-1.72,-1.86,-1.96,-2.11,-2.16,-2.02,-1.84,-1.71,-1.54,-1.35,-1.15,-0.93,-0.63,-0.36,-0.13,0.14,0.41,0.57,0.64,0.72,0.77,0.73,0.66,0.61,0.55,0.45,0.44,0.52,0.58,0.62,0.65,0.68,0.66,0.67,0.73,0.73,0.66,0.65,0.7,0.68,0.57,0.46,0.39,0.44,0.59,0.71,0.71,0.63,0.51,0.36,0.12,-0.11,-0.18,-0.21,-0.29,-0.34,-0.18,0.01,0.07,0.02,0.03,0.1,0.11,0.17,0.34,0.48,0.52,0.53,0.5,0.42,0.34,0.27,0.08,-0.23,-0.51,-0.69,-0.79,-0.75,-0.65,-0.47,-0.25,0.0,0.13,-0.04,-0.43,-0.81,-0.94,-0.97,-1.03,-1.22,-1.51,-1.92,-2.26,-2.39,-2.41,-2.31,-2.07,-1.75,-1.5,-1.3,-1.04,-0.76,-0.53,-0.3,-0.04,0.09,0.07,0.01,-0.1,-0.31,-0.55,-0.68,-0.53,-0.05,0.55,1.17,1.76,2.23,2.61,2.91,3.18,3.55,3.91,4.13,4.2,4.2,4.15,4.01,3.69,3.26,2.96,2.89,2.89,2.83,2.68,2.64,2.76,2.98,3.07,2.99,2.88,2.69,2.28,1.73,1.24,0.78,0.29,-0.15,-0.43,-0.58,-0.61,-0.57,-0.56,-0.69,-0.97,-1.31,-1.59,-2.0,-2.38,-2.59,-2.6,-2.57,-2.6,-2.79,-3.02,-3.22,-3.35,-3.47,-3.71,-4.05,-4.47,-4.83,-5.11,-5.17,-5.03,-4.61,-3.97,-2.98,-2.05,-1.59,-1.55,-1.8,-2.02,-2.11,-2.08,-1.98,-1.66,-1.24,-0.84,-0.49,-0.15,0.15,0.38,0.63,0.97,1.43,1.87,2.29,2.65,2.97,3.25,3.51,3.65,3.56,3.37,3.16,2.89,2.47,1.96,1.5,1.11,0.82,0.58,0.43,0.32,0.3,0.39,0.46,0.38,0.17,0.08,0.08,0.18,0.2,0.16,0.07,0.02,-0.05,-0.11,-0.15,-0.13,-0.02,0.0</t>
  </si>
  <si>
    <t>To_Avoid_Formula1,-0.09,-0.35,-0.53,-0.61,-0.76,-1.05,-1.33,-1.54,-1.73,-1.88,-1.98,-2.02,-1.99,-1.85,-1.68,-1.54,-1.38,-1.19,-1.07,-1.01,-0.97,-0.93,-0.94,-0.94,-1.03,-1.16,-1.27,-1.28,-1.37,-1.5,-1.56,-1.57,-1.62,-1.69,-1.71,-1.76,-1.73,-1.63,-1.57,-1.54,-1.46,-1.35,-1.28,-1.22,-1.06,-0.83,-0.56,-0.25,0.18,0.67,1.06,1.31,1.46,1.46,1.26,0.88,0.39,-0.03,-0.3,-0.53,-0.75,-0.97,-1.2,-1.36,-1.47,-1.5,-1.51,-1.47,-1.39,-1.26,-1.12,-0.92,-0.67,-0.47,-0.38,-0.32,-0.18,-0.03,0.12,0.28,0.42,0.5,0.58,0.71,0.84,0.95,1.08,1.26,1.42,1.53,1.64,1.76,1.89,2.03,2.07,2.0,1.9,1.83,1.67,1.48,1.35,1.22,1.06,0.94,0.86,0.73,0.57,0.47,0.37,0.22,0.09,-0.05,-0.19,-0.29,-0.37,-0.51,-0.6,-0.57,-0.48,-0.41,-0.36,-0.27,-0.19,-0.08,0.01,0.08,0.16,0.3,0.43,0.5,0.6,0.75,0.87,0.95,1.03,1.09,1.12,1.14,1.13,1.07,1.05,1.12,1.2,1.25,1.31,1.38,1.45,1.49,1.52,1.48,1.45,1.44,1.4,1.33,1.27,1.2,1.09,1.0,0.91,0.76,0.62,0.56,0.54,0.46,0.31,0.16,0.06,0.02,-0.01,-0.08,-0.18,-0.24,-0.26,-0.27,-0.31,-0.34,-0.41,-0.47,-0.45,-0.4,-0.42,-0.48,-0.54,-0.63,-0.73,-0.82,-0.91,-1.04,-1.15,-1.27,-1.43,-1.64,-1.86,-2.11,-2.36,-2.57,-2.71,-2.83,-2.92,-2.92,-2.81,-2.63,-2.33,-1.97,-1.58,-1.13,-0.61,-0.11,0.37,0.91,1.47,2.0,2.48,2.93,3.33,3.69,3.99,4.23,4.48,4.74,4.96,5.07,5.15,5.16,5.09,4.89,4.69,4.44,4.15,3.83,3.47,3.08,2.64,2.27,1.88,1.44,1.02,0.66,0.34,0.02,-0.33,-0.72,-1.07,-1.33,-1.55,-1.85,-2.18,-2.48,-2.84,-3.21,-3.41,-3.45,-3.42,-3.32,-3.17,-3.04,-2.97,-2.91,-2.84,-2.79,-2.74,-2.63,-2.5,-2.38,-2.36,-2.37,-2.35,-2.28,-2.16,-2.02,-1.84,-1.63,-1.43,-1.19,-0.85,-0.52,-0.21,0.1,0.42,0.64,0.77,0.86,0.83,0.68,0.52,0.33,0.16,0.17,0.26,0.38,0.5,0.63,0.69,0.67,0.67,0.72,0.77,0.74,0.6,0.35,0.14,0.04,-0.02,-0.16,-0.27,-0.31,-0.33,-0.33,-0.36,-0.47,-0.6,-0.69,-0.74,-0.82,-0.94,-1.05,-1.13,-1.15,-1.18,</t>
  </si>
  <si>
    <t>To_Avoid_Formula3.9,3.87,3.9,3.93,3.9,3.82,3.76,3.72,3.66,3.61,3.6,3.58,3.45,3.33,3.24,3.15,3.01,2.85,2.71,2.56,2.37,2.2,2.07,2.0,1.97,1.98,2.0,1.97,1.93,1.92,1.94,1.88,1.74,1.65,1.66,1.68,1.69,1.73,1.83,1.94,2.02,2.12,2.25,2.33,2.35,2.38,2.44,2.47,2.5,2.54,2.63,2.69,2.7,2.7,2.68,2.58,2.4,2.21,2.03,1.85,1.62,1.44,1.3,1.14,0.97,0.91,0.94,0.94,0.89,0.88,0.86,0.73,0.53,0.32,0.13,-0.01,-0.05,0.01,0.12,0.23,0.28,0.32,0.37,0.42,0.5,0.66,0.86,1.06,1.28,1.52,1.66,1.62,1.45,1.33,1.29,1.24,1.22,1.23,1.25,1.24,1.21,1.2,1.21,1.21,1.28,1.38,1.51,1.6,1.66,1.72,1.69,1.6,1.58,1.66,1.66,1.54,1.41,1.39,1.37,1.28,1.18,1.1,0.96,0.77,0.62,0.57,0.57,0.58,0.62,0.71,0.78,0.78,0.78,0.76,0.66,0.48,0.36,0.36,0.4,0.43,0.44,0.44,0.37,0.21,-0.01,-0.18,-0.32,-0.41,-0.41,-0.28,-0.14,0.03,0.22,0.38,0.43,0.38,0.35,0.42,0.54,0.67,0.86,1.05,1.17,1.21,1.32,1.42,1.39,1.27,1.21,1.23,1.23,1.21,1.14,1.13,1.11,1.09,1.06,0.95,0.73,0.49,0.32,0.18,-0.02,-0.23,-0.34,-0.39,-0.51,-0.67,-0.76,-0.81,-0.92,-1.04,-1.05,-1.01,-1.13,-1.2,-1.25,-1.31,-1.36,-1.37,-1.42,-1.51,-1.59,-1.66,-1.79,-2.04,-2.34,-2.57,-2.78,-2.96,-3.02,-2.94,-2.85,-2.74,-2.54,-2.23,-1.98,-1.87,-1.77,-1.56,-1.25,-0.94,-0.6,-0.25,0.05,0.31,0.62,0.88,0.93,0.77,0.62,0.4,0.2,0.1,0.07,0.04,-0.08,-0.23,-0.4,-0.56,-0.7,-0.83,-1.01,-1.19,-1.28,-1.25,-1.19,-1.21,-1.27,-1.41,-1.62,-1.89,-2.18,-2.58,-2.97,-3.15,-3.21,-3.28,-3.42,-3.52,-3.59,-3.72,-3.84,-3.92,-4.04,-4.14,-4.07,-3.93,-3.9,-3.91,-3.88,-3.8,-3.73,-3.65,-3.59,-3.54,-3.48,-3.44,-3.46,-3.48,-3.52,-3.63,-3.75,-3.83,-3.91,-4.04,-4.16,-4.3,-4.44,-4.54,-4.6,-4.69,-4.77,-4.73,-4.64,-4.57,-4.59,-4.69,-4.82,-4.88,-4.88,-4.93,-5.0,-4.99,-4.94,-4.95,-5.01,-5.07,-5.1,-5.12,-5.14,-5.15,-5.12,-5.06,-5.0,-4.93,-4.84,-4.69,-4.51,-4.38,-4.3,-4.26,-4.14,-3.94,-3.76,-3.71,-3.66,-3.46,-3.18,-2.93,-2.7,-2.42,-2.14,-1.87,-1.59,-1.28,-1.06,-1.03,-1.12,-1.22,-1.27,-1.3,-1.35,-1.44,-1.52,-1.54,-1.52,-1.55,-1.6,-1.61,-1.59,-1.57,-1.57,-1.64,-1.81,-2.02,-2.06,-1.89,-1.69,-1.61,-1.71,-1.77,-1.75,-1.8,-1.97,-2.08,-2.0,-2.06,-2.48,-3.02,-3.46,-4.01,-4.8,-5.55,-5.95,-5.95,-5.56,-5.01,-4.45,-3.98,-3.44,-3.01,-2.85,-2.74,-2.59,-2.26,-1.74,-1.04,-0.23,0.51,0.92,1.14,1.36,1.59,1.84,2.11,2.35,2.58,2.93,3.44,3.83,3.97,3.93,3.97,4.15,4.27,4.2,4.03,3.95,3.95,3.88,3.65,3.29,2.98,2.78,2.65,2.4,2.03,1.71,1.46,1.25,1.09,0.97,0.88,0.85,0.85,0.78,0.61,0.51,0.52,0.51,0.43,0.35,0.32,0.29,0.27,0.32,0.47,0.68,0.82,0.91,0.96,1.13,1.38,1.59,1.72,1.91,2.21,2.47,2.66,2.85,3.05,3.21,3.32,3.42,3.5,3.62,3.78,3.94,4.04,4.14,4.3,4.43,4.45,4.39,4.32,4.18,4.01,3.84,3.69,3.57,3.51,3.46,3.34,3.21,3.13,3.05,2.9,2.72,2.59,2.47,2.36,2.24,2.15,2.13,2.2,2.27,2.23,2.09,1.96,1.84,1.64,1.42,1.3,1.22,1.12,1.06,1.09,1.1,1.08,1.11,1.15,1.17,1.19,1.31,1.46,1.65,1.9,2.16,2.33,2.45,2.62,2.81,2.95,3.05,3.18,3.28,3.37,3.51,3.67,3.77,3.83,3.87,3.87,3.83,3.78,3.8,3.83,3.83,3.89,3.98,4.0,3.99,4.01,4.05,4.11,4.21,4.3,4.32,4.26,4.15,4.0,3.78,3.58,3.43,3.26,3.1,3.01,3.02,2.99,2.89,2.76,2.69,2.65,2.58,2.54,2.57,2.57,2.54,2.51,2.43,2.31,2.22,2.14,1.96,1.72,1.52,1.39,1.29,1.28,1.31,1.4,1.54,1.71,1.82,1.77,1.6,1.41,1.29,1.21,1.14,1.04,0.84,0.55,0.33,0.23,0.12,0.03,0.05,0.22,0.37,0.44,0.5,0.57,0.59,0.58,0.6,0.56,0.41,0.23,0.07,-0.17,-0.46,-0.62,-0.52,-0.18,0.2,0.62,1.08,1.49,1.86,2.15,2.4,2.7,3.01,3.29,3.49,3.67,3.8,3.86,3.85,3.8,3.76,3.75,3.74,3.68,3.57,3.48,3.45,3.45,3.4,3.31,3.24,3.11,2.82,2.44,2.17,1.97,1.76,1.54,1.38,1.32,1.35,1.4,1.39,1.23,0.94,0.64,0.39,0.05,-0.22,-0.27,-0.14,0.01,0.05,-0.09,-0.27,-0.44,-0.56,-0.71,-1.02,-1.41,-1.85,-2.25,-2.65,-2.94,-3.06,-2.87,-2.43,-1.63,-0.82,-0.34,-0.17,-0.25,-0.42,-0.56,-0.61,-0.6,-0.41,-0.15,0.1,0.28,0.44,0.59,0.73,0.86,1.02,1.21,1.38,1.48,1.52,1.48,1.4,1.31,1.22,1.1,0.92,0.76,0.62,0.47,0.27,0.13,-0.02,-0.13,-0.22,-0.19,-0.12,-0.01,0.14,0.3,0.44,0.56,0.74,0.9,1.05,1.13,1.19,1.18,1.13,1.03,0.94,0.87,0.82,0.77,0.69,0.58,0.36,0.18,0.05,-0.1,-0.37,-0.66,-0.92,-1.16,-1.39,-1.57,-1.72,-1.85,-1.93,-2.0,-2.07,-2.09,-2.06,-2.09,-2.13,-2.17,-2</t>
  </si>
  <si>
    <t>To_Avoid_Formula.19,-2.26,-2.31,-2.4,-2.52,-2.64,-2.74,-2.92,-3.15,-3.33,-3.5,-3.75,-4.04,-4.25,-4.47,-4.61,-4.7,-4.83,-4.98,-5.08,-5.13,-5.22,-5.28,-5.24,-5.14,-5.03,-4.9,-4.67,-4.37,-4.12,-3.97,-3.94,-4.11,-4.39,-4.74,-5.15,-5.48,-5.69,-5.86,-6.01,-6.18,-6.36,-6.45,-6.49,-6.49,-6.53,-6.56,-6.55,-6.49,-6.44,-6.39,-6.31,-6.24,-6.19,-6.13,-6.02,-5.91,-5.8,-5.68,-5.53,-5.44,-5.36,-5.25,-5.11,-4.98,-4.85,-4.72,-4.6,-4.48,-4.33,-4.2,-4.09,-3.97,-3.88,-3.86,-3.87,-3.88,-3.95,-4.07,-4.14,-4.21,-4.31,-4.39,-4.41,-4.47,-4.54,-4.57,-4.61,-4.69,-4.74,-4.77,-4.84,-4.92,-4.99,-5.1,-5.21,-5.23,-5.22,-5.23,-5.24,-5.21,-5.17,-5.11,-5.04,-5.0,-4.97,-4.9,-4.81,-4.74,-4.63,-4.49,-4.36,-4.22,-4.05,-3.88,-3.75,-3.63,-3.51,-3.41,-3.31,-3.13,-2.94,-2.75,-2.54,-2.3,-2.04,-1.79,-1.55,-1.36,-1.17,-0.95,-0.73,-0.55,-0.37,-0.23,-0.11,-0.02,0.06,0.08,0.1,0.16,0.23,0.27,0.28,0.29,0.31,0.32,0.33,0.33,0.3,0.25,0.2,0.14,0.08,0.04,-0.04,-0.11,-0.1,-0.06,-0.05,-0.05,-0.03,-0.03,-0.05,-0.03,0.0,-0.01,-0.01,0.02,0.03,0.02,0.03,0.06,0.1,0.17,0.3,0.42,0.6,0.85,1.1,1.34,1.66,2.01,2.31,2.61,2.94,3.24,3.52,3.86,4.23,4.57,4.91,5.28,5.65,6.02,6.36,6.69,7.02,7.41,7.79,8.08,8.33,8.56,8.76,8.86,8.92,8.94,8.91,8.86,8.77,8.63,8.4,8.19,7.95,7.67,7.36,7.07,6.79,6.53,6.28,6.0,5.73,5.54,5.4,5.22,5.02,4.84,4.6,4.3,4.06,3.9,3.77,3.69,3.65,3.53,3.33,3.14,3.0,2.85,2.72,2.67,2.67,2.7,2.72,2.73,2.75,2.82,2.92,3.03,3.17,3.31,3.41,3.52,3.72,3.93,4.09,4.26,4.46,4.62,4.75,4.9,4.98,4.97,4.96,4.95,4.92,4.92,4.94,4.95,4.95,4.94,4.86,4.67,4.48,4.35,4.21,4.05,3.87,3.64,3.42,3.25,3.11,2.93,2.76,2.61,2.45,2.3,2.15,1.95,1.72,1.52,1.38,1.25,1.12,1.02,0.93,0.87,0.79,</t>
  </si>
  <si>
    <t>To_Avoid_Formula-0.22,-0.24,-0.24,-0.27,-0.38,-0.51,-0.61,-0.7,-0.84,-1.0,-1.12,-1.17,-1.24,-1.29,-1.33,-1.35,-1.35,-1.3,-1.22,-1.16,-1.16,-1.16,-1.13,-1.07,-1.0,-0.89,-0.77,-0.7,-0.64,-0.54,-0.41,-0.4,-0.47,-0.52,-0.5,-0.47,-0.48,-0.48,-0.43,-0.35,-0.27,-0.15,-0.03,0.04,0.08,0.16,0.26,0.29,0.25,0.22,0.27,0.27,0.22,0.17,0.15,0.12,0.05,0.02,-0.02,-0.05,-0.12,-0.16,-0.17,-0.2,-0.24,-0.19,-0.1,-0.08,-0.15,-0.22,-0.33,-0.54,-0.84,-1.13,-1.37,-1.51,-1.47,-1.3,-1.04,-0.77,-0.57,-0.37,-0.13,0.1,0.33,0.62,0.92,1.2,1.46,1.68,1.79,1.72,1.53,1.36,1.26,1.16,1.08,1.04,0.99,0.88,0.79,0.74,0.74,0.77,0.88,1.05,1.27,1.46,1.67,1.87,2.03,2.15,2.27,2.45,2.43,2.27,2.03,1.76,1.34,0.82,0.32,-0.04,-0.35,-0.66,-0.81,-0.72,-0.5,-0.34,-0.22,-0.14,-0.14,-0.23,-0.33,-0.45,-0.56,-0.64,-0.64,-0.52,-0.34,-0.15,0.0,0.1,0.08,-0.09,-0.37,-0.62,-0.83,-0.99,-1.08,-1.01,-0.83,-0.58,-0.33,-0.14,-0.03,0.0,0.01,0.1,0.28,0.52,0.83,1.12,1.32,1.43,1.58,1.75,1.8,1.69,1.6,1.56,1.5,1.37,1.14,0.97,0.82,0.68,0.52,0.32,0.05,-0.23,-0.44,-0.56,-0.7,-0.86,-0.96,-0.99,-1.07,-1.17,-1.18,-1.11,-1.07,-1.07,-1.0,-0.91,-0.97,-1.02,-1.09,-1.18,-1.24,-1.22,-1.21,-1.25,-1.29,-1.32,-1.39,-1.56,-1.79,-1.98,-2.17,-2.36,-2.47,-2.44,-2.36,-2.29,-2.17,-2.0,-1.85,-1.77,-1.62,-1.26,-0.77,-0.3,0.2,0.71,1.18,1.58,1.97,2.2,2.1,1.75,1.42,1.04,0.69,0.49,0.4,0.39,0.31,0.2,0.07,0.01,0.0,0.0,-0.11,-0.24,-0.29,-0.23,-0.22,-0.29,-0.32,-0.26,-0.17,-0.13,-0.14,-0.18,-0.2,-0.1,0.1,0.28,0.43,0.62,0.87,0.93,0.95,0.95,0.81,0.54,0.29,0.06,-0.28,-0.67,-1.06,-1.52,-2.03,-2.43,-2.69,-2.93,-3.07,-3.05,-2.98,-2.84,-2.72,-2.64,-2.55,-2.35,-2.18,-2.19,-2.3,-2.39,-2.43,-2.45,-2.49,-2.54,-2.44,-2.08,-1.61,-1.25,-1.06,-0.99,-0.97,-0.92,-0.83,-0.82,-0.89,-0.87,-0.69,-0.5,-0.35,-0.17,0.02,0.19,0.35,0.57,0.78,0.94,1.04,1.11,1.1,1.06,1.01,0.89,0.72,0.57,0.56,0.62,0.61,0.55,0.62,0.89,1.29,1.75,2.22,2.63,2.96,3.21,3.45,3.61,3.58,3.35,3.06,2.78,2.51,2.25,1.98,1.7,1.46,1.25,1.06,0.93,0.85,0.8,0.78,0.9,1.15,1.32,1.37,1.41,1.53,1.66,1.71,1.73,1.77,1.78,1.7,1.48,1.1,0.83,0.74,0.58,0.14,-0.33,-0.66,-1.04,-1.53,-1.86,-1.94,-2.0,-2.21,-2.55,-2.61,-2.3,-1.7,-1.1,-0.66,-0.19,0.46,1.15,1.78,2.55,3.49,4.32,4.63,4.51,4.27,3.98,3.71,3.42,3.17,3.02,3.12,3.34,3.34,3.06,2.64,2.33,2.08,1.77,1.36,1.0,0.75,0.46,0.05,-0.39,-0.79,-1.16,-1.47,-1.7,-1.92,-2.17,-2.39,-2.56,-2.73,-2.86,-2.93,-2.94,-2.89,-2.8,-2.75,-2.76,-2.7,-2.54,-2.43,-2.43,-2.43,-2.39,-2.39,-2.41,-2.43,-2.44,-2.46,-2.45,-2.4,-2.34,-2.22,-2.01,-1.74,-1.45,-1.14,-0.82,-0.58,-0.45,-0.34,-0.19,-0.04,0.04,0.05,0.02,0.07,0.2,0.33,0.35,0.35,0.41,0.45,0.45,0.4,0.37,0.32,0.28,0.24,0.18,0.14,0.2,0.29,0.28,0.2,0.11,0.04,-0.04,-0.11,-0.16,-0.23,-0.27,-0.29,-0.32,-0.42,-0.5,-0.53,-0.59,-0.66,-0.7,-0.73,-0.79,-0.85,-0.79,-0.67,-0.56,-0.45,-0.36,-0.35,-0.37,-0.32,-0.27,-0.29,-0.32,-0.26,-0.11,0.12,0.42,0.71,0.91,1.09,1.34,1.64,1.91,2.15,2.38,2.58,2.76,2.96,3.09,3.13,3.09,3.01,2.86,2.67,2.46,2.32,2.26,2.24,2.25,2.26,2.21,2.18,2.22,2.26,2.21,2.13,2.07,1.98,1.82,1.61,1.36,1.08,0.85,0.57,0.25,0.0,-0.12,-0.26,-0.49,-0.73,-0.92,-1.04,-1.14,-1.23,-1.32,-1.4,-1.48,-1.53,-1.56,-1.62,-1.72,-1.76,-1.78,-1.85,-1.91,-1.9,-1.85,-1.81,-1.73,-1.63,-1.48,-1.32,-1.12,-0.94,-0.8,-0.67,-0.57,-0.56,-0.58,-0.52,-0.42,-0.39,-0.39,-0.32,-0.21,-0.22,-0.31,-0.32,-0.13,0.07,0.15,0.14,0.12,0.04,-0.12,-0.23,-0.35,-0.52,-0.7,-0.8,-0.93,-1.12,-1.15,-0.92,-0.58,-0.32,-0.04,0.31,0.63,0.92,1.11,1.21,1.31,1.4,1.53,1.64,1.77,1.83,1.85,1.91,2.01,2.0,1.82,1.58,1.33,1.06,0.74,0.38,-0.01,-0.36,-0.61,-0.78,-0.97,-1.26,-1.52,-1.61,-1.57,-1.5,-1.48,-1.46,-1.38,-1.24,-1.12,-1.11,-1.25,-1.46,-1.63,-1.72,-1.84,-1.82,-1.52,-1.07,-0.64,-0.39,-0.32,-0.29,-0.26,-0.19,-0.18,-0.34,-0.56,-0.74,-0.89,-1.09,-1.24,-1.27,-0.96,-0.41,0.46,1.31,1.91,2.26,2.4,2.35,2.24,2.18,2.17,2.3,2.45,2.56,2.55,2.51,2.47,2.45,2.4,2.31,2.12,1.89,1.56,1.15,0.63,0.06,-0.52,-0.93,-1.18,-1.43,-1.6,-1.66,-1.57,-1.46,-1.29,-1.19,-1.1,-1.0,-0.77,-0.5,-0.25,-0.03,0.21,0.54,0.95,1.35,1.59,1.72,1.76,1.83,1.79,1.67,1.45</t>
  </si>
  <si>
    <t>To_Avoid_Formula,1.26,1.1,0.9,0.65,0.43,0.25,0.07,-0.1,-0.26,-0.39,-0.59,-0.82,-1.03,-1.21,-1.38,-1.49,-1.59,-1.7,-1.83,-1.96,-2.04,-2.06,-2.03,-2.03,-2.0,-1.95,-1.87,-1.83,-1.76,-1.68,-1.6,-1.57,-1.57,-1.65,-1.76,-1.84,-1.95,-2.17,-2.42,-2.55,-2.65,-2.66,-2.66,-2.69,-2.72,-2.69,-2.61,-2.56,-2.46,-2.25,-2.01,-1.82,-1.65,-1.42,-1.14,-0.9,-0.73,-0.74,-0.97,-1.23,-1.42,-1.57,-1.64,-1.59,-1.47,-1.34,-1.23,-1.13,-0.92,-0.66,-0.41,-0.27,-0.16,-0.02,0.15,0.29,0.36,0.41,0.48,0.61,0.77,0.96,1.09,1.21,1.34,1.52,1.62,1.68,1.77,1.88,1.97,2.03,2.04,2.03,2.05,2.1,2.12,2.06,2.0,1.98,1.93,1.83,1.72,1.56,1.36,1.21,1.08,0.9,0.75,0.67,0.58,0.51,0.46,0.39,0.29,0.25,0.25,0.19,0.08,-0.03,-0.17,-0.32,-0.42,-0.51,-0.61,-0.71,-0.76,-0.79,-0.8,-0.8,-0.82,-0.88,-0.93,-0.94,-0.92,-0.87,-0.81,-0.75,-0.66,-0.49,-0.33,-0.23,-0.14,-0.02,0.06,0.14,0.27,0.4,0.53,0.69,0.9,1.11,1.31,1.51,1.66,1.78,1.94,2.12,2.25,2.33,2.38,2.39,2.35,2.27,2.15,2.02,1.9,1.78,1.65,1.53,1.44,1.31,1.12,0.94,0.78,0.59,0.35,0.07,-0.21,-0.45,-0.66,-0.87,-1.06,-1.18,-1.26,-1.32,-1.35,-1.34,-1.32,-1.32,-1.26,-1.17,-1.12,-1.06,-0.93,-0.78,-0.63,-0.41,-0.12,0.18,0.51,0.89,1.2,1.62,2.05,2.38,2.59,2.82,3.02,3.07,3.04,2.98,2.87,2.7,2.59,2.48,2.35,2.22,2.18,2.15,2.14,2.12,2.11,2.1,2.16,2.23,2.2,2.13,2.07,2.04,1.93,1.78,1.58,1.35,1.15,0.91,0.64,0.25,-0.11,-0.48,-0.86,-1.26,-1.65,-2.01,-2.3,-2.51,-2.72,-2.89,-2.99,-2.99,-2.97,-2.94,-2.88,-2.86,-2.91,-3.0,-3.07,-3.12,-3.14,-3.14,-3.25,-3.45,-3.62,-3.69,-3.72,-3.71,-3.61,-3.44,-3.18,-2.86,-2.54,-2.23,-1.88,-1.53,-1.2,-0.87,-0.58,-0.38,-0.2,0.03,0.25,0.39,0.52,0.69,0.86,1.05,1.29,1.51,1.67,1.82,2.01,2.13,2.14,2.1,2.02,1.92,1.78,1.56,1.23,0.91,0.63,0.37,0.15,0.02,-0.09,-0.21,-0.31,-0.38,-0.46,-0.54,-0.62,-0.74,-0.86,-0.94,-1.03,-1.14,-1.22,-1.23,-1.16,-1.06,-0.92,-0.77,-0.63,-0.51,</t>
  </si>
  <si>
    <t>To_Avoid_Formula0.33,0.29,0.2,0.08,-0.09,-0.32,-0.5,-0.45,-0.19,0.24,0.65,0.88,0.97,1.06,1.22,1.41,1.38,1.12,0.74,0.37,0.03,-0.29,-0.61,-0.97,-1.38,-1.78,-2.07,-2.24,-2.4,-2.61,-2.82,-2.85,-2.69,-2.43,-2.14,-1.85,-1.53,-1.2,-0.84,-0.59,-0.44,-0.27,-0.05,0.19,0.37,0.51,0.62,0.79,1.01,1.2,1.34,1.46,1.55,1.58,1.57,1.5,1.34,1.09,0.85,0.65,0.48,0.35,0.14,-0.19,-0.56,-0.86,-1.09,-1.25,-1.32,-1.21,-0.9,-0.45,0.11,0.7,1.29,1.8,2.19,2.45,2.65,2.82,2.94,2.91,2.73,2.45,2.09,1.69,1.26,0.78,0.35,-0.01,-0.27,-0.42,-0.48,-0.4,-0.26,-0.09,0.15,0.45,0.81,1.21,1.54,1.83,2.05,2.14,2.1,1.99,1.83,1.57,1.17,0.68,0.04,-0.68,-1.34,-1.96,-2.45,-2.87,-3.09,-2.95,-2.39,-1.65,-0.84,-0.12,0.51,1.2,1.72,2.09,2.35,2.63,2.98,3.31,3.72,4.01,4.06,3.77,3.2,2.41,1.74,1.2,0.65,0.27,0.15,0.31,0.45,0.55,0.64,0.69,0.67,0.65,0.7,0.83,0.98,1.07,1.22,1.44,1.64,1.81,1.97,2.07,1.98,1.61,1.12,0.62,0.08,-0.55,-1.09,-1.53,-1.89,-2.2,-2.42,-2.53,-2.59,-2.61,-2.55,-2.38,-2.12,-1.82,-1.47,-1.17,-0.92,-0.69,-0.35,-0.07,0.03,0.06,0.14,0.22,0.13,-0.08,-0.36,-0.68,-1.07,-1.45,-1.72,-1.86,-2.12,-2.13,-1.98,-1.81,-1.76,-1.8,-1.83,-1.83,-1.76,-1.62,-1.42,-1.26,-1.15,-1.05,-0.88,-0.6,-0.27,0.01,0.19,0.45,0.91,1.54,2.09,2.49,2.74,2.79,2.76,2.68,2.49,2.16,1.63,1.01,0.43,0.08,-0.08,-0.26,-0.54,-0.75,-0.82,-0.76,-0.58,-0.45,-0.33,-0.15,0.06,0.27,0.4,0.48,0.48,0.3,0.03,-0.19,-0.33,-0.42,-0.63,-1.11,-1.67,-2.24,-2.82,-3.54,-4.22,-4.69,-5.14,-5.75,-6.53,-7.39,-8.41,-9.33,-10.24,-10.87,-10.98,-10.55,-9.73,-8.78,-7.61,-6.32,-4.97,-3.35,-1.48,0.42,2.14,3.96,5.48,6.62,7.41,7.91,8.08,7.88,7.45,6.84,6.19,5.62,4.98,4.1,3.23,2.65,2.22,1.86,1.59,1.21,0.8,0.53,0.43,0.46,0.67,0.92,0.97,0.8,0.83,0.94,0.77,0.31,-0.22,-0.56,-0.57,-0.41,-0.38,-0.58,-0.8,-0.94,-1.05,-1.12,-1.06,-0.9,-0.67,-0.16,0.56,1.28,1.96,2.67,3.46,4.15,4.67,5.04,5.13,4.89,4.45,3.94,3.36,2.74,2.11,1.6,1.35,1.26,1.03,0.67,0.54,0.71,1.04,1.46,2.09,2.93,3.7,4.17,4.43,4.68,4.76,4.36,3.55,2.83,2.11,1.21,0.38,-0.11,-0.32,-0.74,-1.63,-2.48,-2.88,-2.93,-2.93,-2.98,-2.73,-2.22,-1.82,-1.58,-1.31,-1.28,-1.84,-2.9,-3.51,-3.0,-1.45,0.5,1.8,2.15,2.05,1.69,1.13,0.45,-0.4,-1.06,-1.2,-1.14,-1.01,-1.18,-1.78,-3.1,-4.82,-5.95,-6.17,-5.8,-5.26,-4.62,-3.98,-2.95,-1.86,-1.11,-0.39,0.52,1.7,2.62,2.99,2.79,2.45,2.34,2.29,2.12,1.84,1.88,2.04,1.98,1.64,1.19,0.79,0.26,-0.21,-0.49,-0.54,-0.63,-0.98,-1.53,-1.93,-2.09,-2.34,-2.73,-3.08,-3.15,-3.02,-2.91,-2.8,-2.71,-2.53,-2.08,-1.44,-0.94,-0.58,-0.23,0.29,0.82,1.12,1.18,1.23,1.41,1.64,1.89,2.07,2.06,1.75,1.31,1.14,1.2,1.26,1.14,1.03,1.24,1.69,2.13,2.35,2.4,2.31,2.15,1.92,1.69,1.46,1.17,0.81,0.48,0.16,-0.11,-0.35,-0.52,-0.74,-1.05,-1.3,-1.45,-1.47,-1.42,-1.32,-1.16,-0.8,-0.27,0.25,0.7,0.92,1.0,0.94,0.85,0.83,0.82,0.71,0.49,0.38,0.51,0.67,0.55,0.26,0.07,0.1,0.35,0.66,0.86,1.01,1.21,1.43,1.7,1.94,2.03,1.82,1.41,0.97,0.54,0.07,-0.54,-1.17,-1.68,-2.01,-2.19,-2.29,-2.35,-2.37,-2.28,-2.11,-1.98,-1.87,-1.72,-1.52,-1.31,-1.18,-1.18,-1.29,-1.27,-1.16,-1.14,-1.24,-1.4,-1.57,-1.73,-1.83,-1.85,-1.67,-1.46,-1.33,-1.17,-0.7,-0.07,0.25,0.29,0.4,0.62,0.82,1.05,1.42,1.84,2.17,2.27,2.28,2.38,2.51,2.42,2.08,1.7,1.41,1.14,0.9,0.81,0.69,0.49,0.33,0.29,0.18,-0.21,-0.84,-1.41,-1.68,-1.74,-1.78,-1.97,-2.24,-2.73,-3.36,-3.9,-4.27,-4.47,-4.62,-4.76,-4.73,-4.36,-3.86,-3.58,-3.43,-3.03,-2.43,-1.87,-1.25,-0.61,-0.22,-0.11,-0.19,-0.37,-0.46,-0.22,0.16,0.41,0.54,0.58,0.48,0.38,0.46,0.75,1.09,1.41,1.67,1.84,2.07,2.25,1.96,1.25,0.75,0.69,0.87,1.06,1.17,1.38,1.72,2.22,2.76,3.21,3.65,4.03,4.38,4.77,5.25,5.38,5.02,4.58,4.3,4.13,3.81,3.34,2.76,2.31,2.0,1.69,1.37,1.05,0.77,0.46,0.28,0.22,0.16,-0.01,-0.28,-0.59,-1.01,-1.46,-1.88,-2.3,-2.76,-3.18,-3.4,-3.32,-3.02,-2.78,-2.6,-2.46,-2.37,-2.49,-2.81,-3.25,-3.59,-3.77,-3.85,-3.79,-3.64,-3.49,-3.5,-3.5,-3.4,-3.29,-3.29,-3.19,-2.69,-1.73,-0.58,0.55,1.58,2.73,3.97,5.19,6.11,6.68,7.09,7.39,7.54,7.45,7.15,6.64,5.97,5.3,4.52,3.58,2.45,1.31,0.22,-0.7,-1.55,-2.59,-3.48,-4.0,-3.99,-3.85,-3.75,-3.7,-3.63,-3.49,-3.3,-3.07,-2.83,-2.55,-2.28,-1.94,-1.49,-1.04,</t>
  </si>
  <si>
    <t>To_Avoid_Formula-0.72,-0.7,-0.75,-0.68,-0.6,-0.65,-0.77,-0.86,-0.93,-1.0,-1.08,-1.05,-0.9,-0.61,-0.39,-0.29,-0.16,0.0,0.11,0.17,0.22,0.12,-0.03,-0.14,-0.25,-0.49,-0.8,-1.0,-1.11,-1.13,-1.09,-1.04,-1.0,-0.92,-0.77,-0.59,-0.31,0.01,0.27,0.41,0.49,0.57,0.67,0.76,0.84,1.0,1.26,1.51,1.72,1.96,2.29,2.51,2.49,2.3,2.09,1.96,1.77,1.51,1.16,0.7,0.07,-0.62,-1.19,-1.63,-2.1,-2.65,-3.05,-3.18,-3.01,-2.72,-2.53,-2.42,-2.35,-2.25,-2.06,-1.76,-1.47,-1.29,-1.21,-1.16,-1.08,-1.05,-1.06,-1.12,-1.19,-1.17,-1.06,-0.91,-0.75,-0.54,-0.34,-0.23,-0.15,-0.05,0.05,0.08,0.15,0.25,0.26,0.19,0.13,0.11,0.06,-0.06,-0.28,-0.51,-0.61,-0.7,-0.86,-1.03,-1.07,-1.09,-1.16,-1.15,-1.07,-0.97,-0.82,-0.61,-0.38,-0.17,0.04,0.24,0.51,0.91,1.34,1.64,1.86,2.11,2.35,2.5,2.54,2.48,2.42,2.4,2.37,2.28,2.18,2.11,2.02,1.85,1.69,1.58,1.43,1.2,0.96,0.75,0.6,0.49,0.3,0.06,-0.13,-0.26,-0.43,-0.65,-0.81,-0.9,-1.0,-1.05,-1.01,-0.9,-0.81,-0.79,-0.81,-0.73,-0.46,-0.17,0.03,0.23,0.54,0.89,1.23,1.56,1.88,2.09,2.27,2.53,2.88,3.19,3.34,3.33,3.27,3.27,3.2,3.0,2.67,2.31,1.89,1.39,0.84,0.15,-0.71,-1.65,-2.55,-3.43,-4.25,-5.18,-6.08,-6.78,-7.28,-7.69,-8.01,-8.06,-7.87,-7.47,-6.89,-6.08,-5.14,-4.11,-2.99,-1.89,-0.71,0.41,1.37,2.13,2.81,3.41,3.82,4.04,4.15,4.22,4.15,3.93,3.59,3.26,2.95,2.68,2.39,2.1,1.85,1.67,1.54,1.42,1.31,1.22,1.17,1.21,1.27,1.28,1.2,1.11,1.05,0.95,0.77,0.49,0.15,-0.31,-0.73,-0.94,-1.05,-1.17,-1.26,-1.23,-1.0,-0.67,-0.35,-0.1,0.19,0.55,0.97,1.35,1.69,1.83,1.73,1.51,1.21,0.9,0.53,0.12,-0.32,-0.65,-0.86,-0.98,-1.06,-1.04,-0.95,-0.76,-0.51,-0.31,-0.2,-0.22,-0.34,-0.52,-0.83,-1.13,-1.26,-1.31,-1.32,-1.32,-1.33,-1.33,-1.27,-1.07,-0.71,-0.28,0.2,0.58,0.87,1.28,1.73,1.95,1.95,1.88,1.87,1.86,1.85,1.74,1.51,1.25,1.0,0.79,0.66,0.59,0.42,0.18,-0.04,-0.2,</t>
  </si>
  <si>
    <t>To_Avoid_Formula51.73,51.73,51.73,51.73,51.73,51.73,51.73,51.73,51.73,51.73,51.73,51.73,51.74,51.74,51.74,51.74,51.74,51.74,51.74,51.74,51.74,51.74,51.74,51.74,51.74,51.74,51.74,51.74,51.74,51.74,51.74,51.74,51.74,51.74,51.74,51.74,51.74,51.74,51.74,51.75,51.75,51.75,51.75,51.75,51.75,51.75,51.75,51.75,51.75,51.75,51.75,51.75,51.75,51.75,51.75,51.75,51.75,51.75,51.75,51.75,51.75,51.75,51.75,51.75,51.75,51.75,51.76,51.76,51.76,51.76,51.76,51.76,51.76,51.76,51.76,51.76,51.76,51.76,51.76,51.76,51.76,51.76,51.76,51.76,51.76,51.76,51.76,51.76,51.76,51.76,51.76,51.76,51.77,51.77,51.77,51.77,51.77,51.77,51.77,51.77,51.77,51.77,51.77,51.77,51.77,51.77,51.77,51.77,51.77,51.77,51.77,51.77,51.77,51.77,51.77,51.77,51.77,51.77,51.78,51.78,51.78,51.78,51.78,51.78,51.78,51.78,51.78,51.78,51.78,51.78,51.78,51.78,51.78,51.78,51.78,51.78,51.78,51.78,51.78,51.78,51.78,51.78,51.78,51.78,51.79,51.79,51.79,51.79,51.79,51.79,51.79,51.79,51.79,51.79,51.79,51.79,51.79,51.79,51.79,51.79,51.79,51.79,51.79,51.79,51.79,51.79,51.79,51.79,51.79,51.79,51.8,51.8,51.8,51.8,51.8,51.8,51.8,51.8,51.8,51.8,51.8,51.8,51.8,51.8,51.8,51.8,51.8,51.8,51.8,51.8,51.8,51.8,51.8,51.8,51.8,51.8,51.81,51.81,51.81,51.81,51.81,51.81,51.81,51.81,51.81,51.81,51.81,51.81,51.81,51.81,51.81,51.81,51.81,51.81,51.81,51.81,51.81,51.81,51.81,51.81,51.81,51.81,51.81,51.82,51.82,51.82,51.82,51.82,51.82,51.82,51.82,51.82,51.82,51.82,51.82,51.82,51.82,51.82,51.82,51.82,51.82,51.82,51.82,51.82,51.82,51.82,51.82,51.82,51.82,51.82,51.83,51.83,51.83,51.83,51.83,51.83,51.83,51.83,51.83,51.83,51.83,51.83,51.83,51.83,51.83,51.83,51.83,51.83,51.83,51.83,51.83,51.83,51.83,51.83,51.83,51.83,51.83,51.83,51.84,51.84,51.84,51.84,51.84,51.84,51.84,51.84,51.84,51.84,51.84,51.84,51.84,51.84,51.84,51.84,51.84,51.84,51.84,51.84,51.84,51.84,51.84,51.84,51.84,51.84,51.84,51.84,51.85,51.85,51.85,51.85,51.85,51.85,51.85,51.85,51.85,51.85,51.85,51.85,51.85,51.85,51.85,51.85,51.85,51.85,51.85,51.85,51.85,51.85,51.85,51.85,51.85,51.85,51.85,51.85,51.86,51.86,51.86,51.86,51.86,51.86,51.86,51.86,51.86,51.86,51.86,51.86,51.86,51.86,51.86,51.86,51.86,51.86,51.86,51.86,51.86,51.86,51.86,51.86,51.86,51.86,51.86,51.86,51.87,51.87,51.87,51.87,51.87,51.87,51.87,51.87,51.87,51.87,51.87,51.87,51.87,51.87,51.87,51.87,51.87,51.87,51.87,51.87,51.87,51.87,51.87,51.87,51.87,51.87,51.87,51.88,51.88,51.88,51.88,51.88,51.88,51.88,51.88,51.88,51.88,51.88,51.88,51.88,51.88,51.88,51.88,51.88,51.88,51.88,51.88,51.88,51.88,51.88,51.88,51.88,51.89,51.89,51.89,51.89,51.89,51.89,51.89,51.89,51.89,51.89,51.89,51.89,51.89,51.89,51.89,51.89,51.89,51.89,51.89,51.89,51.89,51.89,51.89,51.89,51.9,51.9,51.9,51.9,51.9,51.9,51.9,51.9,51.9,51.9,51.9,51.9,51.9,51.9,51.9,51.9,51.9,51.9,51.9,51.9,51.9,51.9,51.9,51.91,51.91,51.91,51.91,51.91,51.91,51.91,51.91,51.91,51.91,51.91,51.91,51.91,51.91,51.91,51.91,51.91,51.91,51.91,51.91,51.91,51.91,51.91,51.92,51.92,51.92,51.92,51.92,51.92,51.92,51.92,51.92,51.92,51.92,51.92,51.92,51.92,51.92,51.92,51.92,51.92,51.92,51.92,51.93,51.93,51.93,51.93,51.93,51.93,51.93,51.93,51.93,51.93,51.93,51.93,51.93,51.93,51.93,51.93,51.93,51.93,51.93,51.93,51.94,51.94,51.94,51.94,51.94,51.94,51.94,51.94,51.94,51.94,51.94,51.94,51.94,51.94,51.94,51.94,51.94,51.94,51.94,51.94,51.95,51.95,51.95,51.95,51.95,51.95,51.95,51.95,51.95,51.95,51.95,51.95,51.95,51.95,51.95,51.95,51.95,51.95,51.96,51.96,51.96,51.96,51.96,51.96,51.96,51.96,51.96,51.96,51.96,51.96,51.96,51.96,51.96,51.96,51.96,51.96,51.96,51.97,51.97,51.97,51.97,51.97,51.97,51.97,51.97,51.97,51.97,51.97,51.97,51.97,51.97,51.97,51.97,51.97,51.97,51.97,51.98,51.98,51.98,51.98,51.98,51.98,51.98,51.98,51.98,51.98,51.98,51.98,51.98,51.98,51.98,51.98,51.98,51.98,51.99,51.99,51.99,51.99,51.99,51.99,51.99,51.99,51.99,51.99,51.99,51.99,51.99,51.99,51.99,51.99,51.99,51.99,52.0,52.0,52.0,52.0,52.0,52.0,52.0,52.0,52.0,52.0,52.0,52.0,52.0,52.0,52.0,52.0,52.0,52.0,52.0,52.01,52.01,52.01,52.01,52.01,52.01,52.01,52.01,52.01,52.0</t>
  </si>
  <si>
    <t>To_Avoid_Formula1,52.01,52.01,52.01,52.01,52.01,52.01,52.01,52.01,52.01,52.02,52.02,52.02,52.02,52.02,52.02,52.02,52.02,52.02,52.02,52.02,52.02,52.02,52.02,52.02,52.02,52.02,52.02,52.03,52.03,52.03,52.03,52.03,52.03,52.03,52.03,52.03,52.03,52.03,52.03,52.03,52.03,52.03,52.03,52.03,52.03,52.03,52.03,52.03,52.04,52.04,52.04,52.04,52.04,52.04,52.04,52.04,52.04,52.04,52.04,52.04,52.04,52.04,52.04,52.04,52.04,52.04,52.04,52.05,52.05,52.05,52.05,52.05,52.05,52.05,52.05,52.05,52.05,52.05,52.05,52.05,52.05,52.05,52.05,52.05,52.05,52.05,52.05,52.06,52.06,52.06,52.06,52.06,52.06,52.06,52.06,52.06,52.06,52.06,52.06,52.06,52.06,52.06,52.06,52.06,52.06,52.06,52.06,52.06,52.07,52.07,52.07,52.07,52.07,52.07,52.07,52.07,52.07,52.07,52.07,52.07,52.07,52.07,52.07,52.07,52.07,52.07,52.07,52.07,52.07,52.08,52.08,52.08,52.08,52.08,52.08,52.08,52.08,52.08,52.08,52.08,52.08,52.08,52.08,52.08,52.08,52.08,52.08,52.08,52.08,52.08,52.08,52.09,52.09,52.09,52.09,52.09,52.09,52.09,52.09,52.09,52.09,52.09,52.09,52.09,52.09,52.09,52.09,52.09,52.09,52.09,52.09,52.09,52.1,52.1,52.1,52.1,52.1,52.1,52.1,52.1,52.1,52.1,52.1,52.1,52.1,52.1,52.1,52.1,52.1,52.1,52.1,52.1,52.1,52.11,52.11,52.11,52.11,52.11,52.11,52.11,52.11,52.11,52.11,52.11,52.11,52.11,52.11,52.11,52.11,52.11,52.11,52.11,52.11,52.11,52.12,52.12,52.12,52.12,52.12,52.12,52.12,52.12,52.12,52.12,52.12,52.12,52.12,52.12,52.12,52.12,52.12,52.12,52.12,52.12,52.12,52.13,52.13,52.13,52.13,52.13,52.13,52.13,52.13,52.13,52.13,52.13,52.13,52.13,52.13,52.13,52.13,52.13,52.13,52.13,52.13,52.14,52.14,52.14,52.14,52.14,52.14,52.14,52.14,52.14,52.14,52.14,52.14,52.14,52.14,52.14,52.14,52.14,52.14,52.14,52.15,52.15,52.15,52.15,52.15,52.15,52.15,52.15,52.15,52.15,52.15,52.15,52.15,52.15,52.15,52.15,52.15,52.15,52.15,52.15,52.16,52.16,52.16,52.16,52.16,52.16,52.16,52.16,52.16,52.16,52.16,52.16,52.16,52.16,52.16,52.16,52.16,52.17,52.17,52.17,52.17,52.17,52.17,52.17,52.17,52.17,52.17,52.17,52.17,52.17,52.17,52.17,52.17,52.17,52.17,52.18,52.18,52.18,52.18,52.18,52.18,52.18,52.18,52.18,52.18,52.18,52.18,52.18,52.18,52.18,52.18,52.18,52.19,52.19,52.19,52.19,52.19,52.19,52.19,52.19,52.19,52.19,52.19,52.19,52.19,52.19,52.19,52.19,52.2,52.2,52.2,52.2,52.2,52.2,52.2,52.2,52.2,52.2,52.2,52.2,52.2,52.2,52.2,52.2,52.21,</t>
  </si>
  <si>
    <t>To_Avoid_Formula0.5,0.43,0.42,0.45,0.47,0.47,0.52,0.62,0.74,0.82,0.9,0.97,0.98,0.98,0.95,0.88,0.79,0.71,0.63,0.58,0.51,0.47,0.46,0.47,0.47,0.47,0.41,0.31,0.19,0.08,0.0,-0.06,-0.06,-0.04,-0.03,-0.03,0.0,0.02,0.02,-0.02,-0.07,-0.12,-0.15,-0.17,-0.19,-0.22,-0.22,-0.21,-0.2,-0.21,-0.23,-0.23,-0.22,-0.21,-0.23,-0.24,-0.24,-0.21,-0.17,-0.14,-0.1,-0.07,-0.05,-0.03,-0.05,-0.1,-0.12,-0.11,-0.11,-0.13,-0.11,-0.05,0.01,0.01,-0.02,-0.05,-0.08,-0.09,-0.11,-0.13,-0.12,-0.08,-0.02,0.03,0.04,0.02,0.01,0.0,-0.01,-0.02,-0.03,-0.03,0.0,0.04,0.07,0.07,0.07,0.05,-0.01,-0.07,-0.11,-0.13,-0.12,-0.1,-0.09,-0.07,-0.04,-0.02,0.0,-0.01,-0.03,-0.05,-0.08,-0.09,-0.09,-0.08,-0.02,0.03,0.05,0.05,-0.01,-0.12,-0.22,-0.35,-0.51,-0.62,-0.71,-0.76,-0.79,-0.81,-0.81,-0.81,-0.8,-0.82,-0.88,-0.98,-1.1,-1.21,-1.27,-1.29,-1.31,-1.31,-1.27,-1.26,-1.28,-1.3,-1.31,-1.33,-1.38,-1.41,-1.38,-1.3,-1.17,-1.03,-0.92,-0.78,-0.65,-0.53,-0.44,-0.38,-0.32,-0.23,-0.14,-0.08,-0.01,0.07,0.18,0.27,0.37,0.49,0.57,0.62,0.64,0.64,0.61,0.59,0.58,0.58,0.59,0.6,0.63,0.66,0.71,0.73,0.7,0.66,0.63,0.58,0.52,0.48,0.45,0.45,0.49,0.52,0.55,0.59,0.64,0.67,0.68,0.67,0.67,0.68,0.66,0.64,0.65,0.66,0.66,0.64,0.62,0.56,0.48,0.41,0.36,0.3,0.23,0.2,0.2,0.2,0.14,0.05,0.01,0.01,-0.01,-0.06,-0.08,-0.11,-0.12,-0.08,-0.03,0.04,0.07,0.1,0.11,0.1,0.08,0.06,0.05,0.04,0.04,0.0,-0.02,-0.02,-0.02,-0.05,-0.11,-0.17,-0.24,-0.29,-0.34,-0.39,-0.46,-0.52,-0.57,-0.62,-0.67,-0.68,-0.66,-0.62,-0.6,-0.59,-0.53,-0.44,-0.34,-0.27,-0.23,-0.21,-0.17,-0.12,-0.07,-0.01,0.05,0.12,0.17,0.22,0.26,0.3,0.33,0.32,0.27,0.23,0.22,0.24,0.29,0.31,0.34,0.36,0.35,0.32,0.26,0.2,0.16,0.14,0.11,0.09,0.09,0.11,0.15,0.2,0.24,0.26,0.26,0.24,0.19,0.12,0.06,0.04,0.04,0.03,0.03,0.02,0.0,0.0,-0.01,-0.05,-0.12,-0.16,-0.16,-0.17,-0.15,-0.15,-0.14,-0.11,-0.13,-0.24,-0.37,-0.47,-0.57,-0.65,-0.73,-0.77,-0.77,-0.75,-0.7,-0.67,-0.68,-0.71,-0.76,-0.81,-0.89,-0.97,-1.01,-1.0,-0.95,-0.89,-0.8,-0.68,-0.57,-0.5,-0.47,-0.51,-0.58,-0.6,-0.61,-0.62,-0.61,-0.55,-0.45,-0.4,-0.37,-0.38,-0.4,-0.43,-0.48,-0.55,-0.6,-0.63,-0.64,-0.63,-0.63,-0.61,-0.56,-0.51,-0.49,-0.49,-0.47,-0.43,-0.35,-0.25,-0.17,-0.07,0.04,0.1,0.14,0.15,0.14,0.13,0.1,0.06,0.0,-0.06,-0.11,-0.13,-0.11,-0.09,-0.05,0.01,0.11,0.22,0.31,0.4,0.47,0.52,0.56,0.58,0.59,0.62,0.66,0.66,0.66,0.66,0.64,0.62,0.57,0.5,0.44,0.38,0.33,0.31,0.28,0.24,0.2,0.18,0.18,0.15,0.12,0.12,0.15,0.16,0.13,0.08,0.05,0.03,-0.07,-0.1,-0.11,-0.12,-0.16,-0.21,-0.23,-0.22,-0.21,-0.24,-0.25,-0.2,-0.15,-0.11,-0.08,-0.02,0.06,0.14,0.19,0.24,0.31,0.37,0.43,0.48,0.53,0.56,0.6,0.66,0.72,0.78,0.82,0.83,0.84,0.84,0.82,0.78,0.73,0.71,0.72,0.74,0.75,0.74,0.73,0.7,0.67,0.64,0.6,0.54,0.44,0.31,0.19,0.11,0.07,0.06,0.04,0.04,0.04,0.04,0.05,0.08,0.14,0.2,0.24,0.27,0.26,0.24,0.25,0.28,0.33,0.35,0.37,0.4,0.42,0.41,0.39,0.36,0.31,0.23,0.12,0.02,-0.06,-0.14,-0.2,-0.25,-0.31,-0.36,-0.4,-0.43,-0.43,-0.44,-0.45,-0.47,-0.45,-0.42,-0.4,-0.39,-0.37,-0.37,-0.33,-0.24,-0.09,0.05,0.13,0.21,0.24,0.24,0.24,0.23,0.21,0.21,0.24,0.3,0.39,0.47,0.53,0.58,0.63,0.66,0.67,0.67,0.71,0.76,0.82,0.88,0.89,0.89,0.91,0.89,0.83,0.74,0.64,0.58,0.53,0.47,0.4,0.34,0.3,0.24,0.18,0.11,0.04,-0.02,-0.11,-0.2,-0.3,-0.38,-0.44,-0.48,-0.49,-0.48,-0.46,-0.4,-0.34,-0.3,-0.25,-0.21,-0.16,-0.12,-0.1,-0.06,-0.01,0.07,0.16,0.22,0.28,0.31,0.3,0.26,0.21,0.2,0.21,0.23,0.24,0.25,0.25,0.24,0.21,0.15,0.05,-0.05,-0.18,-0.3,-0.38,-0.43,-0.44,-0.43,-0.4,-0.4,-0.47,-0.6,-0.74,-0.8,-0.93,-1.06,-1.08,-1.03,-0.89,-0.76,-0.66,-0.55,-0.42,-0.35,-0.3,-0.28,-0.28,-0.27,-0.23,-0.15,-0.06,0.01,0.0,-0.01,-0.05,-0.13,-0.26,-0.39,-0.46,-0.51,-0.58,-0.6,-0.56,-0.49,-0.43,-0.38,-0.35,-0.34,-0.32,-0.3,-0.24,-0.14,0.0,0.14,0.25,0.37,0.49,0.56,0.6,0.61,0.63,0.64,0.66,0.68,0.71,0.73,0.73,0.73,0.72,0.68,0.64,0.62,0.61,0.6,0.57,0.54,0.52,0.49,0.46,0.42,0.38,0.35,0.35,0.34,0.34,0.36,0.39,0.39,0.37,0.34,0.31,0.31,0.29,0.27,0.27,0.27,0.25,0.2,0.14,0.06,-0.02,-0.14,-0.27,-0.35,-0.41,-0.46,-0.47,-0.42,-0.36,-0.31,-0.26,-0.22,-0.21,-0.26,-0.38,-0.51,-0.57,-0.63,-0.65,-0</t>
  </si>
  <si>
    <t>To_Avoid_Formula.61,-0.49,-0.37,-0.3,-0.24,-0.19,-0.17,-0.18,-0.24,-0.29,-0.32,-0.32,-0.29,-0.22,-0.11,-0.05,0.02,0.06,0.06,0.07,0.05,0.01,-0.05,-0.13,-0.18,-0.21,-0.18,-0.13,-0.05,0.05,0.1,0.12,0.11,0.09,0.06,0.02,-0.04,-0.1,-0.13,-0.13,-0.16,-0.21,-0.25,-0.28,-0.32,-0.39,-0.44,-0.49,-0.54,-0.57,-0.59,-0.6,-0.57,-0.54,-0.53,-0.53,-0.56,-0.58,-0.58,-0.6,-0.59,-0.58,-0.55,-0.54,-0.55,-0.56,-0.52,-0.44,-0.31,-0.2,-0.14,-0.11,-0.13,-0.15,-0.22,-0.33,-0.4,-0.47,-0.5,-0.46,-0.38,-0.26,-0.16,-0.04,0.04,0.03,-0.01,-0.07,-0.13,-0.23,-0.29,-0.3,-0.26,-0.19,-0.08,0.02,0.06,0.05,0.02,-0.07,-0.18,-0.32,-0.43,-0.5,-0.54,-0.52,-0.5,-0.44,-0.39,-0.37,-0.35,-0.37,-0.42,-0.51,-0.62,-0.71,-0.8,-0.84,-0.83,-0.81,-0.79,-0.78,-0.79,-0.82,-0.8,-0.78,-0.8,-0.83,-0.8,-0.76,-0.74,-0.72,-0.66,-0.57,-0.51,-0.48,-0.47,-0.44,-0.42,-0.41,-0.45,-0.46,-0.46,-0.45,-0.44,-0.44,-0.4,-0.33,-0.26,-0.2,-0.16,-0.13,-0.11,-0.1,-0.1,-0.1,-0.09,-0.04,0.07,0.14,0.22,0.29,0.35,0.38,0.34,0.29,0.22,0.18,0.17,0.18,0.21,0.25,0.29,0.32,0.34,0.31,0.27,0.23,0.18,0.14,0.13,0.18,0.32,0.45,0.58,0.69,0.79,0.86,0.85,0.8,0.72,0.65,0.58,0.52,0.49,0.46,0.42,0.4,0.4,0.39,0.36,0.33,0.31,0.33,0.31,0.29,0.31,0.34,0.36,0.37,0.37,0.4,0.42,0.43,0.43,0.39,0.37,0.35,0.3,0.21,0.11,0.08,0.06,0.06,0.08,0.13,0.21,0.24,0.28,0.31,0.28,0.21,0.1,0.04,-0.02,-0.07,-0.11,-0.1,-0.06,0.0,0.1,0.15,0.22,0.29,0.32,0.32,0.3,0.28,0.22,0.18,0.22,0.33,0.45,0.54,0.62,0.65,0.67,0.66,0.6,0.5,0.39,0.3,0.23,0.19,0.18,0.12,0.02,-0.06,-0.1,-0.13,-0.2,-0.33,-0.47,-0.56,-0.65,-0.69,-0.69,-0.7,-0.71,-0.74,-0.77,-0.81,-0.87,-0.94,-1.05,-1.16,-1.28,-1.39,-1.51,-1.61,-1.66,-1.68,-1.66,-1.66,-1.68,-1.72,-1.77,-1.83,-1.92,-1.97,-2.01,-1.99,-1.91,-1.79,-1.68,-1.61,-1.55,-1.51,-1.46,-1.43,-1.4,-1.37,-1.34,-1.29,-1.24,</t>
  </si>
  <si>
    <t>To_Avoid_Formula-0.2,-0.27,-0.27,-0.24,-0.21,-0.21,-0.16,-0.06,0.05,0.12,0.2,0.24,0.23,0.22,0.17,0.09,-0.01,-0.09,-0.17,-0.22,-0.28,-0.32,-0.32,-0.3,-0.29,-0.28,-0.33,-0.41,-0.52,-0.61,-0.66,-0.68,-0.65,-0.6,-0.56,-0.53,-0.48,-0.43,-0.41,-0.42,-0.45,-0.47,-0.47,-0.47,-0.46,-0.46,-0.43,-0.39,-0.35,-0.33,-0.33,-0.3,-0.26,-0.24,-0.22,-0.21,-0.19,-0.14,-0.08,-0.03,0.01,0.05,0.09,0.12,0.11,0.07,0.05,0.08,0.08,0.07,0.1,0.17,0.23,0.24,0.21,0.18,0.16,0.15,0.14,0.12,0.13,0.18,0.23,0.28,0.29,0.26,0.25,0.24,0.23,0.21,0.2,0.2,0.23,0.26,0.28,0.28,0.27,0.24,0.18,0.11,0.07,0.06,0.06,0.08,0.09,0.1,0.13,0.15,0.17,0.15,0.12,0.1,0.07,0.06,0.05,0.06,0.12,0.16,0.18,0.16,0.09,-0.01,-0.11,-0.24,-0.39,-0.48,-0.55,-0.57,-0.56,-0.56,-0.53,-0.5,-0.47,-0.46,-0.5,-0.57,-0.65,-0.73,-0.75,-0.72,-0.71,-0.66,-0.59,-0.55,-0.52,-0.52,-0.48,-0.47,-0.49,-0.49,-0.42,-0.31,-0.16,0.0,0.12,0.26,0.39,0.5,0.58,0.62,0.66,0.73,0.79,0.82,0.85,0.9,0.96,1.02,1.07,1.13,1.16,1.15,1.11,1.06,0.97,0.89,0.84,0.79,0.75,0.71,0.7,0.68,0.68,0.66,0.58,0.5,0.42,0.34,0.24,0.17,0.11,0.09,0.1,0.11,0.11,0.12,0.14,0.15,0.13,0.09,0.07,0.05,0.0,-0.04,-0.05,-0.05,-0.08,-0.11,-0.14,-0.22,-0.31,-0.38,-0.44,-0.49,-0.55,-0.58,-0.56,-0.56,-0.6,-0.68,-0.7,-0.68,-0.68,-0.71,-0.71,-0.71,-0.69,-0.64,-0.56,-0.48,-0.43,-0.39,-0.36,-0.35,-0.36,-0.36,-0.36,-0.35,-0.34,-0.35,-0.36,-0.34,-0.32,-0.33,-0.37,-0.41,-0.45,-0.48,-0.5,-0.52,-0.55,-0.58,-0.59,-0.6,-0.61,-0.58,-0.52,-0.45,-0.39,-0.35,-0.26,-0.14,-0.03,0.07,0.11,0.14,0.19,0.25,0.3,0.36,0.42,0.48,0.53,0.56,0.59,0.61,0.63,0.6,0.53,0.47,0.45,0.47,0.5,0.51,0.52,0.52,0.49,0.44,0.37,0.3,0.25,0.22,0.19,0.16,0.15,0.17,0.21,0.25,0.28,0.28,0.27,0.24,0.18,0.1,0.04,0.02,0.02,0.01,0.01,-0.01,-0.03,-0.03,-0.04,-0.08,-0.14,-0.17,-0.17,-0.17,-0.15,-0.14,-0.12,-0.09,-0.1,-0.21,-0.32,-0.41,-0.48,-0.54,-0.59,-0.6,-0.57,-0.52,-0.45,-0.39,-0.38,-0.38,-0.41,-0.44,-0.49,-0.54,-0.55,-0.51,-0.43,-0.34,-0.23,-0.09,0.03,0.11,0.14,0.1,0.04,0.02,0.02,0.03,0.04,0.1,0.2,0.25,0.27,0.26,0.23,0.2,0.14,0.07,0.03,0.01,0.0,0.01,0.02,0.04,0.09,0.14,0.16,0.16,0.17,0.21,0.28,0.36,0.42,0.5,0.59,0.62,0.63,0.6,0.56,0.53,0.47,0.4,0.33,0.24,0.17,0.14,0.14,0.16,0.18,0.22,0.3,0.38,0.45,0.5,0.53,0.55,0.55,0.53,0.51,0.5,0.5,0.46,0.43,0.39,0.34,0.29,0.21,0.11,0.03,-0.04,-0.11,-0.14,-0.18,-0.23,-0.27,-0.29,-0.3,-0.33,-0.36,-0.35,-0.33,-0.32,-0.35,-0.39,-0.41,-0.43,-0.5,-0.52,-0.52,-0.51,-0.53,-0.56,-0.57,-0.53,-0.51,-0.52,-0.51,-0.44,-0.37,-0.32,-0.27,-0.2,-0.11,-0.03,0.02,0.07,0.13,0.18,0.24,0.27,0.3,0.32,0.35,0.39,0.43,0.47,0.48,0.47,0.45,0.43,0.39,0.33,0.26,0.23,0.22,0.23,0.22,0.2,0.17,0.13,0.09,0.05,0.0,-0.06,-0.16,-0.28,-0.38,-0.45,-0.48,-0.46,-0.46,-0.44,-0.42,-0.4,-0.37,-0.32,-0.25,-0.18,-0.12,-0.09,-0.09,-0.1,-0.08,-0.05,0.0,0.04,0.05,0.09,0.11,0.1,0.08,0.05,0.0,-0.08,-0.18,-0.25,-0.32,-0.38,-0.41,-0.44,-0.46,-0.48,-0.49,-0.49,-0.46,-0.44,-0.42,-0.41,-0.36,-0.3,-0.25,-0.22,-0.18,-0.16,-0.1,0.01,0.17,0.31,0.39,0.46,0.48,0.47,0.46,0.44,0.41,0.4,0.42,0.47,0.54,0.6,0.64,0.67,0.69,0.69,0.67,0.64,0.65,0.67,0.7,0.72,0.7,0.67,0.65,0.6,0.5,0.39,0.27,0.19,0.12,0.05,-0.02,-0.09,-0.13,-0.19,-0.25,-0.31,-0.36,-0.42,-0.49,-0.56,-0.64,-0.69,-0.72,-0.73,-0.71,-0.67,-0.61,-0.53,-0.44,-0.38,-0.32,-0.26,-0.2,-0.15,-0.11,-0.07,-0.01,0.07,0.16,0.21,0.27,0.29,0.27,0.22,0.16,0.14,0.14,0.16,0.17,0.16,0.16,0.14,0.11,0.04,-0.06,-0.15,-0.27,-0.38,-0.43,-0.46,-0.45,-0.42,-0.36,-0.35,-0.39,-0.5,-0.61,-0.63,-0.72,-0.81,-0.79,-0.69,-0.51,-0.35,-0.23,-0.1,0.04,0.12,0.17,0.19,0.19,0.2,0.25,0.31,0.4,0.45,0.44,0.42,0.36,0.27,0.14,0.01,-0.05,-0.1,-0.15,-0.16,-0.11,-0.03,0.04,0.09,0.12,0.13,0.14,0.17,0.22,0.31,0.44,0.56,0.64,0.73,0.81,0.84,0.85,0.81,0.79,0.76,0.74,0.72,0.71,0.69,0.65,0.6,0.56,0.48,0.41,0.36,0.32,0.28,0.23,0.18,0.13,0.09,0.04,-0.02,-0.08,-0.11,-0.12,-0.14,-0.15,-0.13,-0.12,-0.12,-0.15,-0.19,-0.22,-0.22,-0.24,-0.26,-0.27,-0.27,-0.28,-0.33,-0.39,-0.45,-0.52,-0.62,-0.73,-0.77,-0.81,-0.83,-0.8,-0.72,-0.62,-0.55,-0.48,-0.41,-0.38,-0.41,-0.52,-0.62,-0.64,-0</t>
  </si>
  <si>
    <t>To_Avoid_Formula.66,-0.65,-0.57,-0.43,-0.28,-0.19,-0.11,-0.06,-0.02,-0.03,-0.08,-0.11,-0.13,-0.11,-0.07,0.01,0.12,0.19,0.25,0.29,0.3,0.3,0.27,0.23,0.16,0.09,0.04,0.02,0.05,0.11,0.19,0.28,0.33,0.34,0.32,0.29,0.25,0.2,0.15,0.09,0.06,0.05,0.03,-0.01,-0.05,-0.08,-0.11,-0.16,-0.2,-0.24,-0.26,-0.28,-0.28,-0.27,-0.23,-0.18,-0.15,-0.15,-0.15,-0.16,-0.16,-0.15,-0.13,-0.11,-0.07,-0.05,-0.05,-0.06,-0.01,0.08,0.22,0.32,0.36,0.38,0.35,0.32,0.24,0.13,0.05,-0.01,-0.04,0.0,0.08,0.2,0.29,0.4,0.45,0.43,0.37,0.3,0.22,0.12,0.05,0.03,0.07,0.14,0.23,0.32,0.34,0.31,0.26,0.16,0.03,-0.11,-0.21,-0.28,-0.31,-0.28,-0.24,-0.18,-0.13,-0.11,-0.09,-0.1,-0.16,-0.23,-0.33,-0.41,-0.48,-0.5,-0.47,-0.43,-0.39,-0.36,-0.36,-0.37,-0.33,-0.3,-0.3,-0.31,-0.27,-0.21,-0.18,-0.16,-0.08,0.01,0.07,0.1,0.1,0.13,0.15,0.15,0.12,0.1,0.1,0.1,0.11,0.11,0.13,0.2,0.26,0.3,0.33,0.35,0.35,0.33,0.32,0.3,0.29,0.33,0.41,0.47,0.51,0.56,0.58,0.57,0.5,0.42,0.33,0.26,0.24,0.22,0.23,0.25,0.26,0.27,0.27,0.22,0.16,0.1,0.03,-0.02,-0.04,0.0,0.12,0.23,0.33,0.42,0.47,0.52,0.46,0.38,0.27,0.17,0.08,0.0,-0.04,-0.09,-0.13,-0.16,-0.17,-0.19,-0.22,-0.26,-0.27,-0.26,-0.28,-0.29,-0.27,-0.24,-0.22,-0.21,-0.21,-0.19,-0.17,-0.15,-0.16,-0.2,-0.21,-0.23,-0.28,-0.36,-0.44,-0.46,-0.46,-0.45,-0.41,-0.34,-0.26,-0.21,-0.17,-0.14,-0.15,-0.22,-0.31,-0.35,-0.4,-0.43,-0.45,-0.42,-0.35,-0.27,-0.16,-0.1,-0.02,0.06,0.09,0.1,0.07,0.06,0.0,-0.03,0.02,0.13,0.24,0.33,0.39,0.41,0.42,0.4,0.33,0.21,0.1,0.01,-0.05,-0.08,-0.09,-0.14,-0.22,-0.29,-0.31,-0.32,-0.37,-0.47,-0.58,-0.63,-0.68,-0.68,-0.64,-0.61,-0.58,-0.57,-0.56,-0.56,-0.57,-0.61,-0.67,-0.73,-0.8,-0.85,-0.91,-0.95,-0.93,-0.89,-0.81,-0.74,-0.71,-0.69,-0.68,-0.68,-0.71,-0.7,-0.68,-0.6,-0.46,-0.3,-0.15,-0.04,0.05,0.12,0.19,0.24,0.28,0.32,0.37,0.43,0.48,</t>
  </si>
  <si>
    <t>To_Avoid_Formula-1.51,-1.52,-1.52,-1.52,-1.52,-1.52,-1.52,-1.52,-1.52,-1.52,-1.52,-1.52,-1.52,-1.52,-1.52,-1.52,-1.52,-1.52,-1.52,-1.52,-1.52,-1.52,-1.52,-1.51,-1.51,-1.51,-1.51,-1.51,-1.5,-1.5,-1.5,-1.49,-1.49,-1.49,-1.49,-1.48,-1.48,-1.47,-1.47,-1.47,-1.46,-1.46,-1.45,-1.45,-1.44,-1.44,-1.43,-1.43,-1.42,-1.42,-1.41,-1.41,-1.4,-1.4,-1.39,-1.38,-1.38,-1.37,-1.36,-1.36,-1.35,-1.34,-1.34,-1.33,-1.32,-1.31,-1.31,-1.3,-1.29,-1.28,-1.27,-1.26,-1.26,-1.25,-1.24,-1.23,-1.22,-1.21,-1.2,-1.19,-1.18,-1.17,-1.16,-1.15,-1.14,-1.12,-1.11,-1.1,-1.09,-1.08,-1.07,-1.05,-1.04,-1.03,-1.02,-1.0,-0.99,-0.97,-0.96,-0.95,-0.93,-0.92,-0.9,-0.89,-0.87,-0.86,-0.84,-0.83,-0.81,-0.8,-0.78,-0.76,-0.75,-0.73,-0.71,-0.7,-0.68,-0.66,-0.65,-0.63,-0.61,-0.59,-0.58,-0.56,-0.54,-0.52,-0.5,-0.48,-0.47,-0.45,-0.43,-0.41,-0.39,-0.37,-0.35,-0.34,-0.32,-0.3,-0.28,-0.26,-0.24,-0.22,-0.2,-0.18,-0.17,-0.15,-0.13,-0.11,-0.09,-0.07,-0.05,-0.03,-0.02,0.0,0.02,0.04,0.06,0.08,0.1,0.11,0.13,0.15,0.17,0.19,0.21,0.22,0.24,0.26,0.28,0.3,0.32,0.33,0.35,0.37,0.39,0.41,0.42,0.44,0.46,0.48,0.49,0.51,0.53,0.55,0.57,0.58,0.6,0.62,0.64,0.65,0.67,0.69,0.71,0.72,0.74,0.76,0.77,0.79,0.81,0.83,0.84,0.86,0.88,0.89,0.91,0.93,0.94,0.96,0.98,0.99,1.01,1.02,1.04,1.05,1.07,1.09,1.1,1.12,1.13,1.15,1.16,1.17,1.19,1.2,1.22,1.23,1.24,1.26,1.27,1.28,1.29,1.31,1.32,1.33,1.34,1.35,1.37,1.38,1.39,1.4,1.41,1.42,1.43,1.44,1.45,1.45,1.46,1.47,1.48,1.49,1.49,1.5,1.51,1.51,1.52,1.53,1.53,1.54,1.54,1.55,1.55,1.56,1.56,1.56,1.57,1.57,1.57,1.58,1.58,1.58,1.58,1.59,1.59,1.59,1.59,1.59,1.59,1.59,1.59,1.59,1.6,1.6,1.6,1.6,1.6,1.6,1.6,1.59,1.59,1.59,1.59,1.59,1.59,1.59,1.59,1.59,1.59,1.59,1.58,1.58,1.58,1.58,1.58,1.58,1.57,1.57,1.57,1.57,1.56,1.56,1.56,1.55,1.55,1.55,1.54,1.54,1.54,1.53,1.53,1.53,1.52,1.52,1.51,1.51,1.5,1.5,1.49,1.48,1.48,1.47,1.47,1.46,1.45,1.45,1.44,1.43,1.42,1.42,1.41,1.4,1.39,1.38,1.37,1.36,1.36,1.35,1.34,1.33,1.32,1.31,1.3,1.29,1.28,1.27,1.25,1.24,1.23,1.22,1.21,1.2,1.19,1.18,1.16,1.15,1.14,1.13,1.12,1.1,1.09,1.08,1.07,1.05,1.04,1.03,1.01,1.0,0.99,0.97,0.96,0.95,0.93,0.92,0.91,0.89,0.88,0.86,0.85,0.84,0.82,0.81,0.79,0.78,0.77,0.75,0.74,0.72,0.71,0.7,0.68,0.67,0.65,0.64,0.63,0.61,0.6,0.58,0.57,0.56,0.54,0.53,0.51,0.5,0.48,0.47,0.46,0.44,0.43,0.41,0.4,0.38,0.37,0.36,0.34,0.33,0.31,0.3,0.28,0.27,0.26,0.24,0.23,0.21,0.18,0.17,0.16,0.14,0.13,0.12,0.1,0.09,0.08,0.06,0.05,0.04,0.03,0.01,0.0,-0.01,-0.02,-0.04,-0.05,-0.06,-0.07,-0.08,-0.09,-0.1,-0.12,-0.13,-0.14,-0.15,-0.16,-0.17,-0.18,-0.19,-0.2,-0.21,-0.21,-0.22,-0.23,-0.24,-0.25,-0.26,-0.26,-0.27,-0.28,-0.29,-0.29,-0.3,-0.3,-0.31,-0.32,-0.32,-0.33,-0.33,-0.34,-0.34,-0.34,-0.35,-0.35,-0.35,-0.36,-0.36,-0.36,-0.36,-0.36,-0.36,-0.36,-0.36,-0.37,-0.36,-0.36,-0.36,-0.36,-0.36,-0.36,-0.36,-0.36,-0.35,-0.35,-0.35,-0.34,-0.34,-0.34,-0.33,-0.33,-0.32,-0.32,-0.31,-0.31,-0.3,-0.3,-0.29,-0.28,-0.28,-0.27,-0.26,-0.25,-0.25,-0.24,-0.23,-0.22,-0.21,-0.21,-0.2,-0.19,-0.18,-0.17,-0.16,-0.15,-0.14,-0.13,-0.12,-0.11,-0.1,-0.09,-0.08,-0.07,-0.05,-0.04,-0.03,-0.02,-0.01,0.0,0.02,0.03,0.04,0.05,0.07,0.08,0.09,0.11,0.12,0.13,0.15,0.16,0.18,0.19,0.2,0.22,0.23,0.25,0.27,0.28,0.3,0.31,0.33,0.35,0.36,0.38,0.4,0.41,0.43,0.45,0.47,0.49,0.5,0.52,0.54,0.56,0.58,0.6,0.62,0.64,0.66,0.68,0.7,0.72,0.74,0.76,0.78,0.8,0.82,0.84,0.86,0.88,0.9,0.92,0.94,0.96,0.98,1.01,1.03,1.05,1.07,1.09,1.11,1.13,1.15,1.17,1.2,1.22,1.24,1.26,1.28,1.3,1.32,1.34,1.37,1.39,1.41,1.43,1.45,1.47,1.49,1.51,1.54,1.56,1.58,1.6,1.62,1.64,1.66,1.68,1.7,1.73,1.75,1.77,1.79,1.81,1.83,1.85,1.87,1.89,1.91,1.93,1.95,1.97,2.0,2.02,2.04,2.06,2.08,2.1,2.12,2.14,2.16,2.18,2.2,2.22,2.24,2.26,2.28,2.3,2.32,2.34,2.36,2.37,2.39,2.41,2.43,2.45,2.47,2.49,2.5,2.52,2.54,2.56,2.57,2.59,2.61,2.63,2.64,2.66,2.67,2.69,2.71,2.72,2.74,2.75,2.77,2.78,2.79,2.81,2.82,2.84,2.85,2.86,2.88,2.89,2.9,2.91,2.93,2.94,2.95,2.96,2.97,2.98,2.99,3.0,3.01,3.02,3.03,3.04,3.05,3.06,3.07,3.08,3.09,3.1,3.1,3.11,3.12,3.12,3.13,3.14,3.14,3.15,3.15,3.16,3.16,3.17,3.17,3.18,3.18,3.18,3.18,3.19,3</t>
  </si>
  <si>
    <t>To_Avoid_Formula.19,3.19,3.19,3.19,3.19,3.2,3.2,3.2,3.2,3.19,3.19,3.19,3.19,3.19,3.19,3.19,3.18,3.18,3.18,3.17,3.17,3.17,3.16,3.16,3.15,3.15,3.15,3.14,3.13,3.13,3.12,3.12,3.11,3.1,3.1,3.09,3.08,3.08,3.07,3.06,3.06,3.05,3.04,3.03,3.02,3.01,3.01,3.0,2.99,2.98,2.97,2.96,2.95,2.94,2.93,2.92,2.91,2.9,2.89,2.88,2.87,2.86,2.85,2.84,2.83,2.81,2.8,2.79,2.78,2.77,2.76,2.74,2.73,2.72,2.71,2.69,2.68,2.67,2.65,2.64,2.63,2.61,2.6,2.59,2.57,2.56,2.54,2.53,2.51,2.5,2.48,2.47,2.45,2.44,2.42,2.41,2.39,2.38,2.36,2.34,2.33,2.31,2.3,2.28,2.26,2.25,2.23,2.21,2.2,2.18,2.16,2.14,2.13,2.11,2.09,2.07,2.06,2.04,2.02,2.0,1.99,1.97,1.95,1.93,1.91,1.9,1.88,1.86,1.84,1.82,1.81,1.79,1.77,1.75,1.73,1.71,1.69,1.68,1.66,1.64,1.62,1.6,1.58,1.56,1.54,1.52,1.5,1.48,1.46,1.44,1.42,1.4,1.38,1.36,1.34,1.32,1.3,1.28,1.25,1.23,1.21,1.19,1.16,1.14,1.12,1.1,1.07,1.05,1.02,1.0,0.97,0.95,0.92,0.9,0.87,0.84,0.82,0.79,0.76,0.73,0.71,0.68,0.65,0.62,0.59,0.56,0.53,0.5,0.47,0.44,0.41,0.38,0.34,0.31,0.28,0.25,0.21,0.18,0.15,0.11,0.08,0.04,0.01,-0.03,-0.06,-0.1,-0.13,-0.17,-0.21,-0.24,-0.28,-0.32,-0.35,-0.39,-0.43,-0.47,-0.5,-0.54,-0.58,-0.62,-0.66,-0.7,-0.73,-0.77,-0.81,-0.85,-0.89,-0.93,-0.97,-1.01,-1.05,-1.09,-1.12,-1.16,-1.2,-1.24,-1.28,-1.32,-1.36,-1.4,-1.44,-1.48,-1.52,-1.56,-1.6,-1.63,-1.67,-1.71,-1.75,-1.79,-1.83,-1.87,-1.9,-1.94,-1.98,-2.02,-2.06,-2.09,-2.13,-2.17,-2.21,-2.24,-2.28,-2.32,-2.35,-2.39,-2.43,-2.46,-2.5,-2.53,-2.57,-2.6,-2.64,-2.67,-2.71,-2.74,-2.78,-2.81,-2.85,-2.88,-2.91,-2.95,-2.98,-3.01,-3.05,-3.08,-3.11,-3.14,-3.18,-3.21,-3.24,-3.27,-3.3,-3.33,-3.37,-3.4,-3.43,</t>
  </si>
  <si>
    <t>To_Avoid_Formula1.51,1.44,1.47,1.55,1.6,1.62,1.65,1.65,1.63,1.57,1.49,1.41,1.35,1.26,1.14,1.03,0.97,0.94,0.91,0.8,0.64,0.5,0.4,0.29,0.15,-0.05,-0.22,-0.33,-0.4,-0.46,-0.53,-0.55,-0.5,-0.4,-0.3,-0.2,-0.11,-0.05,-0.05,-0.08,-0.14,-0.24,-0.36,-0.52,-0.68,-0.81,-0.84,-0.83,-0.78,-0.71,-0.62,-0.49,-0.35,-0.25,-0.2,-0.18,-0.12,-0.07,-0.02,0.05,0.2,0.39,0.62,0.84,1.02,1.19,1.35,1.47,1.5,1.5,1.46,1.41,1.34,1.26,1.09,0.9,0.77,0.68,0.57,0.46,0.43,0.47,0.57,0.68,0.8,0.89,0.94,1.04,1.14,1.18,1.17,1.1,1.0,0.92,0.89,0.87,0.9,0.94,0.99,0.96,0.88,0.78,0.63,0.38,0.07,-0.33,-0.64,-0.78,-0.83,-0.85,-0.85,-0.82,-0.79,-0.79,-0.76,-0.69,-0.61,-0.59,-0.63,-0.69,-0.67,-0.6,-0.6,-0.71,-0.85,-0.97,-1.08,-1.3,-1.73,-2.25,-2.76,-3.08,-3.16,-3.23,-3.35,-3.49,-3.55,-3.52,-3.46,-3.43,-3.43,-3.46,-3.48,-3.47,-3.41,-3.27,-3.09,-2.92,-2.69,-2.43,-2.13,-1.79,-1.43,-1.16,-0.97,-0.75,-0.56,-0.51,-0.58,-0.71,-0.82,-0.87,-0.86,-0.86,-0.91,-1.0,-1.12,-1.24,-1.33,-1.42,-1.51,-1.56,-1.55,-1.51,-1.5,-1.48,-1.39,-1.22,-1.02,-0.79,-0.52,-0.27,-0.06,0.13,0.33,0.52,0.64,0.67,0.62,0.55,0.45,0.32,0.18,0.04,-0.11,-0.24,-0.32,-0.38,-0.43,-0.51,-0.59,-0.64,-0.67,-0.74,-0.86,-0.97,-0.99,-0.9,-0.74,-0.55,-0.4,-0.27,-0.15,0.0,0.21,0.46,0.64,0.65,0.59,0.53,0.62,0.81,1.01,1.1,1.06,1.05,1.11,1.16,1.12,1.06,1.02,1.0,0.93,0.82,0.7,0.65,0.66,0.69,0.7,0.72,0.81,0.95,1.1,1.19,1.14,1.01,0.85,0.68,0.45,0.2,-0.02,-0.19,-0.35,-0.52,-0.57,-0.5,-0.36,-0.22,-0.13,-0.01,0.23,0.56,0.84,1.04,1.24,1.46,1.67,1.89,2.07,2.21,2.37,2.5,2.56,2.54,2.51,2.51,2.52,2.49,2.39,2.28,2.18,2.09,1.99,1.9,1.85,1.82,1.83,1.89,2.02,2.15,2.28,2.42,2.52,2.57,2.59,2.51,2.35,2.2,2.14,2.19,2.28,2.4,2.44,2.42,2.41,2.38,2.33,2.28,2.22,2.14,2.06,1.98,1.93,1.91,1.95,2.06,2.19,2.28,2.38,2.52,2.66,2.7,2.58,2.43,2.37,2.33,2.2,1.99,1.74,1.45,1.16,0.89,0.61,0.35,0.21,0.19,0.33,0.48,0.63,0.75,0.83,0.91,0.91,0.73,0.47,0.25,0.09,0.01,-0.11,-0.32,-0.6,-0.79,-0.91,-0.95,-0.93,-0.88,-0.79,-0.65,-0.43,-0.11,0.26,0.59,0.92,1.19,1.38,1.54,1.64,1.62,1.53,1.45,1.46,1.5,1.5,1.46,1.39,1.33,1.28,1.22,1.17,1.17,1.2,1.22,1.18,1.15,1.18,1.28,1.44,1.6,1.7,1.82,1.99,2.12,2.2,2.18,2.12,2.04,1.95,1.84,1.73,1.63,1.61,1.64,1.69,1.75,1.82,1.9,1.95,1.95,1.93,1.92,1.93,1.89,1.77,1.61,1.51,1.42,1.35,1.32,1.33,1.42,1.57,1.69,1.75,1.77,1.8,1.84,1.84,1.79,1.71,1.6,1.49,1.37,1.1,1.07,1.07,1.05,1.05,1.14,1.32,1.55,1.69,1.75,1.79,1.85,1.91,1.92,1.85,1.72,1.56,1.43,1.36,1.26,1.14,1.05,0.96,0.9,0.88,0.89,0.95,1.07,1.18,1.26,1.31,1.41,1.58,1.73,1.8,1.81,1.78,1.72,1.64,1.49,1.26,1.01,0.68,0.29,-0.05,-0.34,-0.5,-0.54,-0.53,-0.5,-0.41,-0.24,0.07,0.38,0.59,0.63,0.46,0.28,0.09,-0.11,-0.31,-0.48,-0.62,-0.76,-0.91,-0.98,-1.0,-1.02,-1.05,-1.1,-1.21,-1.37,-1.58,-1.81,-2.08,-2.34,-2.53,-2.72,-2.87,-2.99,-3.05,-3.06,-3.0,-2.93,-2.85,-2.77,-2.7,-2.68,-2.7,-2.72,-2.72,-2.69,-2.57,-2.4,-2.26,-2.11,-1.9,-1.59,-1.27,-0.97,-0.61,-0.16,0.31,0.77,1.22,1.64,2.0,2.36,2.6,2.73,2.86,2.96,3.02,3.05,3.06,3.04,3.06,3.04,2.96,2.84,2.77,2.78,2.82,2.84,2.83,2.84,2.91,2.98,2.95,2.89,2.86,2.86,2.85,2.78,2.61,2.41,2.19,2.03,1.89,1.75,1.62,1.46,1.28,1.12,0.99,0.85,0.71,0.6,0.48,0.37,0.31,0.27,0.24,0.25,0.37,0.64,0.91,1.03,1.0,0.95,1.0,1.12,1.19,1.23,1.31,1.42,1.48,1.5,1.46,1.36,1.19,0.91,0.58,0.24,-0.01,-0.11,-0.1,0.02,0.29,0.61,1.01,1.33,1.52,1.69,1.96,2.31,2.67,2.83,2.68,2.51,2.4,2.29,2.04,1.66,1.18,0.64,0.02,-0.4,-0.52,-0.41,-0.11,0.33,0.79,1.1,1.33,1.56,1.77,1.89,1.99,2.05,2.03,1.95,1.84,1.76,1.69,1.61,1.56,1.5,1.36,1.18,0.96,0.79,0.83,1.03,1.38,1.75,2.02,2.29,2.5,2.59,2.55,2.37,2.15,1.95,1.77,1.55,1.26,0.95,0.66,0.38,0.19,0.18,0.3,0.5,0.61,0.64,0.69,0.79,0.9,1.03,1.23,1.45,1.58,1.62,1.64,1.69,1.69,1.58,1.38,1.19,1.05,0.9,0.67,0.41,0.25,0.3,0.46,0.59,0.71,0.81,0.92,1.0,1.02,1.0,0.98,0.96,0.93,0.88,0.88,0.95,1.05,1.11,1.15,1.14,1.09,1.03,0.93,0.8,0.73,0.79,1.03,1.28,1.49,1.59,1.61,1.62,1.56,1.45,1.29,1.21,1.18,1.12,1.04,1.02,1.06,1.1,1.1,1.09,1.14,1.26,1.41,1.5,1.51,1.49,1.46,1.49,1.61,1.82,1.99,2.07,2.03,1.91,1.78,1.64,1.51,1.34,1.2</t>
  </si>
  <si>
    <t>To_Avoid_Formula1,1.15,1.16,1.19,1.18,1.13,1.06,0.99,0.94,0.87,0.77,0.6,0.47,0.43,0.44,0.47,0.51,0.57,0.69,0.87,1.13,1.37,1.51,1.58,1.63,1.66,1.65,1.56,1.42,1.23,1.1,1.16,1.33,1.53,1.66,1.75,1.81,1.85,1.85,1.78,1.65,1.5,1.38,1.38,1.5,1.68,1.84,2.01,2.24,2.43,2.52,2.53,2.52,2.55,2.61,2.63,2.64,2.7,2.84,2.99,3.16,3.29,3.31,3.17,2.95,2.73,2.47,2.23,2.03,1.86,1.7,1.6,1.56,1.54,1.43,1.26,1.1,1.0,0.91,0.81,0.7,0.64,0.72,0.85,0.94,0.94,0.87,0.81,0.79,0.8,0.73,0.53,0.29,0.11,0.0,-0.07,-0.17,-0.2,-0.18,-0.08,0.05,0.19,0.28,0.33,0.38,0.51,0.66,0.76,0.85,0.94,1.06,1.24,1.45,1.59,1.61,1.52,1.41,1.26,1.1,0.9,0.64,0.45,0.33,0.27,0.23,0.15,0.03,-0.04,-0.09,-0.18,-0.28,-0.35,-0.32,-0.22,-0.07,0.1,0.24,0.36,0.46,0.51,0.49,0.38,0.27,0.17,0.06,0.0,0.0,0.14,0.31,0.45,0.5,0.51,0.54,0.54,0.53,0.55,0.79,1.15,1.61,1.99,2.23,2.39,2.61,2.93,3.26,3.51,3.65,3.74,3.72,3.65,3.51,3.38,3.19,2.93,2.7,2.56,2.55,2.54,2.51,2.53,2.61,2.75,2.95,3.1,3.15,3.11,3.11,3.24,3.42,3.54,3.55,3.5,3.46,3.47,3.4,3.21,2.85,2.45,2.11,1.85,1.71,1.66,1.8,1.98,2.1,2.24,2.5,2.81,3.01,3.09,3.11,3.12,3.11,3.05,2.91,2.77,2.68,2.66,2.66,2.59,2.45,2.28,2.15,2.07,1.98,1.82,1.68,1.59,1.62,1.75,1.85,1.89,1.85,1.82,1.8,1.75,1.66,1.54,1.41,1.32,1.35,1.45,1.55,1.59,1.53,1.43,1.31,1.19,0.94,0.62,0.31,0.07,-0.06,-0.17,-0.31,-0.44,-0.49,-0.42,-0.31,-0.29,-0.3,-0.28,-0.17,-0.06,0.0,0.0,0.12,0.34,0.61,0.79,0.85,0.9,1.04,1.26,1.44,1.59,1.76,2.01,2.25,2.49,2.76,3.01,3.2,3.34,3.42,3.47,</t>
  </si>
  <si>
    <t>To_Avoid_Formula0.12,0.11,0.1,0.09,0.08,0.07,0.06,0.05,0.04,0.03,0.02,0.02,0.01,0.0,0.0,-0.01,-0.01,-0.02,-0.02,-0.03,-0.03,-0.03,-0.03,-0.04,-0.04,-0.04,-0.04,-0.04,-0.04,-0.04,-0.04,-0.04,-0.04,-0.03,-0.03,-0.03,-0.03,-0.02,-0.02,-0.01,-0.01,0.0,0.01,0.02,0.02,0.03,0.04,0.05,0.07,0.08,0.09,0.1,0.11,0.12,0.13,0.14,0.15,0.16,0.17,0.18,0.19,0.19,0.2,0.2,0.2,0.2,0.2,0.2,0.2,0.2,0.2,0.2,0.2,0.2,0.2,0.19,0.19,0.19,0.19,0.19,0.19,0.19,0.19,0.19,0.19,0.19,0.19,0.19,0.19,0.19,0.19,0.18,0.18,0.18,0.18,0.18,0.18,0.18,0.17,0.17,0.17,0.16,0.15,0.15,0.14,0.14,0.13,0.13,0.12,0.12,0.11,0.11,0.11,0.11,0.11,0.11,0.12,0.12,0.12,0.12,0.13,0.13,0.13,0.13,0.14,0.14,0.15,0.15,0.15,0.15,0.15,0.15,0.16,0.16,0.16,0.16,0.16,0.16,0.16,0.16,0.16,0.16,0.16,0.15,0.15,0.15,0.15,0.15,0.15,0.16,0.16,0.16,0.16,0.17,0.17,0.18,0.18,0.19,0.19,0.19,0.2,0.2,0.2,0.2,0.2,0.2,0.2,0.2,0.2,0.2,0.2,0.2,0.2,0.2,0.2,0.2,0.19,0.19,0.19,0.19,0.19,0.19,0.19,0.19,0.19,0.19,0.19,0.19,0.19,0.19,0.19,0.19,0.19,0.19,0.19,0.2,0.2,0.2,0.2,0.2,0.2,0.2,0.2,0.21,0.21,0.21,0.21,0.21,0.21,0.21,0.21,0.21,0.2,0.2,0.2,0.2,0.2,0.2,0.2,0.2,0.2,0.2,0.19,0.19,0.19,0.19,0.19,0.18,0.18,0.18,0.18,0.18,0.18,0.17,0.17,0.17,0.17,0.16,0.16,0.16,0.15,0.15,0.14,0.14,0.13,0.13,0.12,0.11,0.1,0.09,0.09,0.08,0.07,0.06,0.06,0.05,0.04,0.04,0.03,0.03,0.02,0.02,0.01,0.01,0.0,0.0,0.0,0.0,0.0,-0.01,-0.01,-0.01,0.0,0.0,0.0,0.0,0.0,0.0,0.0,0.0,0.0,0.0,0.0,0.0,-0.01,-0.01,-0.01,-0.01,-0.01,-0.01,-0.01,-0.01,-0.01,-0.01,0.0,0.0,0.0,0.0,0.0,0.01,0.01,0.01,0.02,0.02,0.02,0.03,0.03,0.04,0.04,0.04,0.05,0.05,0.05,0.06,0.06,0.06,0.06,0.07,0.07,0.07,0.07,0.07,0.07,0.07,0.07,0.07,0.07,0.07,0.07,0.07,0.07,0.07,0.07,0.08,0.08,0.08,0.08,0.08,0.08,0.08,0.09,0.09,0.09,0.09,0.09,0.1,0.1,0.1,0.1,0.1,0.1,0.1,0.1,0.1,0.1,0.09,0.09,0.09,0.09,0.08,0.08,0.07,0.07,0.06,0.06,0.06,0.05,0.05,0.04,0.04,0.03,0.03,0.02,0.02,0.01,0.01,0.01,0.0,0.0,0.0,0.0,-0.01,-0.01,-0.01,-0.01,-0.01,0.0,0.0,0.0,0.0,0.0,0.01,0.01,0.01,0.01,0.01,0.01,0.02,0.02,0.02,0.03,0.03,0.04,0.04,0.05,0.05,0.06,0.07,0.07,0.08,0.09,0.09,0.1,0.11,0.12,0.13,0.14,0.15,0.17,0.18,0.19,0.2,0.21,0.22,0.24,0.25,0.26,0.26,0.27,0.28,0.29,0.29,0.3,0.3,0.31,0.31,0.31,0.31,0.32,0.32,0.32,0.32,0.32,0.32,0.33,0.33,0.33,0.33,0.33,0.33,0.33,0.33,0.33,0.33,0.33,0.33,0.33,0.32,0.32,0.32,0.31,0.31,0.31,0.3,0.29,0.29,0.28,0.28,0.27,0.26,0.26,0.25,0.24,0.24,0.23,0.23,0.22,0.22,0.21,0.21,0.21,0.21,0.21,0.21,0.21,0.21,0.21,0.22,0.22,0.22,0.22,0.22,0.22,0.22,0.22,0.22,0.22,0.22,0.21,0.21,0.21,0.21,0.21,0.21,0.22,0.22,0.22,0.22,0.22,0.22,0.22,0.22,0.22,0.23,0.23,0.23,0.24,0.24,0.25,0.25,0.25,0.26,0.26,0.27,0.28,0.28,0.29,0.29,0.3,0.3,0.31,0.31,0.31,0.32,0.32,0.32,0.32,0.33,0.33,0.33,0.33,0.33,0.34,0.34,0.34,0.34,0.35,0.35,0.35,0.36,0.36,0.37,0.38,0.38,0.39,0.39,0.4,0.41,0.41,0.42,0.42,0.43,0.44,0.44,0.45,0.45,0.45,0.46,0.46,0.47,0.47,0.47,0.48,0.48,0.48,0.48,0.49,0.49,0.49,0.49,0.49,0.49,0.49,0.49,0.49,0.49,0.49,0.49,0.49,0.49,0.49,0.49,0.5,0.5,0.5,0.5,0.5,0.5,0.5,0.5,0.5,0.5,0.49,0.49,0.49,0.49,0.48,0.48,0.48,0.48,0.47,0.47,0.47,0.47,0.46,0.46,0.46,0.46,0.46,0.45,0.45,0.45,0.44,0.44,0.43,0.43,0.43,0.43,0.43,0.42,0.42,0.42,0.42,0.42,0.42,0.42,0.42,0.42,0.42,0.42,0.42,0.41,0.41,0.41,0.41,0.41,0.41,0.4,0.4,0.4,0.4,0.4,0.4,0.4,0.4,0.4,0.4,0.4,0.4,0.4,0.4,0.4,0.4,0.4,0.41,0.41,0.41,0.41,0.41,0.41,0.41,0.42,0.42,0.42,0.42,0.43,0.43,0.43,0.44,0.44,0.44,0.44,0.44,0.44,0.44,0.44,0.44,0.44,0.44,0.44,0.44,0.44,0.44,0.45,0.45,0.45,0.45,0.45,0.45,0.45,0.45,0.45,0.45,0.45,0.45,0.45,0.45,0.45,0.45,0.45,0.45,0.45,0.45,0.45,0.44,0.44,0.43,0.43,0.42,0.42,0.41,0.41,0.4,0.39,0.38,0.37,0.36,0.35,0.33,0.32,0.31,0.31,0.3,0.29,0.29,0.28,0.27,0.26,0.26,0.25,0.24,0.24,0.23,0.23,0.22,0.22,0.21,0.2,0.2,0.19,0.18,0.18,0.17,0.16,0.16,0.15,0.14,0.13,0.12,0.12,0.11,0.1,0.1,0.1,0.09,0.09,0.09,0.1,0.1,0.1,0.1,0.1,0.11,0.11,0.11,0.12,0.12,0.13,0.14,0.14,0.15,0.15,0.16,0.16,0.16,0.17,0.17,0.17,0.18,0.18,0.18,0.18,0.18,0.19,0.19,0.19,0.19,0.19,0.19,0.19,0.2,0.2,0.2,0.2,0</t>
  </si>
  <si>
    <t>To_Avoid_Formula.2,0.2,0.21,0.21,0.21,0.21,0.22,0.22,0.22,0.21,0.21,0.2,0.2,0.19,0.18,0.18,0.17,0.17,0.16,0.16,0.15,0.15,0.14,0.14,0.13,0.13,0.12,0.12,0.12,0.11,0.11,0.11,0.11,0.1,0.1,0.1,0.1,0.09,0.09,0.09,0.09,0.08,0.08,0.08,0.08,0.07,0.07,0.07,0.07,0.06,0.06,0.05,0.05,0.04,0.04,0.04,0.03,0.03,0.03,0.02,0.02,0.02,0.02,0.01,0.01,0.01,0.0,-0.01,-0.01,-0.02,-0.03,-0.04,-0.05,-0.06,-0.07,-0.08,-0.1,-0.11,-0.12,-0.14,-0.15,-0.17,-0.18,-0.2,-0.21,-0.23,-0.24,-0.26,-0.27,-0.29,-0.3,-0.32,-0.33,-0.35,-0.36,-0.37,-0.39,-0.4,-0.41,-0.42,-0.43,-0.44,-0.45,-0.46,-0.47,-0.48,-0.49,-0.5,-0.51,-0.51,-0.52,-0.52,-0.53,-0.53,-0.53,-0.53,-0.53,-0.53,-0.53,-0.52,-0.52,-0.51,-0.51,-0.5,-0.49,-0.48,-0.47,-0.46,-0.45,-0.44,-0.43,-0.42,-0.41,-0.4,-0.39,-0.38,-0.37,-0.36,-0.35,-0.34,-0.33,-0.32,-0.31,-0.3,-0.29,-0.29,-0.28,-0.27,-0.27,-0.26,-0.25,-0.25,-0.24,-0.23,-0.23,-0.22,-0.22,-0.21,-0.21,-0.21,-0.2,-0.2,-0.2,-0.21,-0.21,-0.21,-0.22,-0.22,-0.22,-0.23,-0.23,-0.24,-0.25,-0.25,-0.26,-0.27,-0.28,-0.29,-0.3,-0.31,-0.31,-0.32,-0.33,-0.34,-0.34,-0.35,-0.35,-0.36,-0.37,-0.37,-0.38,-0.38,-0.39,-0.39,-0.39,-0.39,-0.39,-0.4,-0.4,-0.4,-0.4,-0.41,-0.41,-0.42,-0.42,-0.43,-0.43,-0.44,-0.44,-0.45,-0.45,-0.45,-0.45,-0.45,-0.45,-0.45,-0.45,-0.45,-0.45,-0.45,-0.46,-0.46,-0.46,-0.46,-0.45,-0.45,-0.45,-0.45,-0.45,-0.45,-0.45,-0.45,-0.45,-0.45,-0.45,-0.45,-0.45,-0.45,-0.45,-0.45,</t>
  </si>
  <si>
    <t>To_Avoid_Formula1.34,1.34,1.35,1.39,1.43,1.49,1.55,1.62,1.7,1.78,1.88,1.98,2.09,2.21,2.32,2.42,2.51,2.6,2.67,2.74,2.79,2.83,2.85,2.86,2.86,2.86,2.84,2.82,2.79,2.77,2.76,2.76,2.77,2.79,2.81,2.83,2.84,2.85,2.84,2.83,2.8,2.77,2.75,2.72,2.7,2.68,2.66,2.64,2.62,2.6,2.58,2.55,2.53,2.51,2.48,2.45,2.42,2.39,2.34,2.29,2.24,2.18,2.12,2.08,2.05,2.05,2.07,2.13,2.21,2.31,2.44,2.57,2.71,2.83,2.94,3.03,3.1,3.15,3.19,3.21,3.22,3.22,3.19,3.14,3.06,2.95,2.83,2.68,2.53,2.37,2.22,2.06,1.92,1.79,1.67,1.55,1.46,1.37,1.3,1.24,1.2,1.18,1.17,1.18,1.21,1.25,1.31,1.39,1.48,1.58,1.68,1.79,1.89,2.0,2.1,2.2,2.3,2.41,2.51,2.61,2.7,2.79,2.86,2.92,2.97,3.02,3.05,3.08,3.1,3.1,3.1,3.09,3.07,3.04,3.0,2.95,2.9,2.86,2.82,2.79,2.76,2.72,2.69,2.65,2.61,2.55,2.48,2.41,2.33,2.24,2.15,2.05,1.94,1.82,1.7,1.59,1.48,1.39,1.31,1.25,1.21,1.19,1.19,1.2,1.22,1.24,1.27,1.29,1.32,1.34,1.37,1.39,1.4,1.42,1.43,1.43,1.43,1.43,1.42,1.4,1.38,1.36,1.33,1.32,1.3,1.3,1.29,1.29,1.29,1.29,1.29,1.29,1.3,1.32,1.34,1.36,1.4,1.43,1.47,1.52,1.57,1.62,1.68,1.74,1.81,1.89,1.97,2.06,2.15,2.24,2.32,2.41,2.48,2.55,2.61,2.65,2.68,2.69,2.7,2.7,2.69,2.69,2.68,2.67,2.66,2.64,2.61,2.59,2.56,2.54,2.51,2.49,2.48,2.46,2.45,2.44,2.42,2.41,2.39,2.38,2.37,2.36,2.35,2.35,2.36,2.36,2.37,2.38,2.38,2.38,2.37,2.37,2.36,2.34,2.31,2.28,2.25,2.24,2.23,2.24,2.27,2.31,2.36,2.42,2.48,2.53,2.58,2.62,2.64,2.66,2.66,2.65,2.63,2.61,2.59,2.56,2.54,2.52,2.5,2.48,2.47,2.46,2.44,2.42,2.39,2.35,2.3,2.25,2.19,2.13,2.07,2.01,1.96,1.91,1.88,1.86,1.84,1.84,1.85,1.88,1.92,1.98,2.06,2.15,2.26,2.37,2.48,2.59,2.7,2.79,2.87,2.94,3.0,3.04,3.06,3.07,3.06,3.05,3.03,3.02,3.0,2.98,2.96,2.95,2.95,2.95,2.97,3.0,3.03,3.07,3.1,3.13,3.16,3.18,3.2,3.21,3.22,3.23,3.23,3.21,3.19,3.16,3.12,3.08,3.05,3.02,2.99,2.95,2.89,2.83,2.75,2.67,2.58,2.5,2.41,2.31,2.23,2.15,2.1,2.06,2.04,2.04,2.05,2.08,2.12,2.16,2.21,2.24,2.26,2.28,2.29,2.3,2.3,2.3,2.31,2.32,2.33,2.35,2.37,2.39,2.4,2.41,2.41,2.41,2.41,2.4,2.38,2.36,2.34,2.31,2.28,2.25,2.23,2.21,2.19,2.17,2.16,2.14,2.12,2.09,2.06,2.02,1.98,1.94,1.9,1.87,1.84,1.81,1.78,1.75,1.72,1.69,1.66,1.63,1.6,1.57,1.56,1.55,1.55,1.56,1.57,1.59,1.6,1.61,1.6,1.6,1.58,1.55,1.52,1.48,1.44,1.4,1.33,1.31,1.3,1.29,1.3,1.32,1.35,1.39,1.43,1.49,1.56,1.64,1.74,1.84,1.95,2.05,2.14,2.22,2.27,2.3,2.3,2.28,2.24,2.19,2.13,2.06,1.99,1.93,1.87,1.83,1.8,1.79,1.78,1.79,1.8,1.81,1.84,1.87,1.9,1.93,1.97,2.0,2.04,2.07,2.1,2.12,2.14,2.15,2.16,2.17,2.18,2.2,2.23,2.25,2.27,2.29,2.31,2.34,2.37,2.4,2.45,2.5,2.54,2.59,2.63,2.65,2.66,2.65,2.63,2.6,2.56,2.51,2.47,2.42,2.39,2.36,2.34,2.32,2.3,2.28,2.26,2.24,2.23,2.21,2.19,2.17,2.14,2.11,2.08,2.04,2.02,1.99,1.96,1.93,1.89,1.84,1.78,1.71,1.63,1.54,1.46,1.39,1.35,1.34,1.35,1.36,1.39,1.42,1.45,1.48,1.51,1.54,1.57,1.59,1.62,1.65,1.68,1.7,1.72,1.74,1.77,1.79,1.81,1.84,1.86,1.89,1.92,1.94,1.97,1.98,1.99,1.99,1.99,1.98,1.97,1.95,1.92,1.9,1.88,1.86,1.83,1.81,1.8,1.78,1.76,1.73,1.69,1.64,1.58,1.5,1.41,1.3,1.2,1.09,0.98,0.88,0.78,0.7,0.62,0.57,0.52,0.5,0.5,0.51,0.53,0.56,0.6,0.64,0.68,0.72,0.74,0.77,0.79,0.81,0.83,0.86,0.88,0.9,0.92,0.94,0.95,0.97,0.99,1.01,1.03,1.05,1.07,1.09,1.11,1.14,1.16,1.17,1.17,1.16,1.14,1.1,1.05,0.99,0.93,0.87,0.82,0.78,0.77,0.77,0.8,0.85,0.91,0.98,1.04,1.11,1.18,1.24,1.3,1.34,1.37,1.38,1.37,1.35,1.31,1.25,1.17,1.08,0.97,0.86,0.75,0.64,0.54,0.44,0.35,0.27,0.2,0.14,0.09,0.04,0.01,-0.02,-0.03,-0.03,-0.02,0.01,0.05,0.1,0.17,0.24,0.33,0.42,0.53,0.64,0.77,0.91,1.06,1.21,1.36,1.52,1.66,1.8,1.94,2.07,2.18,2.28,2.36,2.43,2.47,2.51,2.53,2.53,2.53,2.52,2.49,2.45,2.4,2.33,2.27,2.2,2.12,2.03,1.94,1.85,1.75,1.66,1.56,1.47,1.4,1.33,1.27,1.22,1.18,1.14,1.1,1.06,1.01,0.97,0.93,0.89,0.87,0.87,0.89,0.92,0.97,1.02,1.08,1.15,1.22,1.28,1.33,1.39,1.43,1.47,1.5,1.52,1.54,1.56,1.58,1.59,1.6,1.6,1.6,1.6,1.6,1.6,1.6,1.59,1.6,1.61,1.64,1.68,1.75,1.83,1.93,2.05,2.18,2.31,2.45,2.57,2.69,2.8,2.88,2.93,2.97,2.99,2.99,2.98,2.95,2.9,2.86,2.81,2.75,2.7,2.65,2.59,2.54,2.49,2.45,2.41,2.37,2.34,2.32,2.3,2.29,2.28,2.27,2.26,2.25,2.23,2.21,2.2,2.19,2.19,2.21,2.23,2.26</t>
  </si>
  <si>
    <t>To_Avoid_Formula,2.29,2.32,2.35,2.39,2.42,2.45,2.48,2.51,2.54,2.57,2.59,2.62,2.65,2.67,2.69,2.71,2.72,2.73,2.73,2.72,2.7,2.67,2.64,2.61,2.57,2.53,2.49,2.45,2.41,2.38,2.35,2.32,2.31,2.3,2.3,2.32,2.34,2.37,2.42,2.46,2.52,2.57,2.63,2.68,2.73,2.77,2.82,2.86,2.91,2.97,3.03,3.1,3.17,3.23,3.29,3.33,3.37,3.4,3.42,3.43,3.45,3.45,3.46,3.47,3.47,3.47,3.45,3.43,3.39,3.34,3.27,3.21,3.14,3.08,3.03,2.99,2.96,2.94,2.93,2.92,2.91,2.9,2.9,2.88,2.87,2.86,2.84,2.83,2.82,2.82,2.81,2.79,2.77,2.74,2.7,2.66,2.62,2.57,2.53,2.49,2.45,2.41,2.37,2.33,2.29,2.25,2.2,2.16,2.14,2.13,2.14,2.17,2.23,2.31,2.41,2.52,2.64,2.76,2.88,2.98,3.05,3.09,3.11,3.1,3.07,3.02,2.96,2.89,2.81,2.73,2.64,2.57,2.5,2.44,2.38,2.33,2.28,2.24,2.2,2.17,2.15,2.13,2.12,2.11,2.1,2.09,2.07,2.05,2.02,1.99,1.95,1.9,1.84,1.77,1.71,1.65,1.61,1.57,1.56,1.56,1.6,1.65,1.72,1.8,1.91,2.04,2.18,2.32,2.47,2.6,2.73,2.83,2.9,2.94,2.96,2.95,2.92,2.87,2.81,2.75,2.68,2.62,2.57,2.52,2.47,2.42,2.37,2.32,2.28,2.26,2.25,2.26,2.3,2.36,2.44,2.53,2.63,2.71,2.79,2.87,2.94,3.0,3.06,3.11,3.16,3.2,3.24,3.27,3.28,3.29,3.29,3.28,3.27,3.26,3.25,3.25,3.26,3.27,3.28,3.3,3.31,3.31,3.3,3.28,3.26,3.23,3.2,3.18,3.15,3.13,3.1,3.08,3.05,3.02,2.99,2.96,2.93,2.89,2.86,2.83,2.81,</t>
  </si>
  <si>
    <t>To_Avoid_Formula-1.23,-1.26,-1.19,-1.11,-1.11,-1.13,-1.09,-1.01,-0.93,-0.85,-0.79,-0.76,-0.67,-0.56,-0.46,-0.36,-0.23,-0.09,0.06,0.2,0.3,0.37,0.48,0.6,0.69,0.72,0.76,0.78,0.78,0.82,0.91,1.05,1.18,1.3,1.37,1.43,1.52,1.56,1.49,1.39,1.32,1.24,1.13,1.01,0.93,0.9,0.93,1.0,1.08,1.15,1.23,1.28,1.31,1.31,1.29,1.21,1.17,1.15,1.11,1.08,1.07,1.05,1.03,1.05,1.05,1.0,0.91,0.8,0.64,0.45,0.29,0.15,0.02,-0.07,-0.15,-0.26,-0.35,-0.38,-0.43,-0.51,-0.53,-0.41,-0.25,-0.11,0.06,0.17,0.21,0.27,0.33,0.31,0.26,0.19,0.1,0.04,0.01,-0.02,-0.05,-0.04,0.04,0.05,0.0,-0.03,-0.1,-0.29,-0.49,-0.65,-0.79,-0.9,-0.95,-0.97,-1.0,-1.0,-0.98,-0.97,-0.95,-0.89,-0.84,-0.87,-0.98,-1.09,-1.15,-1.14,-1.11,-1.12,-1.16,-1.17,-1.15,-1.2,-1.35,-1.52,-1.68,-1.73,-1.66,-1.58,-1.51,-1.42,-1.28,-1.12,-0.94,-0.76,-0.62,-0.49,-0.31,-0.1,0.1,0.3,0.45,0.57,0.7,0.92,1.16,1.4,1.63,1.77,1.81,1.83,1.86,1.8,1.67,1.52,1.44,1.4,1.37,1.31,1.21,1.13,1.09,1.02,0.91,0.79,0.66,0.54,0.48,0.45,0.4,0.36,0.35,0.36,0.36,0.37,0.41,0.4,0.33,0.27,0.23,0.19,0.09,-0.07,-0.28,-0.47,-0.66,-0.84,-1.01,-1.18,-1.35,-1.51,-1.61,-1.65,-1.67,-1.72,-1.78,-1.81,-1.78,-1.71,-1.64,-1.55,-1.41,-1.22,-1.0,-0.79,-0.61,-0.45,-0.33,-0.19,-0.03,0.15,0.27,0.29,0.26,0.23,0.31,0.45,0.52,0.48,0.38,0.31,0.31,0.32,0.24,0.11,0.02,-0.01,-0.08,-0.17,-0.26,-0.31,-0.3,-0.22,-0.18,-0.16,-0.11,-0.03,0.04,0.08,0.06,0.0,-0.1,-0.22,-0.38,-0.57,-0.76,-0.91,-1.03,-1.12,-1.08,-0.97,-0.83,-0.66,-0.5,-0.31,-0.02,0.33,0.57,0.72,0.87,1.06,1.22,1.35,1.42,1.44,1.45,1.49,1.49,1.38,1.26,1.21,1.19,1.07,0.94,0.81,0.71,0.62,0.54,0.46,0.39,0.34,0.28,0.21,0.23,0.28,0.32,0.36,0.43,0.46,0.44,0.32,0.12,-0.12,-0.31,-0.46,-0.58,-0.67,-0.76,-0.86,-0.96,-1.03,-1.11,-1.21,-1.27,-1.29,-1.35,-1.41,-1.42,-1.39,-1.32,-1.21,-1.12,-1.09,-1.04,-0.93,-0.83,-0.83,-0.96,-1.11,-1.15,-1.12,-1.11,-1.14,-1.19,-1.26,-1.36,-1.44,-1.47,-1.47,-1.41,-1.2,-0.86,-0.53,-0.18,0.17,0.44,0.7,0.9,0.93,0.85,0.79,0.83,0.95,1.04,1.07,1.02,0.97,0.95,1.0,1.11,1.2,1.29,1.38,1.49,1.65,1.82,1.93,1.99,1.97,1.91,1.83,1.71,1.53,1.28,1.05,0.93,0.84,0.69,0.51,0.34,0.21,0.13,0.1,0.08,0.09,0.15,0.21,0.24,0.27,0.33,0.42,0.53,0.62,0.68,0.69,0.72,0.75,0.71,0.56,0.4,0.24,0.08,-0.06,-0.19,-0.35,-0.46,-0.5,-0.53,-0.52,-0.47,-0.39,-0.34,-0.35,-0.36,-0.36,-0.33,-0.32,-0.36,-0.44,-0.49,-0.54,-0.61,-0.66,-0.69,-0.7,-0.67,-0.65,-0.7,-0.8,-0.85,-0.89,-0.96,-1.02,-1.1,-1.2,-1.29,-1.35,-1.45,-1.44,-1.4,-1.38,-1.34,-1.21,-0.99,-0.76,-0.68,-0.76,-0.89,-0.91,-0.85,-0.77,-0.71,-0.67,-0.67,-0.7,-0.67,-0.55,-0.43,-0.3,-0.11,0.09,0.28,0.49,0.72,0.88,1.04,1.21,1.37,1.52,1.66,1.73,1.73,1.74,1.74,1.72,1.64,1.53,1.37,1.16,0.89,0.59,0.33,0.13,0.05,0.06,0.08,0.14,0.19,0.24,0.36,0.46,0.45,0.27,-0.01,-0.24,-0.43,-0.6,-0.76,-0.94,-1.09,-1.19,-1.3,-1.33,-1.33,-1.33,-1.36,-1.35,-1.37,-1.48,-1.63,-1.73,-1.79,-1.83,-1.84,-1.88,-1.9,-1.88,-1.82,-1.7,-1.5,-1.28,-1.01,-0.7,-0.4,-0.09,0.18,0.4,0.66,0.95,1.24,1.51,1.8,2.09,2.4,2.74,3.07,3.36,3.66,3.96,4.22,4.39,4.43,4.34,4.23,4.12,3.97,3.82,3.73,3.59,3.36,3.11,2.9,2.71,2.56,2.43,2.23,2.02,1.87,1.79,1.67,1.46,1.24,1.07,0.93,0.76,0.52,0.25,0.07,-0.02,-0.14,-0.35,-0.63,-0.9,-1.16,-1.38,-1.6,-1.84,-2.03,-2.18,-2.3,-2.41,-2.48,-2.54,-2.58,-2.62,-2.69,-2.79,-2.86,-2.95,-3.09,-3.22,-3.21,-3.01,-2.8,-2.73,-2.77,-2.81,-2.74,-2.62,-2.54,-2.48,-2.34,-2.18,-2.07,-2.02,-2.0,-1.99,-2.0,-2.03,-2.05,-2.08,-2.04,-1.9,-1.74,-1.56,-1.28,-0.97,-0.64,-0.4,-0.24,-0.08,0.17,0.45,0.73,0.83,0.76,0.71,0.77,0.85,0.84,0.75,0.58,0.29,-0.16,-0.52,-0.58,-0.32,0.15,0.75,1.37,1.74,1.96,2.22,2.51,2.71,2.82,2.83,2.82,2.77,2.69,2.59,2.39,2.08,1.83,1.5,1.01,0.53,-0.12,-0.74,-1.2,-1.53,-1.76,-1.91,-2.05,-2.08,-2.06,-2.12,-2.11,-2.19,-2.33,-2.35,-2.31,-2.24,-2.01,-1.7,-1.39,-0.96,-0.5,-0.04,0.48,1.03,1.46,1.65,1.8,2.08,2.35,2.53,2.73,2.93,3.03,2.99,2.97,3.05,3.19,3.2,3.11,3.04,3.02,3.0,2.87,2.62,2.42,2.38,2.4,2.37,2.3,2.25,2.23,2.13,1.93,1.68,1.42,1.17,0.92,0.62,0.35,0.14,-0.04,-0.24,-0.47,-0.68,-0.86,-1.06,-1.26,-1.46,-1.62,-1.63,-1.48,-1.35,-1.35,-1.37,-1.41,-1.</t>
  </si>
  <si>
    <t>To_Avoid_Formula51,-1.72,-2.01,-2.34,-2.59,-2.74,-2.94,-3.11,-3.13,-3.0,-2.89,-2.81,-2.66,-2.45,-2.28,-2.06,-1.85,-1.73,-1.59,-1.48,-1.36,-1.17,-0.86,-0.56,-0.36,-0.29,-0.27,-0.24,-0.19,-0.09,-0.08,-0.09,0.0,0.13,0.21,0.23,0.24,0.24,0.23,0.22,0.18,0.11,0.01,-0.03,-0.02,0.02,0.06,0.07,0.08,0.14,0.24,0.39,0.51,0.49,0.37,0.24,0.14,0.02,-0.2,-0.41,-0.6,-0.73,-0.73,-0.71,-0.71,-0.72,-0.71,-0.76,-0.88,-1.02,-1.18,-1.31,-1.38,-1.35,-1.26,-1.16,-1.03,-0.9,-0.76,-0.57,-0.42,-0.34,-0.3,-0.23,-0.14,0.02,0.22,0.42,0.63,0.86,1.09,1.3,1.46,1.59,1.64,1.62,1.62,1.59,1.5,1.43,1.42,1.44,1.44,1.45,1.48,1.46,1.42,1.39,1.37,1.37,1.4,1.4,1.4,1.46,1.51,1.51,1.48,1.4,1.27,1.19,1.17,1.12,0.97,0.81,0.68,0.54,0.42,0.29,0.17,0.06,0.02,-0.01,-0.04,-0.08,-0.11,-0.15,-0.15,-0.15,-0.2,-0.27,-0.34,-0.42,-0.47,-0.46,-0.44,-0.5,-0.62,-0.72,-0.81,-0.88,-0.94,-1.05,-1.18,-1.24,-1.19,-1.14,-1.12,-1.1,-1.04,-0.95,-0.84,-0.77,-0.73,-0.64,-0.5,-0.37,-0.27,-0.17,-0.09,-0.03,0.04,0.08,0.07,0.06,0.1,0.13,0.18,0.32,0.52,0.69,0.81,0.85,0.85,0.91,0.98,0.97,0.9,0.97,1.16,1.4,1.57,1.61,1.49,1.37,1.33,1.26,1.14,0.97,0.76,0.5,0.21,-0.07,-0.37,-0.72,-1.07,-1.36,-1.59,-1.68,-1.75,-1.86,-1.96,-1.99,-1.93,-1.86,-1.82,-1.85,-1.94,-1.97,-1.8,-1.57,-1.45,-1.46,-1.51,-1.55,-1.5,-1.45,-1.46,-1.62,-1.79,-1.89,-1.9,-1.78,-1.58,-1.31,-1.09,-0.99,-0.9,-0.7,-0.45,-0.29,-0.24,-0.18,-0.11,-0.13,-0.2,-0.29,-0.37,-0.44,-0.4,-0.29,-0.23,-0.24,-0.27,-0.29,-0.29,-0.33,-0.46,-0.59,-0.61,-0.48,-0.25,-0.04,0.15,0.26,0.44,0.64,0.74,0.8,0.89,0.98,1.05,1.16,1.32,1.46,1.58,1.66,1.68,1.62,1.57,1.41,1.18,0.98,0.84,0.76,0.67,0.56,0.44,0.35,0.36,0.37,0.26,0.18,0.2,0.33,0.45,0.49,0.53,0.67,0.89,1.18,1.4,1.5,1.7,1.91,2.09,2.25,2.35,2.49,2.73,2.98,3.18,3.35,3.54,3.69,3.72,3.69,3.61,</t>
  </si>
  <si>
    <t>To_Avoid_Formula0.69,0.55,0.46,0.36,0.2,0.04,-0.07,-0.13,-0.17,-0.19,-0.23,-0.28,-0.3,-0.27,-0.24,-0.21,-0.17,-0.12,-0.06,0.03,0.11,0.16,0.22,0.31,0.39,0.43,0.47,0.46,0.41,0.4,0.45,0.53,0.57,0.6,0.57,0.56,0.58,0.57,0.49,0.4,0.34,0.29,0.22,0.16,0.13,0.13,0.14,0.18,0.21,0.23,0.26,0.26,0.23,0.2,0.17,0.11,0.07,0.04,0.02,-0.02,-0.07,-0.14,-0.22,-0.26,-0.28,-0.35,-0.45,-0.55,-0.66,-0.78,-0.87,-0.94,-1.0,-1.01,-0.98,-0.98,-1.0,-0.98,-0.97,-1.0,-1.01,-0.92,-0.81,-0.7,-0.58,-0.48,-0.43,-0.37,-0.32,-0.3,-0.3,-0.28,-0.27,-0.26,-0.24,-0.22,-0.24,-0.21,-0.13,-0.06,-0.03,0.01,0.04,0.0,-0.04,-0.02,-0.04,-0.12,-0.19,-0.25,-0.33,-0.4,-0.45,-0.49,-0.54,-0.56,-0.59,-0.68,-0.81,-0.95,-1.08,-1.16,-1.19,-1.21,-1.23,-1.25,-1.25,-1.27,-1.3,-1.32,-1.35,-1.39,-1.43,-1.46,-1.48,-1.46,-1.44,-1.43,-1.4,-1.35,-1.32,-1.28,-1.18,-1.06,-0.96,-0.89,-0.87,-0.87,-0.87,-0.79,-0.68,-0.57,-0.47,-0.38,-0.35,-0.34,-0.3,-0.28,-0.28,-0.26,-0.19,-0.12,-0.06,-0.04,-0.03,0.02,0.11,0.18,0.18,0.16,0.13,0.09,0.06,0.06,0.05,0.04,0.03,0.0,-0.05,-0.1,-0.13,-0.2,-0.29,-0.38,-0.44,-0.49,-0.57,-0.67,-0.8,-0.9,-1.0,-1.08,-1.17,-1.27,-1.38,-1.5,-1.59,-1.65,-1.69,-1.76,-1.84,-1.91,-1.93,-1.9,-1.84,-1.77,-1.69,-1.61,-1.53,-1.46,-1.38,-1.3,-1.25,-1.19,-1.12,-1.05,-0.99,-0.94,-0.9,-0.87,-0.79,-0.72,-0.7,-0.73,-0.76,-0.78,-0.77,-0.74,-0.75,-0.82,-0.86,-0.86,-0.88,-0.9,-0.93,-0.95,-0.94,-0.88,-0.84,-0.84,-0.83,-0.82,-0.81,-0.8,-0.76,-0.74,-0.77,-0.8,-0.86,-0.96,-1.08,-1.2,-1.31,-1.4,-1.42,-1.42,-1.43,-1.39,-1.33,-1.24,-1.1,-0.93,-0.81,-0.74,-0.64,-0.51,-0.38,-0.28,-0.21,-0.17,-0.13,-0.05,0.02,0.03,0.03,0.08,0.15,0.15,0.15,0.16,0.18,0.2,0.23,0.24,0.25,0.26,0.22,0.17,0.16,0.19,0.21,0.24,0.31,0.38,0.42,0.4,0.31,0.19,0.05,-0.11,-0.28,-0.42,-0.53,-0.63,-0.74,-0.82,-0.9,-1.01,-1.08,-1.11,-1.18,-1.26,-1.31,-1.33,-1.36,-1.36,-1.38,-1.45,-1.51,-1.51,-1.51,-1.57,-1.68,-1.81,-1.88,-1.9,-1.88,-1.88,-1.89,-1.9,-1.96,-2.02,-2.03,-2.04,-2.05,-1.97,-1.81,-1.66,-1.46,-1.24,-1.05,-0.86,-0.68,-0.57,-0.54,-0.5,-0.41,-0.28,-0.14,-0.02,0.04,0.07,0.07,0.12,0.2,0.25,0.29,0.31,0.34,0.36,0.4,0.42,0.4,0.34,0.29,0.22,0.17,0.09,-0.02,-0.13,-0.18,-0.22,-0.31,-0.41,-0.5,-0.57,-0.58,-0.54,-0.51,-0.47,-0.4,-0.31,-0.22,-0.15,-0.06,0.04,0.12,0.2,0.28,0.3,0.33,0.39,0.39,0.33,0.29,0.24,0.18,0.15,0.11,0.04,-0.04,-0.08,-0.11,-0.11,-0.08,-0.02,0.03,0.05,0.08,0.11,0.16,0.22,0.26,0.27,0.29,0.28,0.24,0.2,0.15,0.08,0.03,-0.01,-0.1,-0.22,-0.3,-0.37,-0.45,-0.52,-0.59,-0.67,-0.76,-0.81,-0.91,-0.96,-0.99,-1.04,-1.08,-1.07,-1.0,-0.94,-0.96,-1.11,-1.31,-1.4,-1.41,-1.39,-1.34,-1.27,-1.24,-1.26,-1.24,-1.13,-1.0,-0.88,-0.69,-0.49,-0.32,-0.13,0.05,0.17,0.28,0.44,0.61,0.76,0.88,0.94,0.99,1.07,1.17,1.25,1.3,1.34,1.36,1.33,1.26,1.17,1.07,0.99,0.96,0.95,0.94,0.95,0.93,0.87,0.83,0.79,0.68,0.5,0.31,0.16,0.03,-0.07,-0.19,-0.35,-0.51,-0.62,-0.75,-0.85,-0.94,-1.04,-1.15,-1.23,-1.3,-1.44,-1.62,-1.74,-1.82,-1.89,-1.97,-2.08,-2.2,-2.31,-2.39,-2.44,-2.44,-2.41,-2.32,-2.18,-2.03,-1.82,-1.62,-1.45,-1.25,-1.01,-0.8,-0.61,-0.37,-0.12,0.15,0.42,0.71,0.98,1.27,1.54,1.79,1.98,2.06,2.04,2.04,2.05,2.08,2.17,2.31,2.43,2.47,2.49,2.56,2.64,2.76,2.9,3.0,3.08,3.21,3.35,3.43,3.43,3.42,3.44,3.46,3.44,3.4,3.32,3.31,3.36,3.38,3.32,3.23,3.16,3.08,2.99,2.87,2.71,2.59,2.51,2.45,2.38,2.32,2.27,2.22,2.16,2.06,1.92,1.77,1.59,1.33,1.06,0.87,0.79,0.74,0.63,0.48,0.34,0.25,0.18,0.1,0.02,-0.01,-0.02,-0.06,-0.13,-0.21,-0.27,-0.32,-0.34,-0.35,-0.37,-0.37,-0.35,-0.37,-0.41,-0.41,-0.38,-0.37,-0.38,-0.38,-0.36,-0.3,-0.22,-0.13,-0.1,-0.1,-0.06,0.05,0.19,0.29,0.38,0.41,0.34,0.11,-0.15,-0.27,-0.2,0.01,0.32,0.69,0.9,1.04,1.22,1.47,1.69,1.85,1.94,2.05,2.15,2.23,2.26,2.2,2.01,1.86,1.61,1.24,0.85,0.3,-0.29,-0.84,-1.36,-1.87,-2.31,-2.68,-2.95,-3.14,-3.34,-3.42,-3.52,-3.67,-3.73,-3.74,-3.71,-3.48,-3.16,-2.85,-2.4,-1.96,-1.58,-1.19,-0.78,-0.41,-0.22,-0.07,0.2,0.47,0.65,0.84,1.04,1.19,1.27,1.37,1.57,1.85,2.07,2.23,2.41,2.61,2.81,2.93,2.95,2.95,3.0,3.07,3.1,3.11,3.15,3.21,3.21,3.15,3.04,2.91,2.79,2.66,2.48,2.28,2.1,1.94,1.76,1.56,1.39,1</t>
  </si>
  <si>
    <t>To_Avoid_Formula.26,1.1,0.95,0.81,0.66,0.59,0.61,0.59,0.49,0.4,0.35,0.24,0.04,-0.23,-0.55,-0.83,-1.06,-1.33,-1.58,-1.71,-1.73,-1.76,-1.81,-1.77,-1.7,-1.7,-1.66,-1.59,-1.54,-1.48,-1.43,-1.39,-1.33,-1.18,-1.0,-0.86,-0.78,-0.72,-0.65,-0.55,-0.41,-0.33,-0.3,-0.22,-0.12,-0.07,-0.06,-0.04,-0.02,-0.02,-0.03,-0.06,-0.11,-0.15,-0.17,-0.18,-0.19,-0.2,-0.25,-0.31,-0.34,-0.36,-0.34,-0.35,-0.43,-0.58,-0.74,-0.85,-0.97,-1.16,-1.34,-1.47,-1.59,-1.68,-1.81,-1.95,-2.08,-2.17,-2.3,-2.49,-2.69,-2.89,-3.03,-3.12,-3.12,-3.12,-3.17,-3.21,-3.23,-3.25,-3.22,-3.21,-3.21,-3.2,-3.16,-3.11,-2.99,-2.81,-2.62,-2.43,-2.25,-2.06,-1.87,-1.71,-1.51,-1.31,-1.14,-0.95,-0.79,-0.69,-0.61,-0.48,-0.33,-0.23,-0.15,-0.06,0.03,0.13,0.23,0.31,0.4,0.52,0.63,0.71,0.78,0.83,0.85,0.89,0.91,0.88,0.87,0.91,0.95,0.96,0.97,0.96,0.91,0.85,0.78,0.68,0.57,0.48,0.39,0.3,0.23,0.19,0.13,0.08,0.04,-0.05,-0.15,-0.24,-0.36,-0.49,-0.56,-0.59,-0.63,-0.68,-0.71,-0.73,-0.72,-0.69,-0.7,-0.77,-0.81,-0.78,-0.75,-0.74,-0.72,-0.67,-0.6,-0.5,-0.42,-0.38,-0.35,-0.3,-0.27,-0.28,-0.26,-0.24,-0.22,-0.17,-0.11,-0.06,0.0,0.1,0.18,0.27,0.42,0.58,0.69,0.79,0.86,0.91,1.01,1.14,1.2,1.18,1.2,1.29,1.4,1.5,1.55,1.5,1.41,1.35,1.25,1.16,1.06,0.95,0.82,0.68,0.56,0.41,0.21,0.01,-0.16,-0.32,-0.43,-0.53,-0.67,-0.82,-0.94,-1.01,-1.08,-1.16,-1.26,-1.39,-1.47,-1.42,-1.33,-1.31,-1.36,-1.43,-1.5,-1.51,-1.48,-1.45,-1.51,-1.56,-1.6,-1.61,-1.54,-1.44,-1.35,-1.33,-1.37,-1.44,-1.44,-1.41,-1.39,-1.41,-1.4,-1.37,-1.41,-1.49,-1.55,-1.61,-1.69,-1.7,-1.65,-1.62,-1.62,-1.63,-1.64,-1.67,-1.74,-1.87,-2.03,-2.1,-2.08,-2.0,-1.91,-1.81,-1.73,-1.59,-1.4,-1.31,-1.23,-1.11,-0.98,-0.88,-0.79,-0.68,-0.58,-0.47,-0.33,-0.23,-0.21,-0.17,-0.18,-0.24,-0.3,-0.34,-0.38,-0.45,-0.53,-0.63,-0.73,-0.8,-0.89,-1.05,-1.17,-1.2,-1.16,-1.12,-1.13,-1.1,-1.02,-0.9,-0.72,-0.54,-0.41,-0.16,0.07,0.24,0.43,0.6,0.8,1.08,1.39,1.67,1.93,2.23,2.54,2.77,2.97,3.14,</t>
  </si>
  <si>
    <t>To_Avoid_Formula-0.43,-0.43,-0.44,-0.48,-0.56,-0.62,-0.63,-0.58,-0.5,-0.39,-0.28,-0.2,-0.1,0.05,0.21,0.35,0.47,0.57,0.68,0.85,1.03,1.16,1.26,1.39,1.51,1.61,1.69,1.68,1.61,1.56,1.59,1.62,1.58,1.48,1.35,1.24,1.17,1.1,0.98,0.87,0.82,0.78,0.74,0.72,0.73,0.75,0.72,0.71,0.66,0.62,0.56,0.46,0.33,0.23,0.16,0.08,0.01,-0.04,-0.09,-0.16,-0.27,-0.42,-0.58,-0.68,-0.74,-0.83,-0.94,-1.03,-1.07,-1.11,-1.09,-1.05,-0.99,-0.89,-0.71,-0.56,-0.47,-0.37,-0.28,-0.24,-0.2,-0.13,-0.04,0.02,0.09,0.16,0.19,0.21,0.22,0.23,0.24,0.3,0.36,0.4,0.43,0.44,0.4,0.39,0.44,0.5,0.55,0.62,0.69,0.73,0.8,0.94,1.0,0.9,0.77,0.64,0.49,0.34,0.22,0.12,0.01,-0.09,-0.19,-0.32,-0.44,-0.57,-0.71,-0.83,-0.85,-0.81,-0.76,-0.73,-0.67,-0.6,-0.43,-0.23,-0.07,-0.02,-0.09,-0.16,-0.19,-0.18,-0.19,-0.26,-0.33,-0.35,-0.37,-0.37,-0.31,-0.25,-0.23,-0.27,-0.37,-0.49,-0.62,-0.67,-0.7,-0.75,-0.78,-0.8,-0.81,-0.86,-0.85,-0.79,-0.69,-0.56,-0.39,-0.25,-0.17,-0.13,-0.06,0.05,0.21,0.33,0.38,0.39,0.4,0.37,0.32,0.29,0.26,0.24,0.18,0.07,-0.07,-0.21,-0.33,-0.47,-0.61,-0.72,-0.8,-0.86,-0.9,-0.92,-0.92,-0.89,-0.85,-0.78,-0.72,-0.67,-0.63,-0.62,-0.61,-0.58,-0.53,-0.5,-0.49,-0.48,-0.44,-0.33,-0.18,-0.02,0.09,0.14,0.15,0.15,0.18,0.21,0.24,0.24,0.24,0.22,0.23,0.31,0.41,0.5,0.55,0.56,0.5,0.45,0.47,0.48,0.48,0.5,0.53,0.52,0.51,0.52,0.55,0.58,0.61,0.61,0.6,0.63,0.66,0.63,0.58,0.52,0.45,0.41,0.47,0.54,0.58,0.6,0.63,0.62,0.56,0.48,0.4,0.35,0.31,0.22,0.1,0.04,0.03,0.03,0.03,0.02,0.0,-0.03,-0.04,-0.01,0.02,0.02,0.02,0.01,-0.01,0.02,0.09,0.13,0.16,0.22,0.28,0.3,0.35,0.41,0.46,0.5,0.55,0.58,0.58,0.56,0.48,0.36,0.27,0.21,0.15,0.09,0.1,0.13,0.16,0.16,0.14,0.08,-0.05,-0.25,-0.46,-0.65,-0.76,-0.83,-0.91,-0.94,-0.96,-1.01,-1.01,-0.97,-0.97,-0.99,-0.98,-0.97,-0.98,-1.0,-1.05,-1.11,-1.17,-1.18,-1.2,-1.21,-1.2,-1.18,-1.16,-1.1,-0.97,-0.82,-0.67,-0.52,-0.42,-0.35,-0.23,-0.13,-0.09,-0.04,0.02,0.07,0.16,0.29,0.41,0.52,0.66,0.81,0.91,0.98,1.07,1.16,1.26,1.38,1.47,1.47,1.4,1.35,1.29,1.2,1.08,0.93,0.76,0.55,0.34,0.15,-0.06,-0.25,-0.39,-0.52,-0.6,-0.63,-0.66,-0.71,-0.73,-0.75,-0.8,-0.85,-0.86,-0.85,-0.8,-0.69,-0.61,-0.54,-0.46,-0.35,-0.23,-0.13,-0.04,0.0,0.01,0.03,0.07,0.05,0.01,0.02,0.01,-0.01,0.0,0.01,0.02,0.06,0.09,0.07,0.02,-0.03,-0.07,-0.09,-0.07,-0.03,0.01,0.05,0.09,0.14,0.2,0.27,0.37,0.46,0.51,0.52,0.49,0.44,0.36,0.23,0.1,0.0,-0.11,-0.23,-0.3,-0.37,-0.43,-0.44,-0.44,-0.45,-0.45,-0.42,-0.36,-0.38,-0.4,-0.43,-0.45,-0.46,-0.47,-0.49,-0.54,-0.68,-0.85,-0.92,-0.89,-0.81,-0.67,-0.49,-0.34,-0.27,-0.2,-0.01,0.17,0.33,0.55,0.75,0.89,1.02,1.12,1.12,1.13,1.2,1.28,1.32,1.29,1.23,1.2,1.22,1.28,1.33,1.35,1.4,1.44,1.45,1.45,1.45,1.4,1.35,1.27,1.16,1.03,0.91,0.74,0.51,0.24,-0.02,-0.26,-0.48,-0.6,-0.68,-0.72,-0.74,-0.77,-0.87,-0.96,-1.02,-1.08,-1.16,-1.23,-1.32,-1.41,-1.44,-1.44,-1.48,-1.53,-1.53,-1.46,-1.39,-1.37,-1.38,-1.43,-1.47,-1.51,-1.55,-1.56,-1.54,-1.46,-1.34,-1.19,-0.96,-0.74,-0.57,-0.36,-0.15,-0.01,0.09,0.24,0.4,0.54,0.64,0.75,0.86,0.96,1.0,1.01,0.98,0.86,0.68,0.55,0.44,0.43,0.52,0.67,0.8,0.86,0.92,1.04,1.16,1.3,1.47,1.61,1.75,1.89,1.99,2.02,1.98,1.94,1.91,1.84,1.76,1.69,1.6,1.55,1.56,1.54,1.47,1.41,1.38,1.35,1.27,1.15,0.99,0.87,0.81,0.77,0.7,0.64,0.58,0.53,0.45,0.34,0.18,-0.01,-0.22,-0.51,-0.81,-1.09,-1.29,-1.45,-1.59,-1.68,-1.75,-1.81,-1.88,-1.93,-1.96,-1.95,-1.93,-1.92,-1.91,-1.88,-1.81,-1.7,-1.51,-1.29,-1.1,-0.95,-0.86,-0.86,-0.94,-1.04,-1.13,-1.25,-1.34,-1.35,-1.32,-1.29,-1.28,-1.27,-1.19,-1.0,-0.77,-0.52,-0.26,0.03,0.34,0.62,0.81,0.85,0.76,0.65,0.63,0.64,0.71,0.82,0.86,0.86,0.92,1.06,1.2,1.29,1.32,1.41,1.52,1.61,1.63,1.55,1.34,1.17,0.92,0.58,0.27,-0.17,-0.67,-1.2,-1.76,-2.34,-2.83,-3.17,-3.38,-3.47,-3.5,-3.35,-3.15,-2.99,-2.76,-2.51,-2.21,-1.7,-1.12,-0.59,0.04,0.58,0.94,1.25,1.52,1.77,1.89,1.94,2.09,2.23,2.27,2.28,2.29,2.29,2.27,2.28,2.37,2.56,2.72,2.86,3.0,3.11,3.23,3.29,3.25,3.14,2.98,2.78,2.58,2.37,2.21,2.06,1.89,1.68,1.46,1.23,1.01,0.79,0.55,0.27,0.0,-0.26,-0.51,-0.75,-0.93,-1.04,-1.17,-1.26,-1.33,-1.43,-1.51,-1.59,-1.69,-1.85,-1.92,-1.92,-1.96,-2.05,-2.19,</t>
  </si>
  <si>
    <t>To_Avoid_Formula-2.34,-2.48,-2.59,-2.72,-2.81,-2.81,-2.73,-2.66,-2.58,-2.42,-2.25,-2.19,-2.11,-1.96,-1.8,-1.62,-1.45,-1.33,-1.23,-1.09,-0.9,-0.71,-0.53,-0.34,-0.15,0.08,0.32,0.49,0.6,0.71,0.8,0.83,0.84,0.86,0.91,0.93,0.92,0.91,0.88,0.89,0.91,0.88,0.83,0.77,0.67,0.56,0.45,0.34,0.23,0.12,-0.01,-0.16,-0.31,-0.39,-0.45,-0.55,-0.6,-0.59,-0.59,-0.67,-0.82,-0.99,-1.11,-1.15,-1.22,-1.32,-1.42,-1.47,-1.45,-1.35,-1.19,-1.11,-1.13,-1.16,-1.16,-1.15,-1.14,-1.1,-1.03,-0.91,-0.76,-0.62,-0.44,-0.19,0.07,0.29,0.45,0.61,0.75,0.89,1.1,1.37,1.66,1.92,2.16,2.31,2.41,2.53,2.64,2.68,2.64,2.62,2.64,2.67,2.7,2.67,2.65,2.66,2.65,2.59,2.44,2.26,2.08,1.97,1.87,1.73,1.58,1.48,1.42,1.39,1.37,1.3,1.15,0.98,0.82,0.61,0.36,0.12,-0.14,-0.37,-0.56,-0.68,-0.81,-0.97,-1.11,-1.26,-1.41,-1.54,-1.7,-1.89,-2.02,-2.06,-2.05,-2.0,-1.92,-1.8,-1.67,-1.51,-1.36,-1.32,-1.28,-1.21,-1.15,-1.1,-1.0,-0.92,-0.83,-0.69,-0.57,-0.52,-0.52,-0.54,-0.6,-0.68,-0.72,-0.75,-0.76,-0.72,-0.62,-0.5,-0.38,-0.23,-0.1,0.01,0.14,0.2,0.21,0.23,0.26,0.29,0.36,0.47,0.51,0.46,0.34,0.25,0.14,0.08,0.04,-0.05,-0.2,-0.36,-0.54,-0.67,-0.74,-0.79,-0.8,-0.79,-0.74,-0.73,-0.74,-0.72,-0.69,-0.71,-0.74,-0.76,-0.8,-0.88,-0.95,-1.0,-1.06,-1.11,-1.12,-1.12,-1.09,-1.0,-0.88,-0.82,-0.76,-0.7,-0.64,-0.57,-0.41,-0.21,-0.02,0.17,0.32,0.46,0.6,0.72,0.72,0.65,0.55,0.42,0.3,0.21,0.16,0.14,0.19,0.24,0.25,0.23,0.26,0.3,0.28,0.29,0.36,0.44,0.51,0.58,0.62,0.6,0.56,0.49,0.38,0.33,0.32,0.32,0.33,0.4,0.47,0.6,0.76,0.84,0.91,1.04,1.16,1.22,1.22,1.2,1.17,1.19,1.28,1.33,1.33,1.33,1.34,1.32,1.3,1.25,1.15,1.01,0.89,0.73,0.54,0.33,0.1,-0.15,-0.32,-0.42,-0.49,-0.55,-0.61,-0.62,-0.63,-0.65,-0.62,-0.55,-0.45,-0.25,-0.12,-0.07,0.0,0.08,0.17,0.3,0.47,0.6,0.7,0.85,1.03,1.15,1.27,1.37,</t>
  </si>
  <si>
    <t>To_Avoid_Formula-0.36,-0.51,-0.63,-0.74,-0.82,-0.86,-0.89,-0.96,-1.01,-1.0,-0.93,-0.8,-0.65,-0.58,-0.53,-0.47,-0.46,-0.53,-0.64,-0.8,-0.99,-1.15,-1.26,-1.34,-1.42,-1.54,-1.63,-1.68,-1.66,-1.6,-1.57,-1.53,-1.45,-1.3,-1.1,-0.84,-0.61,-0.45,-0.34,-0.23,-0.09,-0.01,-0.03,-0.12,-0.23,-0.27,-0.29,-0.32,-0.38,-0.41,-0.42,-0.38,-0.3,-0.2,-0.12,-0.03,0.11,0.3,0.49,0.73,1.0,1.23,1.45,1.62,1.73,1.81,1.85,1.82,1.75,1.7,1.64,1.53,1.41,1.28,1.04,0.7,0.38,0.06,-0.27,-0.56,-0.76,-0.88,-0.9,-0.83,-0.7,-0.57,-0.46,-0.3,-0.12,0.1,0.27,0.33,0.32,0.35,0.43,0.45,0.42,0.37,0.32,0.16,-0.01,-0.16,-0.41,-0.76,-1.12,-1.5,-1.74,-1.77,-1.75,-1.74,-1.73,-1.71,-1.73,-1.78,-1.72,-1.57,-1.4,-1.22,-1.01,-0.76,-0.35,0.05,0.17,0.12,0.0,-0.11,-0.26,-0.51,-0.94,-1.49,-2.08,-2.46,-2.57,-2.6,-2.66,-2.82,-2.95,-2.92,-2.75,-2.57,-2.46,-2.38,-2.18,-1.74,-1.16,-0.51,-0.02,0.24,0.54,0.92,1.36,1.76,2.09,2.3,2.45,2.68,2.9,2.97,2.89,2.7,2.45,2.22,2.05,1.84,1.52,1.12,0.67,0.19,-0.17,-0.44,-0.76,-1.0,-1.03,-0.93,-0.79,-0.66,-0.52,-0.36,-0.17,0.12,0.48,0.85,1.17,1.47,1.75,2.03,2.19,2.21,2.13,2.05,1.93,1.71,1.4,1.06,0.68,0.28,-0.05,-0.31,-0.56,-0.85,-1.1,-1.28,-1.34,-1.37,-1.41,-1.42,-1.31,-1.08,-0.78,-0.44,-0.15,0.05,0.23,0.43,0.72,1.05,1.28,1.33,1.33,1.39,1.59,1.8,1.92,1.84,1.61,1.44,1.38,1.32,1.12,0.84,0.56,0.36,0.28,0.23,0.17,0.03,-0.15,-0.32,-0.4,-0.34,-0.23,-0.17,-0.07,0.07,0.08,-0.01,-0.15,-0.25,-0.38,-0.51,-0.66,-0.85,-1.05,-1.21,-1.29,-1.31,-1.3,-1.32,-1.33,-1.15,-0.77,-0.29,0.15,0.59,1.04,1.47,1.87,2.24,2.59,2.78,2.87,2.86,2.78,2.68,2.51,2.28,1.96,1.65,1.36,1.04,0.73,0.41,0.1,-0.17,-0.36,-0.54,-0.67,-0.67,-0.53,-0.36,-0.24,-0.11,0.04,0.18,0.31,0.33,0.26,0.21,0.24,0.34,0.46,0.56,0.54,0.41,0.26,0.1,-0.09,-0.24,-0.35,-0.45,-0.45,-0.37,-0.27,-0.22,-0.24,-0.22,-0.21,-0.16,-0.04,0.11,0.28,0.37,0.3,0.22,0.23,0.27,0.22,0.07,-0.17,-0.51,-0.9,-1.3,-1.67,-2.03,-2.31,-2.47,-2.37,-2.1,-1.8,-1.62,-1.5,-1.29,-1.09,-1.01,-0.97,-0.92,-0.8,-0.6,-0.46,-0.53,-0.79,-1.12,-1.39,-1.59,-1.68,-1.71,-1.7,-1.56,-1.16,-0.59,0.01,0.51,0.91,1.3,1.7,2.14,2.43,2.53,2.48,2.38,2.34,2.28,2.15,1.9,1.5,1.07,0.69,0.3,-0.02,-0.21,-0.34,-0.42,-0.43,-0.37,-0.27,-0.18,-0.05,0.1,0.23,0.43,0.66,0.84,0.98,1.01,0.95,0.84,0.73,0.66,0.58,0.45,0.33,0.2,0.09,0.05,0.0,-0.09,-0.17,-0.25,-0.25,-0.2,-0.12,-0.06,-0.08,-0.12,-0.13,-0.19,-0.3,-0.37,-0.42,-0.4,-0.33,-0.26,-0.2,-0.15,-0.12,-0.09,-0.06,0.03,0.1,0.1,0.07,0.02,-0.23,-0.35,-0.5,-0.64,-0.7,-0.64,-0.48,-0.29,-0.15,-0.05,0.08,0.25,0.42,0.56,0.63,0.61,0.48,0.36,0.3,0.2,0.01,-0.28,-0.59,-0.79,-0.87,-0.9,-0.9,-0.84,-0.74,-0.59,-0.4,-0.15,0.15,0.37,0.54,0.67,0.73,0.76,0.74,0.61,0.37,0.06,-0.39,-0.89,-1.31,-1.66,-1.91,-2.12,-2.26,-2.3,-2.22,-2.01,-1.65,-1.25,-0.89,-0.64,-0.55,-0.39,-0.2,-0.06,0.04,0.02,-0.09,-0.24,-0.41,-0.57,-0.76,-1.09,-1.43,-1.7,-1.83,-1.83,-1.87,-1.9,-1.97,-2.03,-2.06,-2.1,-2.11,-2.08,-2.07,-2.06,-1.98,-1.88,-1.75,-1.56,-1.33,-1.1,-0.9,-0.64,-0.38,-0.16,0.15,0.47,0.73,0.94,1.16,1.41,1.66,1.88,2.15,2.54,3.0,3.48,3.94,4.35,4.69,4.92,5.0,4.99,4.97,4.85,4.61,4.32,4.02,3.66,3.22,2.73,2.19,1.62,1.13,0.78,0.47,0.24,0.09,-0.02,-0.04,-0.04,-0.09,-0.17,-0.19,-0.2,-0.19,-0.18,-0.23,-0.36,-0.6,-0.8,-0.94,-1.07,-1.22,-1.46,-1.7,-1.83,-1.9,-2.01,-2.15,-2.25,-2.3,-2.25,-2.1,-1.92,-1.79,-1.65,-1.38,-0.98,-0.55,-0.25,-0.12,-0.04,0.15,0.41,0.59,0.75,0.94,1.11,1.21,1.26,1.21,0.99,0.55,0.0,-0.45,-0.76,-0.96,-1.11,-1.22,-1.17,-0.94,-0.7,-0.4,-0.15,0.03,0.24,0.6,1.12,1.77,2.25,2.44,2.52,2.51,2.38,2.02,1.37,0.58,-0.37,-1.31,-1.93,-2.22,-2.37,-2.42,-2.34,-2.04,-1.59,-1.18,-0.83,-0.52,-0.14,0.32,0.87,1.39,1.92,2.24,2.29,2.1,1.72,1.23,0.71,0.27,-0.15,-0.6,-0.97,-1.07,-0.95,-0.67,-0.28,0.08,0.45,0.74,0.9,0.94,0.8,0.65,0.59,0.59,0.59,0.47,0.12,-0.37,-1.0,-1.56,-1.84,-1.99,-2.0,-1.98,-1.92,-1.68,-1.36,-1.05,-0.74,-0.32,0.18,0.64,0.96,1.26,1.5,1.5,1.28,0.88,0.58,0.41,0.21,-0.12,-0.49,-0.79,-0.93,-0.99,-0.99,-0.92,-0.83,-0.77,-0.69,-0.56,-0.38,-0.21,-0.08,0.04,0.21,0.47,0.7,0.75,0.66,0.56,0.43,0.29,0.11,-0.07,-0.22,-0</t>
  </si>
  <si>
    <t>To_Avoid_Formula.27,-0.19,0.06,0.35,0.61,0.71,0.66,0.57,0.45,0.3,0.16,0.12,0.15,0.19,0.24,0.29,0.26,0.07,-0.17,-0.4,-0.45,-0.35,-0.2,-0.06,0.06,0.2,0.25,0.31,0.5,0.78,0.97,1.01,0.93,0.81,0.69,0.5,0.25,-0.07,-0.29,-0.36,-0.33,-0.27,-0.31,-0.48,-0.76,-1.0,-1.13,-1.16,-1.14,-1.18,-1.17,-1.08,-0.9,-0.74,-0.65,-0.59,-0.5,-0.31,-0.01,0.31,0.52,0.64,0.76,0.89,1.04,1.09,0.99,0.79,0.63,0.66,0.76,0.84,0.79,0.62,0.45,0.34,0.27,0.15,-0.01,-0.15,-0.19,-0.04,0.27,0.58,0.67,0.68,0.72,0.77,0.78,0.72,0.67,0.7,0.82,0.98,1.14,1.32,1.47,1.49,1.48,1.46,1.31,0.93,0.52,0.21,-0.06,-0.3,-0.51,-0.75,-0.93,-1.04,-1.13,-1.31,-1.57,-1.9,-2.19,-2.31,-2.26,-2.14,-2.03,-1.83,-1.51,-1.19,-0.91,-0.76,-0.72,-0.76,-0.74,-0.62,-0.53,-0.58,-0.71,-0.8,-0.81,-0.77,-0.81,-0.92,-1.03,-1.03,-0.89,-0.69,-0.53,-0.47,-0.42,-0.22,0.13,0.47,0.75,0.94,1.13,1.41,1.65,1.77,1.69,1.47,1.23,0.98,0.77,0.52,0.13,-0.21,-0.44,-0.58,-0.71,-0.91,-1.21,-1.49,-1.68,-1.79,-1.8,-1.76,-1.58,-1.32,-0.96,-0.54,-0.21,0.03,0.18,0.28,0.34,0.35,0.32,0.26,0.24,0.28,0.35,0.46,0.54,0.52,0.4,0.27,0.18,0.08,0.01,0.06,0.41,0.88,1.44,1.93,2.23,2.39,2.47,2.61,2.81,3.01,3.14,3.2,3.18,3.13,2.96,2.58,2.03,1.31,0.7,0.33,0.15,-0.07,-0.42,-0.73,-0.9,-0.9,-0.79,-0.62,-0.5,-0.4,-0.26,0.05,0.49,0.85,0.99,0.95,0.92,0.96,0.87,0.61,0.1,-0.5,-0.99,-1.29,-1.4,-1.45,-1.44,-1.44,-1.44,-1.31,-1.0,-0.65,-0.46,-0.31,-0.1,0.28,0.66,0.94,1.06,1.06,1.01,0.86,0.68,0.48,0.21,-0.22,-0.66,-0.95,-1.11,-1.29,-1.44,-1.51,-1.43,-1.17,-0.92,-0.79,-0.81,-0.83,-0.78,-0.7,-0.62,-0.61,-0.65,-0.65,-0.47,-0.23,-0.04,-0.03,-0.22,-0.42,-0.58,-0.66,-0.89,-1.19,-1.44,-1.59,-1.6,-1.58,-1.63,-1.79,-1.94,-1.97,-1.9,-1.81,-1.73,-1.6,-1.36,-0.99,-0.62,-0.31,0.05,0.4,0.78,1.1,1.29,1.39,1.46,1.58,1.73,1.89,2.04,2.18,2.31,2.5,2.76,2.89,2.86,2.73,2.63,2.63,</t>
  </si>
  <si>
    <t>To_Avoid_Formula52.21,52.21,52.21,52.21,52.21,52.21,52.21,52.21,52.21,52.21,52.21,52.21,52.21,52.21,52.21,52.21,52.22,52.22,52.22,52.22,52.22,52.22,52.22,52.22,52.22,52.22,52.22,52.22,52.22,52.22,52.22,52.23,52.23,52.23,52.23,52.23,52.23,52.23,52.23,52.23,52.23,52.23,52.23,52.23,52.23,52.23,52.23,52.24,52.24,52.24,52.24,52.24,52.24,52.24,52.24,52.24,52.24,52.24,52.24,52.24,52.24,52.25,52.25,52.25,52.25,52.25,52.25,52.25,52.25,52.25,52.25,52.25,52.25,52.25,52.25,52.25,52.25,52.26,52.26,52.26,52.26,52.26,52.26,52.26,52.26,52.26,52.26,52.26,52.26,52.26,52.26,52.26,52.27,52.27,52.27,52.27,52.27,52.27,52.27,52.27,52.27,52.27,52.27,52.27,52.27,52.27,52.27,52.28,52.28,52.28,52.28,52.28,52.28,52.28,52.28,52.28,52.28,52.28,52.28,52.28,52.28,52.28,52.29,52.29,52.29,52.29,52.29,52.29,52.29,52.29,52.29,52.29,52.29,52.29,52.29,52.29,52.29,52.3,52.3,52.3,52.3,52.3,52.3,52.3,52.3,52.3,52.3,52.3,52.3,52.3,52.3,52.3,52.3,52.31,52.31,52.31,52.31,52.31,52.31,52.31,52.31,52.31,52.31,52.31,52.31,52.31,52.31,52.31,52.32,52.32,52.32,52.32,52.32,52.32,52.32,52.32,52.32,52.32,52.32,52.32,52.32,52.32,52.32,52.32,52.32,52.33,52.33,52.33,52.33,52.33,52.33,52.33,52.33,52.33,52.33,52.33,52.33,52.33,52.33,52.33,52.34,52.34,52.34,52.34,52.34,52.34,52.34,52.34,52.34,52.34,52.34,52.34,52.34,52.34,52.34,52.34,52.35,52.35,52.35,52.35,52.35,52.35,52.35,52.35,52.35,52.35,52.35,52.35,52.35,52.35,52.35,52.35,52.36,52.36,52.36,52.36,52.36,52.36,52.36,52.36,52.36,52.36,52.36,52.36,52.36,52.36,52.36,52.36,52.37,52.37,52.37,52.37,52.37,52.37,52.37,52.37,52.37,52.37,52.37,52.37,52.37,52.37,52.37,52.37,52.37,52.38,52.38,52.38,52.38,52.38,52.38,52.38,52.38,52.38,52.38,52.38,52.38,52.38,52.38,52.38,52.38,52.39,52.39,52.39,52.39,52.39,52.39,52.39,52.39,52.39,52.39,52.39,52.39,52.39,52.39,52.39,52.39,52.4,52.4,52.4,52.4,52.4,52.4,52.4,52.4,52.4,52.4,52.4,52.4,52.4,52.4,52.4,52.4,52.4,52.41,52.41,52.41,52.41,52.41,52.41,52.41,52.41,52.41,52.41,52.41,52.41,52.41,52.41,52.41,52.41,52.42,52.42,52.42,52.42,52.42,52.42,52.42,52.42,52.42,52.42,52.42,52.42,52.42,52.42,52.42,52.42,52.42,52.43,52.43,52.43,52.43,52.43,52.43,52.43,52.43,52.43,52.43,52.43,52.43,52.43,52.43,52.43,52.43,52.44,52.44,52.44,52.44,52.44,52.44,52.44,52.44,52.44,52.44,52.44,52.44,52.44,52.44,52.44,52.44,52.45,52.45,52.45,52.45,52.45,52.45,52.45,52.45,52.45,52.45,52.45,52.45,52.45,52.45,52.45,52.46,52.46,52.46,52.46,52.46,52.46,52.46,52.46,52.46,52.46,52.46,52.46,52.46,52.46,52.46,52.46,52.47,52.47,52.47,52.47,52.47,52.47,52.47,52.47,52.47,52.47,52.47,52.47,52.47,52.47,52.47,52.48,52.48,52.48,52.48,52.48,52.48,52.48,52.48,52.48,52.48,52.48,52.48,52.48,52.48,52.49,52.49,52.49,52.49,52.49,52.49,52.49,52.49,52.49,52.49,52.49,52.49,52.49,52.49,52.49,52.5,52.5,52.5,52.5,52.5,52.5,52.5,52.5,52.5,52.5,52.5,52.5,52.5,52.5,52.5,52.51,52.51,52.51,52.51,52.51,52.51,52.51,52.51,52.51,52.51,52.51,52.51,52.51,52.51,52.52,52.52,52.52,52.52,52.52,52.52,52.52,52.52,52.52,52.52,52.52,52.52,52.52,52.52,52.53,52.53,52.53,52.53,52.53,52.53,52.53,52.53,52.53,52.53,52.53,52.53,52.53,52.53,52.53,52.54,52.54,52.54,52.54,52.54,52.54,52.54,52.54,52.54,52.54,52.54,52.54,52.54,52.54,52.55,52.55,52.55,52.55,52.55,52.55,52.55,52.55,52.55,52.55,52.55,52.55,52.55,52.55,52.56,52.56,52.56,52.56,52.56,52.56,52.56,52.56,52.56,52.56,52.56,52.56,52.56,52.56,52.56,52.57,52.57,52.57,52.57,52.57,52.57,52.57,52.57,52.57,52.57,52.57,52.57,52.57,52.57,52.58,52.58,52.58,52.58,52.58,52.58,52.58,52.58,52.58,52.58,52.58,52.58,52.58,52.58,52.59,52.59,52.59,52.59,52.59,52.59,52.59,52.59,52.59,52.59,52.59,52.59,52.59,52.59,52.59,52.6,52.6,52.6,52.6,52.6,52.6,52.6,52.6,52.6,52.6,52.6,52.6,52.6,52.61,52.61,52.61,52.61,52.61,52.61,52.61,52.61,52.61,52.61,52.61,52.61,52.61,52.61,52.61,52.62,52.62,52.62,52.62,52.62,52.62,52.62,52.62,52.62,52.62,52.62,52.62,52.62,52.62,52.63,52.63,52.63,52.63,52.63,52.63,52.63,52.63,52.63,52.63,52.63,52.63,52.63,52.63,52.63,52.64,52.64,52.64,52.64,52.64,52.64,52.64,52.64,52.</t>
  </si>
  <si>
    <t>To_Avoid_Formula64,52.64,52.64,52.64,52.64,52.64,52.64,52.65,52.65,52.65,52.65,52.65,52.65,52.65,52.65,52.65,52.65,52.65,52.65,52.65,52.65,52.65,52.66,52.66,52.66,52.66,52.66,52.66,52.66,52.66,52.66,52.66,52.66,52.66,52.66,52.66,52.67,52.67,52.67,52.67,52.67,52.67,52.67,52.67,52.67,52.67,52.67,52.67,52.67,52.67,52.67,52.68,52.68,52.68,52.68,52.68,52.68,52.68,52.68,52.68,52.68,52.68,52.68,52.68,52.68,52.68,52.69,52.69,52.69,52.69,52.69,52.69,52.69,52.69,52.69,52.69,52.69,52.69,52.69,52.69,52.69,52.7,52.7,52.7,52.7,52.7,52.7,52.7,52.7,52.7,52.7,52.7,52.7,52.7,52.7,52.7,52.7,52.71,52.71,52.71,52.71,52.71,52.71,52.71,52.71,52.71,52.71,52.71,52.71,52.71,52.71,52.72,52.72,52.72,52.72,52.72,52.72,52.72,52.72,52.72,52.72,52.72,52.72,52.72,52.72,52.72,52.73,52.73,52.73,52.73,52.73,52.73,52.73,52.73,52.73,52.73,52.73,52.73,52.73,52.73,52.73,52.73,52.74,52.74,52.74,52.74,52.74,52.74,52.74,52.74,52.74,52.74,52.74,52.74,52.74,52.74,52.74,52.75,52.75,52.75,52.75,52.75,52.75,52.75,52.75,52.75,52.75,52.75,52.75,52.75,52.75,52.75,52.76,52.76,52.76,52.76,52.76,52.76,52.76,52.76,52.76,52.76,52.76,52.76,52.76,52.76,52.76,52.77,52.77,52.77,52.77,52.77,52.77,52.77,52.77,52.77,52.77,52.77,52.77,52.77,52.77,52.77,52.77,52.78,52.78,52.78,52.78,52.78,52.78,52.78,52.78,52.78,52.78,52.78,52.78,52.78,52.78,52.78,52.78,52.79,52.79,52.79,52.79,52.79,52.79,52.79,52.79,52.79,52.79,52.79,52.79,52.79,52.79,52.8,52.8,52.8,52.8,52.8,52.8,52.8,52.8,52.8,52.8,52.8,52.8,52.8,52.8,52.8,52.8,52.81,52.81,52.81,52.81,52.81,52.81,52.81,52.81,52.81,52.81,52.81,52.81,52.81,52.81,52.81,52.81,52.82,52.82,52.82,52.82,52.82,52.82,52.82,52.82,52.82,52.82,52.82,52.82,52.82,52.82,52.82,52.83,52.83,52.83,52.83,52.83,52.83,52.83,52.83,52.83,52.83,52.83,52.83,52.83,52.83,52.83,52.84,52.84,52.84,52.84,52.84,52.84,52.84,52.84,52.84,52.84,52.84,52.84,52.84,52.84,52.84,52.85,52.85,52.85,52.85,52.85,52.85,52.85,52.85,52.85,52.85,52.85,52.85,52.85,52.85,52.85,52.85,52.86,52.86,52.86,52.86,52.86,52.86,52.86,52.86,52.86,52.86,52.86,52.86,52.86,52.86,52.86,52.86,52.87,52.87,52.87,52.87,52.87,52.87,52.87,52.87,52.87,52.87,52.87,52.87,52.87,52.87,52.87,52.88,52.88,52.88,52.88,52.88,52.88,52.88,52.88,52.88,52.88,52.88,52.88,52.88,52.88,52.88,52.88,52.89,52.89,52.89,52.89,52.89,52.89,52.89,52.89,</t>
  </si>
  <si>
    <t>To_Avoid_Formula-1.17,-1.1,-1.04,-1.02,-1.02,-1.01,-0.99,-0.99,-1.0,-0.91,-0.67,-0.39,-0.25,-0.18,-0.07,0.03,0.17,0.32,0.44,0.52,0.62,0.71,0.85,1.02,1.12,1.22,1.28,1.29,1.26,1.19,1.17,1.23,1.31,1.38,1.5,1.58,1.69,1.78,1.76,1.71,1.58,1.46,1.35,1.27,1.23,1.23,1.25,1.23,1.24,1.19,1.09,0.99,0.88,0.73,0.53,0.43,0.42,0.49,0.57,0.73,0.95,1.12,1.23,1.22,1.19,1.22,1.28,1.31,1.28,1.26,1.24,1.18,1.09,1.04,1.06,1.08,1.09,1.07,1.04,1.03,0.98,0.9,0.8,0.74,0.66,0.58,0.58,0.6,0.65,0.67,0.72,0.8,0.84,0.86,0.85,0.8,0.76,0.73,0.69,0.64,0.65,0.67,0.74,0.78,0.79,0.77,0.73,0.68,0.63,0.58,0.51,0.45,0.39,0.32,0.24,0.18,0.16,0.15,0.09,0.06,0.07,0.13,0.18,0.18,0.14,0.11,0.12,0.14,0.14,0.1,0.08,0.1,0.16,0.22,0.29,0.38,0.42,0.44,0.43,0.45,0.48,0.48,0.46,0.4,0.38,0.41,0.46,0.48,0.47,0.42,0.37,0.36,0.36,0.34,0.34,0.35,0.36,0.37,0.36,0.36,0.37,0.39,0.4,0.37,0.33,0.31,0.34,0.41,0.49,0.53,0.55,0.61,0.65,0.68,0.7,0.73,0.78,0.8,0.81,0.84,0.9,0.96,1.0,1.02,1.03,1.04,1.06,1.09,1.12,1.14,1.17,1.22,1.25,1.25,1.21,1.17,1.15,1.17,1.21,1.25,1.29,1.36,1.44,1.45,1.39,1.32,1.26,1.2,1.19,1.22,1.31,1.4,1.5,1.56,1.55,1.52,1.42,1.26,1.03,0.85,0.7,0.57,0.5,0.47,0.47,0.46,0.46,0.35,0.13,-0.13,-0.4,-0.7,-1.07,-1.35,-1.64,-1.82,-1.9,-1.96,-1.94,-1.95,-1.94,-2.03,-2.22,-2.46,-2.65,-2.86,-3.02,-3.07,-3.06,-2.97,-2.86,-2.74,-2.63,-2.51,-2.41,-2.34,-2.31,-2.29,-2.29,-2.28,-2.23,-2.16,-2.12,-2.12,-2.12,-2.15,-2.18,-2.19,-2.23,-2.29,-2.34,-2.36,-2.4,-2.44,-2.46,-2.49,-2.55,-2.59,-2.62,-2.62,-2.63,-2.63,-2.59,-2.51,-2.43,-2.36,-2.3,-2.23,-2.15,-2.09,-2.02,-1.92,-1.81,-1.71,-1.59,-1.5,-1.41,-1.37,-1.35,-1.33,-1.28,-1.2,-1.16,-1.12,-1.05,-0.91,-0.8,-0.7,-0.63,-0.59,-0.58,-0.61,-0.65,-0.69,-0.68,-0.64,-0.62,-0.61,-0.59,-0.58,-0.57,-0.54,-0.55,-0.58,-0.59,-0.58,-0.57,-0.58,-0.58,-0.58,-0.6,-0.63,-0.69,-0.73,-0.72,-0.69,-0.64,-0.61,-0.6,-0.56,-0.48,-0.42,-0.35,-0.32,-0.32,-0.31,-0.28,-0.23,-0.16,-0.08,0.01,0.08,0.12,0.16,0.2,0.25,0.29,0.33,0.43,0.63,0.8,0.92,0.96,0.99,1.06,1.11,1.15,1.15,1.15,1.19,1.25,1.28,1.31,1.3,1.3,1.31,1.31,1.3,1.28,1.27,1.29,1.31,1.33,1.33,1.33,1.33,1.32,1.31,1.29,1.31,1.34,1.4,1.43,1.49,1.55,1.6,1.63,1.62,1.61,1.59,1.57,1.55,1.57,1.59,1.62,1.68,1.77,1.81,1.8,1.73,1.66,1.6,1.51,1.46,1.41,1.4,1.41,1.41,1.42,1.44,1.47,1.47,1.4,1.31,1.23,1.11,1.03,0.97,0.95,0.97,0.99,0.99,0.92,0.82,0.69,0.54,0.36,0.29,0.37,0.5,0.55,0.54,0.52,0.56,0.54,0.51,0.51,0.49,0.33,0.1,-0.08,-0.21,-0.18,-0.14,0.0,0.12,0.29,0.42,0.47,0.45,0.41,0.35,0.26,0.25,0.17,0.21,0.32,0.52,0.73,0.94,1.22,1.38,1.49,1.48,1.4,1.22,1.04,0.88,0.84,0.9,1.01,1.18,1.38,1.53,1.62,1.77,1.79,1.75,1.66,1.59,1.46,1.34,1.28,1.3,1.33,1.36,1.41,1.4,1.39,1.29,1.11,0.87,0.71,0.53,0.38,0.23,0.13,0.11,0.1,0.12,0.11,0.12,0.16,0.23,0.24,0.15,0.12,0.22,0.4,0.46,0.32,0.02,-0.18,-0.26,-0.25,-0.22,-0.18,-0.18,-0.26,-0.29,-0.37,-0.47,-0.6,-0.69,-0.75,-0.83,-0.88,-0.96,-1.02,-1.05,-1.06,-1.04,-1.08,-1.12,-1.13,-1.03,-0.88,-0.74,-0.67,-0.64,-0.58,-0.54,-0.52,-0.57,-0.6,-0.58,-0.54,-0.52,-0.5,-0.47,-0.42,-0.37,-0.27,-0.18,-0.04,0.16,0.43,0.72,1.04,1.34,1.66,1.83,1.85,1.98,2.04,2.06,2.04,2.03,2.09,2.07,2.01,1.9,1.8,1.82,2.21,2.7,2.89,2.62,2.19,2.0,1.8,1.58,1.43,1.4,1.31,1.02,0.58,0.16,-0.2,-0.64,-1.04,-1.53,-1.84,-1.94,-2.02,-2.06,-2.27,-2.44,-2.58,-2.68,-2.78,-2.95,-3.12,-3.17,-3.17,-3.18,-3.19,-3.35,-3.41,-3.36,-3.14,-2.83,-2.58,-2.36,-2.16,-1.97,-1.79,-1.57,-1.37,-1.26,-1.17,-0.97,-0.81,-0.7,-0.61,-0.43,-0.21,0.02,0.24,0.47,0.65,0.76,0.92,1.06,1.17,1.2,1.2,1.21,1.17,1.12,1.18,1.34,1.54,1.57,1.5,1.45,1.48,1.64,1.77,1.87,2.0,2.18,2.39,2.62,2.82,3.13,3.44,3.63,3.72,3.62,3.45,3.24,2.98,2.68,2.3,1.82,1.37,0.94,0.55,0.08,-0.32,-0.64,-0.85,-1.05,-1.29,-1.62,-2.03,-2.51,-2.89,-3.24,-3.51,-3.69,-3.9,-4.01,-4.13,-4.17,-4.17,-4.11,-4.08,-4.06,-4.09,-4.15,-4.28,-4.32,-4.4,-4.39,-4.26,-4.07,-3.92,-3.76,-3.49,-3.16,-2.9,-2.84,-2.73,-2.59,-2.46,-2.24,-1.85,-1.38,-1.08,-1.02,-1.05,-1.01,-0.75,-0.51,-0.3,-0.04,0.21,0.39,0.49,0.57,0.72,0.82,0.91,0.97,1.02,1.09,1.1,1.06,1.0,0.94,0.85,0.77,0.75</t>
  </si>
  <si>
    <t>To_Avoid_Formula,0.79,0.84,0.83,0.74,0.58,0.38,0.16,0.06,0.08,0.13,0.01,-0.27,-0.61,-0.87,-1.13,-1.35,-1.55,-1.86,-2.05,-2.29,-2.47,-2.6,-2.73,-2.82,-2.94,-3.03,-3.11,-3.25,-3.4,-3.5,-3.5,-3.5,-3.62,-3.64,-3.6,-3.46,-3.28,-3.1,-2.98,-2.87,-2.83,-2.85,-2.9,-2.98,-3.1,-3.26,-3.41,-3.55,-3.53,-3.4,-3.18,-2.99,-2.87,-2.85,-2.65,-2.36,-2.14,-2.12,-2.4,-2.73,-3.06,-3.42,-3.85,-4.24,-4.54,-4.84,-5.2,-5.53,-5.69,-5.71,-5.62,-5.49,-5.31,-5.07,-4.8,-4.63,-4.61,-4.57,-4.44,-4.23,-3.99,-3.73,-3.54,-3.49,-3.48,-3.35,-2.95,-2.63,-2.34,-2.19,-2.2,-2.3,-2.24,-2.1,-2.01,-1.92,-1.78,-1.59,-1.36,-1.09,-0.89,-0.53,-0.24,0.04,0.14,0.18,0.24,0.36,0.46,0.59,0.81,1.12,1.41,1.75,2.16,2.47,2.77,2.91,3.02,3.07,3.09,3.13,3.19,3.28,3.32,3.33,3.38,3.47,3.54,3.54,3.49,3.41,3.3,3.14,3.02,2.86,2.73,2.66,2.63,2.74,2.88,3.11,3.43,3.84,4.2,4.49,4.69,4.85,5.01,5.13,5.23,5.32,5.44,5.58,5.67,5.7,5.7,5.66,5.61,5.53,5.48,5.44,5.37,5.33,5.4,5.51,5.59,5.69,5.82,5.99,6.13,6.21,6.27,6.28,6.29,6.31,6.32,6.2,6.0,5.81,5.68,5.54,5.33,5.16,4.93,4.62,4.22,3.82,3.37,2.83,2.38,1.91,1.49,1.02,0.45,-0.01,-0.51,-0.9,-1.24,-1.55,-1.71,-1.92,-2.13,-2.39,-2.65,-2.76,-2.82,-2.8,-2.8,-2.79,-2.75,-2.67,-2.6,-2.53,-2.42,-2.25,-2.12,-2.16,-2.28,-2.37,-2.35,-2.33,-2.34,-2.34,-2.3,-2.21,-2.08,-1.97,-1.88,-1.8,-1.67,-1.51,-1.33,-1.19,-1.02,-0.81,-0.7,-0.58,-0.54,-0.52,-0.53,-0.58,-0.6,-0.65,-0.75,-0.87,-0.96,-0.98,-0.93,-0.87,-0.86,-0.85,-0.81,-0.77,-0.68,-0.55,-0.27,0.02,0.21,0.38,0.46,0.57,0.63,0.71,0.8,0.84,0.77,0.66,0.52,0.36,0.25,0.28,0.44,0.63,0.78,0.86,0.89,0.85,0.83,0.81,0.83,0.86,0.88,0.83,0.75,0.73,0.71,0.66,0.58,0.49,0.37,0.31,0.35,0.55,0.78,0.98,1.2,1.48,1.76,2.02,2.22,2.34,2.4,</t>
  </si>
  <si>
    <t>To_Avoid_Formula0.55,0.62,0.67,0.68,0.67,0.68,0.68,0.67,0.65,0.72,0.93,1.18,1.27,1.29,1.34,1.39,1.47,1.55,1.59,1.6,1.62,1.62,1.68,1.76,1.76,1.77,1.73,1.64,1.51,1.35,1.25,1.22,1.21,1.2,1.22,1.21,1.23,1.22,1.11,0.97,0.76,0.57,0.38,0.24,0.15,0.11,0.07,0.01,-0.02,-0.13,-0.26,-0.38,-0.52,-0.68,-0.89,-0.99,-0.99,-0.92,-0.84,-0.68,-0.47,-0.32,-0.23,-0.26,-0.31,-0.3,-0.26,-0.26,-0.3,-0.34,-0.37,-0.44,-0.54,-0.59,-0.57,-0.55,-0.54,-0.55,-0.58,-0.59,-0.63,-0.7,-0.78,-0.82,-0.88,-0.93,-0.9,-0.85,-0.77,-0.72,-0.65,-0.55,-0.49,-0.45,-0.45,-0.47,-0.5,-0.5,-0.52,-0.54,-0.5,-0.45,-0.37,-0.3,-0.27,-0.27,-0.29,-0.32,-0.34,-0.36,-0.4,-0.43,-0.46,-0.49,-0.53,-0.55,-0.53,-0.5,-0.51,-0.5,-0.45,-0.35,-0.26,-0.23,-0.24,-0.23,-0.19,-0.14,-0.11,-0.12,-0.11,-0.05,0.03,0.12,0.2,0.3,0.36,0.38,0.38,0.4,0.44,0.44,0.43,0.37,0.36,0.4,0.44,0.47,0.46,0.41,0.36,0.35,0.35,0.34,0.34,0.35,0.37,0.37,0.36,0.36,0.37,0.39,0.39,0.35,0.32,0.29,0.32,0.39,0.45,0.48,0.5,0.54,0.56,0.56,0.56,0.58,0.6,0.6,0.59,0.6,0.63,0.65,0.67,0.66,0.63,0.61,0.6,0.59,0.59,0.58,0.58,0.58,0.58,0.55,0.47,0.4,0.35,0.34,0.36,0.37,0.38,0.42,0.46,0.43,0.34,0.24,0.15,0.07,0.04,0.06,0.13,0.19,0.26,0.29,0.25,0.19,0.07,-0.11,-0.34,-0.52,-0.66,-0.77,-0.82,-0.82,-0.8,-0.78,-0.76,-0.84,-1.02,-1.24,-1.45,-1.68,-1.97,-2.15,-2.34,-2.39,-2.36,-2.29,-2.16,-2.05,-1.93,-1.91,-1.99,-2.1,-2.16,-2.24,-2.26,-2.17,-2.02,-1.81,-1.57,-1.34,-1.12,-0.91,-0.72,-0.57,-0.46,-0.38,-0.31,-0.23,-0.13,0.0,0.09,0.13,0.18,0.19,0.21,0.23,0.23,0.21,0.2,0.22,0.22,0.21,0.23,0.24,0.21,0.2,0.21,0.24,0.26,0.29,0.35,0.46,0.55,0.63,0.7,0.77,0.84,0.89,0.95,1.03,1.12,1.19,1.28,1.33,1.37,1.36,1.33,1.31,1.31,1.33,1.32,1.3,1.32,1.39,1.42,1.45,1.45,1.41,1.35,1.24,1.13,1.03,0.97,0.94,0.9,0.84,0.79,0.74,0.69,0.66,0.59,0.5,0.43,0.39,0.34,0.28,0.23,0.19,0.12,0.05,-0.05,-0.12,-0.15,-0.15,-0.14,-0.14,-0.16,-0.16,-0.11,-0.08,-0.06,-0.06,-0.1,-0.12,-0.13,-0.12,-0.08,-0.04,0.01,0.04,0.03,0.03,0.03,0.04,0.03,0.03,0.09,0.24,0.36,0.42,0.39,0.37,0.38,0.37,0.35,0.29,0.23,0.22,0.23,0.21,0.18,0.13,0.08,0.04,0.0,-0.05,-0.11,-0.15,-0.16,-0.17,-0.18,-0.21,-0.24,-0.26,-0.29,-0.32,-0.36,-0.36,-0.34,-0.3,-0.29,-0.24,-0.2,-0.17,-0.16,-0.18,-0.21,-0.25,-0.28,-0.31,-0.29,-0.28,-0.25,-0.21,-0.13,-0.1,-0.12,-0.2,-0.27,-0.33,-0.42,-0.46,-0.5,-0.5,-0.48,-0.46,-0.44,-0.4,-0.35,-0.35,-0.4,-0.47,-0.52,-0.62,-0.67,-0.69,-0.67,-0.62,-0.57,-0.53,-0.56,-0.63,-0.71,-0.81,-0.94,-0.95,-0.81,-0.62,-0.52,-0.49,-0.47,-0.38,-0.36,-0.35,-0.31,-0.29,-0.4,-0.58,-0.71,-0.77,-0.67,-0.58,-0.38,-0.21,0.0,0.16,0.24,0.23,0.22,0.19,0.13,0.15,0.09,0.15,0.29,0.51,0.72,0.93,1.19,1.32,1.39,1.35,1.24,1.02,0.83,0.65,0.6,0.66,0.75,0.9,1.07,1.19,1.24,1.34,1.31,1.22,1.08,0.97,0.81,0.65,0.57,0.57,0.57,0.58,0.6,0.57,0.53,0.4,0.2,-0.03,-0.2,-0.36,-0.5,-0.62,-0.7,-0.69,-0.66,-0.61,-0.59,-0.56,-0.49,-0.39,-0.36,-0.43,-0.44,-0.32,-0.12,-0.05,-0.19,-0.46,-0.63,-0.68,-0.64,-0.57,-0.5,-0.47,-0.52,-0.52,-0.56,-0.62,-0.71,-0.75,-0.77,-0.8,-0.8,-0.83,-0.83,-0.81,-0.77,-0.7,-0.68,-0.67,-0.64,-0.49,-0.3,-0.12,-0.03,0.01,0.09,0.15,0.18,0.15,0.12,0.15,0.21,0.23,0.26,0.3,0.34,0.4,0.49,0.57,0.7,0.87,1.11,1.35,1.61,1.84,2.07,2.14,2.06,2.09,2.05,1.97,1.85,1.74,1.7,1.59,1.44,1.25,1.06,1.01,1.32,1.72,1.79,1.42,0.91,0.64,0.38,0.12,-0.07,-0.13,-0.25,-0.55,-0.99,-1.39,-1.71,-2.09,-2.41,-2.81,-2.99,-2.98,-2.93,-2.85,-2.93,-2.97,-2.97,-2.93,-2.89,-2.91,-2.93,-2.83,-2.68,-2.54,-2.42,-2.43,-2.35,-2.16,-1.81,-1.38,-1.04,-0.74,-0.47,-0.22,0.01,0.27,0.49,0.62,0.72,0.92,1.08,1.18,1.24,1.4,1.58,1.77,1.93,2.09,2.2,2.23,2.3,2.35,2.37,2.3,2.2,2.12,1.99,1.84,1.82,1.89,1.99,1.92,1.75,1.61,1.56,1.62,1.66,1.66,1.68,1.76,1.86,1.97,2.04,2.22,2.38,2.42,2.36,2.1,1.66,1.33,0.96,0.57,0.12,-0.41,-0.88,-1.32,-1.69,-2.12,-2.47,-2.71,-2.84,-2.93,-3.07,-3.28,-3.56,-3.89,-4.11,-4.28,-4.35,-4.34,-4.34,-4.24,-4.15,-3.99,-3.78,-3.53,-3.31,-3.11,-2.96,-2.84,-2.79,-2.66,-2.56,-2.39,-2.1,-1.75,-1.47,-1.19,-0.8,-0.38,-0.05,0.08,0.25,0.44,0.61,0.86,1.26,1.72,2.0,2.02,1.95,1.95,2.17,2.35,2.49,2.67,2.83,</t>
  </si>
  <si>
    <t>To_Avoid_Formula2.92,2.9,2.87,2.92,2.9,2.87,2.82,2.75,2.69,2.58,2.42,2.25,2.08,1.89,1.71,1.6,1.55,1.5,1.41,1.23,0.99,0.73,0.45,0.3,0.28,0.29,0.13,-0.19,-0.54,-0.8,-1.05,-1.25,-1.41,-1.68,-1.82,-1.99,-2.1,-2.15,-2.19,-2.2,-2.23,-2.22,-2.21,-2.25,-2.3,-2.29,-2.2,-2.09,-2.1,-2.02,-1.88,-1.65,-1.39,-1.13,-0.95,-0.78,-0.69,-0.66,-0.67,-0.69,-0.76,-0.86,-0.95,-1.02,-0.93,-0.74,-0.47,-0.24,-0.08,-0.03,0.18,0.48,0.7,0.7,0.42,0.1,-0.21,-0.54,-0.9,-1.23,-1.44,-1.64,-1.9,-2.11,-2.14,-2.03,-1.82,-1.58,-1.3,-0.97,-0.62,-0.39,-0.31,-0.22,-0.06,0.19,0.45,0.72,0.9,0.94,0.94,1.06,1.42,1.7,1.92,2.0,1.92,1.74,1.73,1.8,1.81,1.82,1.88,1.97,2.1,2.26,2.34,2.57,2.72,2.84,2.79,2.68,2.58,2.54,2.48,2.45,2.51,2.65,2.76,2.91,3.12,3.22,3.29,3.21,3.1,2.93,2.73,2.55,2.41,2.29,2.13,1.95,1.81,1.72,1.6,1.42,1.2,0.96,0.7,0.4,0.16,-0.12,-0.35,-0.51,-0.62,-0.6,-0.54,-0.39,-0.17,0.14,0.37,0.54,0.61,0.63,0.66,0.64,0.6,0.56,0.56,0.56,0.52,0.42,0.3,0.15,-0.01,-0.19,-0.32,-0.44,-0.59,-0.68,-0.68,-0.63,-0.61,-0.57,-0.5,-0.38,-0.31,-0.3,-0.3,-0.35,-0.4,-0.42,-0.47,-0.63,-0.85,-1.06,-1.2,-1.33,-1.53,-1.67,-1.87,-2.13,-2.46,-2.77,-3.11,-3.52,-3.82,-4.11,-4.34,-4.6,-4.94,-5.15,-5.38,-5.49,-5.53,-5.54,-5.38,-5.28,-5.19,-5.13,-5.07,-4.85,-4.59,-4.27,-3.97,-3.66,-3.33,-2.98,-2.65,-2.33,-1.99,-1.59,-1.25,-1.09,-1.01,-0.91,-0.7,-0.5,-0.34,-0.17,0.02,0.27,0.53,0.76,0.97,1.16,1.38,1.62,1.86,2.06,2.27,2.5,2.63,2.76,2.8,2.81,2.8,2.74,2.7,2.63,2.53,2.39,2.3,2.27,2.3,2.34,2.32,2.31,2.32,2.33,2.37,2.46,2.68,2.9,3.01,3.08,3.06,3.07,3.02,2.99,2.97,2.89,2.71,2.49,2.25,1.99,1.79,1.73,1.8,1.9,1.95,1.92,1.84,1.69,1.57,1.45,1.38,1.3,1.22,1.08,0.92,0.81,0.71,0.58,0.42,0.27,0.09,-0.03,-0.04,0.11,0.27,0.39,0.54,0.73,0.9,1.05,1.14,1.14,1.08,</t>
  </si>
  <si>
    <t>To_Avoid_Formula-3.46,-3.49,-3.52,-3.55,-3.58,-3.61,-3.64,-3.67,-3.7,-3.73,-3.75,-3.78,-3.81,-3.84,-3.87,-3.9,-3.93,-3.95,-3.98,-4.01,-4.04,-4.06,-4.09,-4.12,-4.15,-4.17,-4.2,-4.23,-4.25,-4.28,-4.31,-4.33,-4.36,-4.38,-4.41,-4.44,-4.46,-4.49,-4.51,-4.54,-4.56,-4.59,-4.61,-4.63,-4.66,-4.68,-4.71,-4.73,-4.75,-4.78,-4.8,-4.82,-4.85,-4.87,-4.89,-4.91,-4.93,-4.96,-4.98,-5.0,-5.02,-5.04,-5.06,-5.08,-5.1,-5.12,-5.14,-5.16,-5.18,-5.2,-5.22,-5.24,-5.25,-5.27,-5.29,-5.3,-5.32,-5.34,-5.35,-5.37,-5.39,-5.4,-5.42,-5.43,-5.44,-5.46,-5.47,-5.48,-5.5,-5.51,-5.52,-5.53,-5.54,-5.55,-5.56,-5.57,-5.58,-5.58,-5.59,-5.6,-5.61,-5.61,-5.62,-5.62,-5.62,-5.63,-5.63,-5.63,-5.63,-5.64,-5.64,-5.63,-5.63,-5.63,-5.63,-5.63,-5.62,-5.62,-5.61,-5.61,-5.6,-5.59,-5.59,-5.58,-5.57,-5.56,-5.55,-5.54,-5.53,-5.52,-5.51,-5.49,-5.48,-5.47,-5.45,-5.44,-5.42,-5.4,-5.39,-5.37,-5.35,-5.33,-5.32,-5.3,-5.28,-5.26,-5.24,-5.22,-5.19,-5.17,-5.15,-5.13,-5.11,-5.08,-5.06,-5.04,-5.01,-4.99,-4.96,-4.94,-4.91,-4.89,-4.86,-4.84,-4.81,-4.79,-4.76,-4.74,-4.71,-4.69,-4.66,-4.64,-4.61,-4.58,-4.56,-4.53,-4.51,-4.48,-4.46,-4.43,-4.41,-4.38,-4.36,-4.33,-4.31,-4.28,-4.26,-4.23,-4.21,-4.18,-4.16,-4.14,-4.11,-4.09,-4.06,-4.04,-4.02,-4.0,-3.97,-3.95,-3.93,-3.91,-3.89,-3.86,-3.84,-3.82,-3.8,-3.78,-3.76,-3.74,-3.72,-3.7,-3.69,-3.67,-3.65,-3.63,-3.61,-3.6,-3.58,-3.56,-3.55,-3.53,-3.52,-3.5,-3.49,-3.47,-3.46,-3.45,-3.43,-3.42,-3.41,-3.4,-3.39,-3.38,-3.36,-3.35,-3.34,-3.34,-3.33,-3.32,-3.31,-3.3,-3.29,-3.29,-3.28,-3.27,-3.27,-3.26,-3.26,-3.25,-3.25,-3.24,-3.24,-3.24,-3.23,-3.23,-3.23,-3.23,-3.22,-3.22,-3.22,-3.22,-3.22,-3.22,-3.22,-3.22,-3.22,-3.22,-3.22,-3.22,-3.22,-3.22,-3.22,-3.22,-3.23,-3.23,-3.23,-3.23,-3.23,-3.24,-3.24,-3.24,-3.25,-3.25,-3.26,-3.26,-3.26,-3.27,-3.27,-3.28,-3.28,-3.29,-3.29,-3.3,-3.3,-3.31,-3.31,-3.32,-3.32,-3.33,-3.33,-3.34,-3.34,-3.35,-3.36,-3.36,-3.37,-3.37,-3.38,-3.39,-3.39,-3.4,-3.41,-3.41,-3.42,-3.43,-3.43,-3.44,-3.45,-3.46,-3.46,-3.47,-3.48,-3.49,-3.5,-3.5,-3.51,-3.52,-3.53,-3.54,-3.55,-3.56,-3.57,-3.58,-3.59,-3.6,-3.61,-3.62,-3.63,-3.64,-3.65,-3.66,-3.68,-3.69,-3.7,-3.71,-3.73,-3.74,-3.75,-3.77,-3.78,-3.8,-3.81,-3.83,-3.84,-3.86,-3.87,-3.89,-3.91,-3.92,-3.94,-3.96,-3.97,-3.99,-4.01,-4.03,-4.04,-4.06,-4.08,-4.1,-4.11,-4.13,-4.15,-4.17,-4.19,-4.2,-4.22,-4.24,-4.26,-4.28,-4.29,-4.31,-4.33,-4.34,-4.36,-4.38,-4.39,-4.41,-4.43,-4.44,-4.46,-4.47,-4.49,-4.5,-4.51,-4.53,-4.54,-4.56,-4.57,-4.58,-4.59,-4.61,-4.62,-4.63,-4.64,-4.65,-4.66,-4.67,-4.68,-4.69,-4.69,-4.7,-4.71,-4.72,-4.72,-4.73,-4.73,-4.74,-4.74,-4.75,-4.75,-4.75,-4.75,-4.75,-4.76,-4.76,-4.76,-4.76,-4.75,-4.75,-4.75,-4.75,-4.74,-4.74,-4.74,-4.73,-4.72,-4.72,-4.71,-4.7,-4.7,-4.69,-4.68,-4.67,-4.66,-4.65,-4.64,-4.62,-4.61,-4.6,-4.58,-4.57,-4.55,-4.54,-4.52,-4.5,-4.48,-4.46,-4.44,-4.42,-4.4,-4.38,-4.36,-4.33,-4.31,-4.28,-4.25,-4.22,-4.2,-4.17,-4.13,-4.1,-4.07,-4.04,-4.0,-3.97,-3.93,-3.89,-3.85,-3.81,-3.77,-3.73,-3.69,-3.64,-3.6,-3.55,-3.51,-3.46,-3.41,-3.37,-3.32,-3.27,-3.21,-3.16,-3.11,-3.06,-3.0,-2.95,-2.89,-2.84,-2.78,-2.73,-2.67,-2.61,-2.55,-2.49,-2.43,-2.37,-2.31,-2.25,-2.19,-2.13,-2.06,-2.0,-1.94,-1.87,-1.81,-1.74,-1.68,-1.61,-1.55,-1.48,-1.41,-1.34,-1.27,-1.21,-1.14,-1.07,-1.0,-0.93,-0.86,-0.79,-0.71,-0.64,-0.57,-0.5,-0.42,-0.35,-0.27,-0.2,-0.12,-0.05,0.03,0.1,0.18,0.26,0.34,0.41,0.49,0.57,0.65,0.73,0.81,0.9,0.98,1.06,1.14,1.23,1.31,1.4,1.48,1.57,1.65,1.74,1.83,1.91,2.0,2.09,2.18,2.27,2.36,2.45,2.53,2.62,2.71,2.8,2.89,2.98,3.08,3.17,3.26,3.35,3.44,3.53,3.62,3.71,3.8,3.89,3.98,4.07,4.16,4.25,4.34,4.43,4.52,4.6,4.69,4.78,4.87,4.96,5.04,5.13,5.22,5.3,5.39,5.47,5.56,5.64,5.73,5.81,5.9,5.98,6.06,6.14,6.23,6.31,6.39,6.47,6.55,6.63,6.71,6.79,6.87,6.95,7.02,7.1,7.18,7.25,7.33,7.4,7.48,7.55,7.63,7.7,7.77,7.85,7.92,7.99,8.06,8.13,8.2,8.27,8.34,8.41,8.47,8.54,8.61,8.67,8.74,8.8,8.86,8.93,8.99,9.05,9.11,9.17,9.23,9.29,9.34,9.4,9.46,9.51,9.56,9.62,9.67,9.72,9.77,9.82,9.87,9.91,10.0,10.05,10.09,10.13,10.18,10.22,10.25,10.29,10.33,10.36,10.4,10.43,10.47,10.5,10.53,10.</t>
  </si>
  <si>
    <t>To_Avoid_Formula56,10.58,10.61,10.64,10.66,10.68,10.7,10.72,10.74,10.76,10.78,10.79,10.8,10.81,10.82,10.83,10.84,10.84,10.85,10.85,10.85,10.84,10.84,10.84,10.83,10.82,10.81,10.79,10.78,10.76,10.74,10.72,10.7,10.67,10.65,10.62,10.59,10.55,10.52,10.48,10.44,10.4,10.36,10.31,10.26,10.21,10.16,10.11,10.05,10.0,9.94,9.88,9.81,9.75,9.68,9.62,9.55,9.47,9.4,9.33,9.25,9.17,9.09,9.01,8.93,8.85,8.76,8.68,8.59,8.5,8.41,8.32,8.22,8.13,8.04,7.94,7.84,7.74,7.64,7.54,7.44,7.34,7.23,7.13,7.02,6.92,6.81,6.7,6.59,6.48,6.37,6.25,6.14,6.03,5.91,5.8,5.68,5.56,5.44,5.33,5.21,5.09,4.97,4.85,4.72,4.6,4.48,4.36,4.23,4.11,3.98,3.86,3.73,3.61,3.48,3.35,3.23,3.1,2.97,2.84,2.71,2.58,2.45,2.33,2.2,2.07,1.94,1.81,1.68,1.55,1.42,1.28,1.15,1.02,0.89,0.76,0.63,0.5,0.37,0.24,0.11,-0.02,-0.15,-0.28,-0.41,-0.54,-0.67,-0.8,-0.93,-1.06,-1.19,-1.32,-1.45,-1.58,-1.71,-1.83,-1.96,-2.09,-2.22,-2.35,-2.48,-2.6,-2.73,-2.86,-2.99,-3.11,-3.24,-3.37,-3.49,-3.62,-3.75,-3.87,-4.0,-4.13,-4.25,-4.38,-4.5,-4.63,-4.75,-4.88,-5.01,-5.13,-5.26,-5.38,-5.51,-5.63,-5.76,-5.88,-6.01,-6.14,-6.26,-6.39,-6.51,-6.64,-6.76,-6.89,-7.02,-7.14,-7.27,-7.39,-7.52,-7.65,-7.77,-7.9,-8.02,-8.15,-8.27,-8.4,-8.53,-8.65,-8.78,-8.9,-9.03,-9.15,-9.28,-9.4,-9.53,-9.65,-9.77,-9.9,-10.02,-10.14,-10.27,-10.39,-10.51,-10.63,-10.75,-10.87,-10.99,-11.11,-11.23,-11.35,-11.47,-11.59,-11.7,-11.82,-11.93,-12.05,-12.16,-12.28,-12.39,-12.5,-12.61,-12.72,-12.83,-12.94,-13.05,-13.16,-13.26,-13.37,-13.47,-13.57,-13.68,-13.78,-13.88,-13.98,-14.07,-14.17,-14.26,-14.36,-14.45,-14.54,-14.63,-14.72,-14.8,-14.89,-14.97,-15.06,-15.14,-15.22,-15.29,-15.37,-15.44,-15.51,-15.58,-15.65,-15.72,-15.79,-15.85,-15.91,-15.97,-16.03,-16.09,-16.14,-16.19,-16.25,-16.29,-16.34,-16.39,-16.43,-16.47,-16.51,-16.55,-16.59,-16.62,-16.65,-16.68,-16.71,-16.74,-16.76,-16.79,-16.81,-16.83,-16.85,-16.86,-16.88,-16.89,-16.9,-16.91,-16.92,-16.92,-16.93,-16.93,-16.93,-16.93,-16.93,-16.92,-16.92,-16.91,-16.9,-16.89,-16.88,-16.87,-16.85,-16.84,-16.82,-16.8,-16.78,-16.76,-16.73,-16.71,-16.68,-16.66,-16.63,-16.6,-16.56,-16.53,-16.5,-16.46,-16.43,-16.39,-16.35,-16.31,-16.27,-16.23,-16.19,-16.14,-16.1,-16.05,-16.01,-15.96,-15.91,-15.87,-15.82,-15.77,-15.72,-15.67,-15.62,-15.56,-15.51,-15.46,-15.41,-15.35,</t>
  </si>
  <si>
    <t>To_Avoid_Formula3.54,3.62,3.7,3.72,3.74,3.81,3.85,3.8,3.66,3.59,3.67,3.9,4.12,4.26,4.32,4.36,4.46,4.65,4.89,5.02,5.01,4.94,4.91,4.87,4.88,4.97,5.1,5.25,5.46,5.7,5.89,5.97,5.96,5.85,5.74,5.74,5.76,5.68,5.53,5.42,5.44,5.55,5.62,5.55,5.35,5.11,4.95,4.8,4.56,4.39,4.34,4.51,4.8,5.16,5.47,5.64,5.71,5.68,5.61,5.52,5.4,5.2,4.86,4.5,4.21,3.98,3.84,3.71,3.68,3.78,3.94,4.12,4.28,4.42,4.53,4.62,4.66,4.54,4.29,4.02,3.83,3.68,3.56,3.53,3.55,3.62,3.68,3.78,3.87,3.97,4.03,4.1,4.19,4.39,4.61,4.78,4.77,4.64,4.52,4.45,4.42,4.31,4.17,4.02,3.95,3.94,3.94,3.93,3.91,3.9,3.94,3.99,4.03,4.04,4.0,3.94,3.85,3.68,3.39,3.05,2.75,2.44,2.22,2.06,2.01,2.08,2.19,2.39,2.66,3.05,3.39,3.62,3.82,4.12,4.45,4.7,4.77,4.61,4.36,4.15,4.04,3.96,3.85,3.6,3.35,3.22,3.29,3.44,3.54,3.62,3.71,3.83,3.86,3.8,3.66,3.52,3.41,3.37,3.33,3.23,3.11,3.06,3.07,3.06,3.02,3.0,2.98,2.94,2.9,2.88,2.88,2.84,2.77,2.69,2.69,2.74,2.77,2.72,2.63,2.59,2.64,2.77,2.87,2.91,2.94,2.98,2.97,2.93,2.83,2.73,2.73,2.86,2.97,3.06,3.15,3.23,3.26,3.15,2.95,2.68,2.55,2.5,2.57,2.75,3.08,3.34,3.48,3.5,3.41,3.29,2.96,2.51,1.97,1.54,1.23,1.02,0.95,0.98,1.2,1.51,1.99,2.41,2.65,2.75,2.75,2.79,2.79,2.8,2.81,2.86,2.85,2.91,3.02,3.17,3.25,3.17,3.03,2.87,2.86,3.02,3.25,3.54,3.92,4.31,4.57,4.79,4.94,4.97,4.81,4.53,4.27,4.12,4.07,3.96,3.75,3.49,3.27,3.13,3.04,2.96,2.9,2.85,2.84,2.8,2.76,2.73,2.71,2.68,2.64,2.57,2.48,2.39,2.33,2.26,2.16,2.1,2.07,2.01,1.92,1.89,1.91,1.93,1.93,1.96,2.13,2.41,2.74,2.95,3.09,3.2,3.27,3.29,3.23,3.13,3.07,3.13,3.26,3.4,3.53,3.74,3.9,3.99,4.02,4.01,3.95,3.81,3.62,3.44,3.29,3.16,2.95,2.69,2.42,2.3,2.34,2.42,2.49,2.56,2.73,2.97,3.26,3.53,3.71,3.9,4.04,4.06,3.93,3.78,3.65,3.52,3.4,3.21,2.97,2.78,2.63,2.57,2.63,2.77,2.93,3.01,3.1,3.28,3.62,3.94,4.14,4.16,4.06,3.99,3.96,3.91,3.79,3.65,3.52,3.42,3.33,3.23,3.11,3.01,2.97,2.99,3.05,3.11,3.16,3.2,3.14,2.95,2.69,2.5,2.36,2.17,2.0,1.88,1.81,1.79,1.84,1.97,2.07,2.14,2.15,2.12,2.01,1.83,1.62,1.52,1.55,1.54,1.44,1.28,1.17,1.2,1.28,1.3,1.28,1.26,1.33,1.48,1.64,1.78,1.88,1.98,2.15,2.32,2.36,2.22,1.99,1.88,1.91,2.01,2.15,2.32,2.48,2.69,2.98,3.39,3.78,4.0,4.12,4.28,4.48,4.67,4.72,4.62,4.52,4.45,4.38,4.17,3.84,3.42,3.05,2.7,2.26,1.83,1.41,1.11,0.94,0.95,1.11,1.39,1.47,1.21,0.57,-0.2,-1.07,-1.87,-2.13,-1.94,-1.46,-0.77,0.07,0.76,1.28,1.69,2.08,2.53,2.89,3.03,3.01,2.93,2.85,2.81,2.81,2.85,2.98,3.22,3.44,3.48,3.38,3.18,2.97,2.78,2.7,2.7,2.76,2.92,3.16,3.32,3.32,3.26,3.12,2.98,2.8,2.54,2.19,1.93,1.82,1.81,1.85,1.93,2.0,2.05,2.16,2.29,2.39,2.35,2.25,2.14,2.04,1.95,1.88,1.83,1.75,1.69,1.69,1.78,1.93,2.1,2.35,2.51,2.66,2.73,2.63,2.33,1.81,1.04,0.22,-0.54,-1.25,-1.68,-1.95,-2.25,-2.69,-3.25,-3.61,-3.7,-3.61,-3.38,-3.13,-2.87,-2.69,-2.45,-2.21,-1.99,-1.85,-1.81,-1.81,-1.91,-2.09,-2.36,-2.69,-3.14,-3.6,-4.04,-4.49,-4.9,-5.39,-5.74,-5.87,-5.78,-5.48,-5.07,-4.53,-4.03,-3.48,-2.89,-2.36,-1.84,-1.43,-1.03,-0.79,-0.74,-0.83,-1.08,-1.45,-1.82,-2.09,-2.43,-2.64,-2.66,-2.4,-2.03,-1.58,-1.2,-0.84,-0.6,-0.58,-0.69,-0.82,-0.98,-1.4,-2.04,-2.71,-3.33,-3.91,-4.57,-5.06,-5.19,-4.92,-4.44,-4.04,-3.84,-3.75,-3.42,-2.96,-2.54,-2.34,-2.16,-1.88,-1.61,-1.44,-1.32,-1.24,-1.1,-0.85,-0.48,-0.18,0.03,0.29,0.56,0.75,0.93,1.21,1.45,1.5,1.49,1.64,1.95,2.36,2.69,2.93,3.2,3.51,3.87,4.21,4.5,4.83,5.14,5.45,5.64,5.65,5.69,5.81,6.01,6.11,6.08,5.94,5.73,5.49,5.12,4.56,3.83,3.32,3.09,2.98,2.89,2.69,2.57,2.62,2.79,2.93,3.07,3.26,3.64,4.07,4.41,4.6,4.44,4.17,3.92,3.87,3.99,4.13,4.11,3.97,3.87,3.82,3.79,3.69,3.51,3.24,2.87,2.09,1.89,1.73,1.49,1.21,1.07,1.14,1.23,1.22,1.01,0.7,0.3,-0.1,-0.39,-0.59,-0.66,-0.67,-0.39,0.21,1.06,1.73,2.24,2.52,2.59,2.52,2.36,2.2,2.04,1.9,1.75,1.78,1.96,2.23,2.49,2.8,3.12,3.4,3.49,3.45,3.38,3.3,3.21,3.19,3.28,3.38,3.42,3.41,3.42,3.43,3.47,3.53,3.63,3.69,3.65,3.6,3.72,4.1,4.52,4.82,5.02,5.16,5.34,5.46,5.48,5.29,4.92,4.48,4.13,3.88,3.52,3.08,2.42,1.78,1.3,1.07,1.09,1.19,1.4,1.73,2.16,2.46,2.57,2.48,2.36,2.44,2.63,2.65,2.4,2.01,1.64,1.46,1.56,1.87,2.18,2.34,2.35,2.35,2.31,2.18,1.86,1.34,0.61,-0.02,-0.44,-0.84,-1.22,-1.</t>
  </si>
  <si>
    <t>To_Avoid_Formula71,-2.08,-2.29,-2.34,-2.27,-2.19,-2.05,-1.85,-1.57,-1.26,-0.82,-0.39,-0.04,0.32,0.62,0.85,0.88,0.75,0.64,0.58,0.41,0.02,-0.54,-1.17,-1.61,-1.94,-2.12,-2.19,-2.37,-2.6,-2.89,-3.03,-3.01,-2.69,-2.39,-2.18,-2.16,-2.29,-2.9,-3.97,-5.26,-6.11,-6.44,-6.34,-5.89,-5.53,-5.27,-5.06,-4.59,-3.98,-3.33,-2.89,-2.62,-2.51,-2.42,-2.37,-2.4,-2.69,-2.89,-2.65,-1.91,-1.14,-0.67,-0.5,-0.43,-0.22,-0.09,-0.09,-0.03,0.27,0.53,0.58,0.52,0.6,0.8,0.99,1.14,1.23,1.23,1.21,1.15,0.96,0.58,0.28,0.13,0.05,-0.01,-0.14,-0.15,-0.01,0.22,0.38,0.47,0.57,0.83,1.15,1.45,1.72,2.01,2.3,2.47,2.61,2.78,3.01,3.19,3.27,3.25,3.15,3.06,3.05,3.07,2.99,2.94,2.99,3.08,3.09,3.09,3.09,3.09,3.02,2.82,2.47,2.19,2.08,2.02,1.88,1.67,1.53,1.41,1.3,1.19,1.21,1.33,1.42,1.48,1.52,1.6,1.72,1.92,2.1,2.17,2.2,2.29,2.39,2.36,2.29,2.22,2.1,1.87,1.69,1.54,1.42,1.34,1.3,1.27,1.23,1.23,1.26,1.3,1.37,1.5,1.69,1.89,2.08,2.24,2.47,2.76,3.1,3.36,3.63,3.9,4.03,4.01,3.92,3.83,3.72,3.49,3.18,2.92,2.71,2.62,2.52,2.43,2.4,2.46,2.62,2.86,3.08,3.24,3.4,3.46,3.35,3.08,2.75,2.41,2.04,1.63,1.31,1.1,0.99,0.84,0.69,0.64,0.68,0.81,0.92,1.01,1.16,1.42,1.66,1.86,2.03,2.12,2.14,2.1,1.99,1.82,1.63,1.5,1.38,1.13,0.84,0.58,0.51,0.55,0.66,0.82,1.1,1.46,1.87,2.32,2.75,3.03,3.09,3.14,3.12,3.02,2.66,2.1,1.44,0.92,0.52,0.16,-0.14,-0.48,-0.73,-0.91,-0.89,-0.72,-0.53,-0.41,-0.33,-0.16,0.12,0.38,0.59,0.83,1.09,1.43,1.83,2.29,2.68,2.89,3.09,3.3,3.36,3.25,3.01,2.92,3.05,3.23,3.22,</t>
  </si>
  <si>
    <t>To_Avoid_Formula-0.45,-0.45,-0.45,-0.45,-0.45,-0.45,-0.45,-0.46,-0.46,-0.46,-0.46,-0.45,-0.45,-0.45,-0.44,-0.44,-0.43,-0.42,-0.42,-0.41,-0.4,-0.39,-0.39,-0.38,-0.37,-0.37,-0.36,-0.34,-0.33,-0.32,-0.31,-0.29,-0.28,-0.26,-0.25,-0.23,-0.22,-0.2,-0.18,-0.16,-0.14,-0.12,-0.1,-0.08,-0.06,-0.04,-0.01,0.01,0.03,0.05,0.08,0.1,0.12,0.15,0.17,0.2,0.22,0.25,0.27,0.3,0.32,0.35,0.37,0.39,0.42,0.44,0.46,0.49,0.51,0.53,0.55,0.56,0.58,0.6,0.61,0.63,0.64,0.65,0.66,0.67,0.67,0.68,0.68,0.69,0.69,0.68,0.68,0.68,0.67,0.67,0.66,0.65,0.64,0.63,0.62,0.61,0.6,0.58,0.57,0.55,0.54,0.52,0.5,0.49,0.47,0.45,0.43,0.41,0.4,0.38,0.35,0.33,0.31,0.29,0.26,0.24,0.21,0.19,0.16,0.14,0.12,0.1,0.08,0.05,0.03,0.01,-0.01,-0.03,-0.05,-0.07,-0.08,-0.1,-0.11,-0.13,-0.14,-0.15,-0.15,-0.16,-0.16,-0.17,-0.17,-0.18,-0.18,-0.19,-0.19,-0.19,-0.19,-0.19,-0.19,-0.19,-0.19,-0.19,-0.18,-0.18,-0.19,-0.19,-0.19,-0.19,-0.19,-0.19,-0.19,-0.19,-0.19,-0.18,-0.18,-0.18,-0.17,-0.17,-0.16,-0.15,-0.15,-0.14,-0.14,-0.13,-0.13,-0.12,-0.11,-0.1,-0.1,-0.09,-0.08,-0.08,-0.07,-0.07,-0.07,-0.06,-0.06,-0.06,-0.07,-0.07,-0.07,-0.07,-0.07,-0.07,-0.07,-0.07,-0.08,-0.08,-0.08,-0.09,-0.09,-0.09,-0.1,-0.1,-0.1,-0.1,-0.1,-0.1,-0.1,-0.1,-0.11,-0.11,-0.11,-0.11,-0.11,-0.12,-0.12,-0.12,-0.13,-0.13,-0.14,-0.14,-0.15,-0.15,-0.16,-0.16,-0.17,-0.18,-0.18,-0.19,-0.2,-0.2,-0.21,-0.21,-0.22,-0.22,-0.23,-0.23,-0.23,-0.24,-0.24,-0.25,-0.25,-0.25,-0.26,-0.26,-0.27,-0.27,-0.27,-0.28,-0.28,-0.28,-0.29,-0.3,-0.3,-0.31,-0.31,-0.32,-0.32,-0.33,-0.33,-0.34,-0.35,-0.36,-0.37,-0.38,-0.39,-0.4,-0.41,-0.42,-0.42,-0.43,-0.44,-0.45,-0.46,-0.46,-0.47,-0.48,-0.49,-0.5,-0.5,-0.51,-0.51,-0.52,-0.52,-0.53,-0.53,-0.53,-0.54,-0.54,-0.54,-0.54,-0.54,-0.54,-0.54,-0.54,-0.54,-0.54,-0.54,-0.54,-0.53,-0.53,-0.53,-0.52,-0.52,-0.52,-0.51,-0.51,-0.5,-0.5,-0.49,-0.48,-0.47,-0.46,-0.45,-0.44,-0.42,-0.41,-0.39,-0.38,-0.36,-0.35,-0.33,-0.32,-0.3,-0.28,-0.26,-0.24,-0.22,-0.2,-0.18,-0.17,-0.15,-0.13,-0.11,-0.09,-0.08,-0.06,-0.04,-0.02,-0.01,0.01,0.02,0.04,0.05,0.07,0.08,0.09,0.1,0.11,0.13,0.14,0.16,0.17,0.18,0.2,0.21,0.22,0.23,0.24,0.25,0.26,0.28,0.29,0.3,0.31,0.32,0.33,0.34,0.35,0.35,0.36,0.36,0.37,0.37,0.37,0.37,0.37,0.38,0.38,0.38,0.38,0.38,0.38,0.37,0.37,0.37,0.36,0.36,0.36,0.35,0.35,0.35,0.34,0.34,0.34,0.34,0.34,0.34,0.34,0.33,0.33,0.33,0.33,0.33,0.33,0.34,0.34,0.34,0.35,0.35,0.35,0.35,0.35,0.35,0.35,0.35,0.36,0.36,0.36,0.37,0.38,0.39,0.4,0.41,0.42,0.43,0.44,0.45,0.46,0.47,0.48,0.5,0.51,0.53,0.55,0.57,0.59,0.61,0.63,0.65,0.67,0.69,0.71,0.73,0.75,0.77,0.78,0.8,0.81,0.82,0.83,0.84,0.85,0.86,0.87,0.88,0.89,0.89,0.9,0.9,0.91,0.91,0.92,0.92,0.93,0.93,0.93,0.93,0.92,0.92,0.91,0.91,0.9,0.89,0.88,0.87,0.87,0.86,0.85,0.84,0.83,0.82,0.81,0.8,0.79,0.77,0.76,0.75,0.74,0.73,0.72,0.71,0.7,0.69,0.68,0.68,0.68,0.68,0.68,0.68,0.69,0.7,0.72,0.73,0.74,0.76,0.77,0.79,0.81,0.83,0.85,0.88,0.9,0.93,0.96,0.99,1.03,1.07,1.11,1.15,1.19,1.22,1.26,1.3,1.33,1.37,1.4,1.44,1.47,1.5,1.53,1.56,1.58,1.61,1.64,1.66,1.68,1.7,1.71,1.72,1.74,1.75,1.76,1.76,1.77,1.77,1.77,1.77,1.77,1.76,1.75,1.74,1.73,1.71,1.7,1.68,1.67,1.65,1.63,1.61,1.58,1.56,1.53,1.5,1.46,1.43,1.39,1.35,1.31,1.27,1.23,1.19,1.16,1.13,1.1,1.07,1.04,1.01,0.99,0.96,0.94,0.93,0.92,0.9,0.9,0.89,0.89,0.89,0.9,0.91,0.92,0.93,0.94,0.96,0.97,0.99,1.01,1.03,1.05,1.07,1.1,1.12,1.14,1.17,1.19,1.22,1.24,1.26,1.29,1.31,1.33,1.35,1.38,1.4,1.42,1.44,1.46,1.48,1.5,1.52,1.53,1.54,1.54,1.55,1.55,1.55,1.55,1.54,1.53,1.52,1.51,1.49,1.48,1.45,1.43,1.4,1.37,1.33,1.3,1.26,1.22,1.18,1.13,1.09,1.04,0.99,0.94,0.89,0.85,0.8,0.76,0.71,0.67,0.63,0.58,0.53,0.49,0.44,0.39,0.35,0.3,0.25,0.21,0.16,0.12,0.08,0.04,0.0,-0.03,-0.09,-0.12,-0.14,-0.17,-0.19,-0.21,-0.23,-0.25,-0.27,-0.29,-0.3,-0.32,-0.34,-0.36,-0.37,-0.38,-0.39,-0.4,-0.41,-0.42,-0.43,-0.44,-0.45,-0.46,-0.47,-0.49,-0.5,-0.51,-0.53,-0.55,-0.57,-0.6,-0.63,-0.66,-0.68,-0.71,-0.73,-0.75,-0.78,-0.8,-0.82,-0.83,-0.85,-0.87,-0.89,-0.91,-0.94,-0.96,-0.99,-1.03,-1.06,-1.09,-1.12,-1.15,-1.18,-1.21,-1.24,-1.27,-1.29,-1.32,-1.34,-1.37,-1.3</t>
  </si>
  <si>
    <t>To_Avoid_Formula9,-1.41,-1.44,-1.46,-1.48,-1.49,-1.51,-1.52,-1.52,-1.52,-1.52,-1.52,-1.52,-1.52,-1.51,-1.5,-1.49,-1.48,-1.47,-1.45,-1.43,-1.4,-1.38,-1.36,-1.34,-1.31,-1.29,-1.27,-1.25,-1.23,-1.21,-1.18,-1.16,-1.13,-1.09,-1.06,-1.02,-0.98,-0.94,-0.9,-0.86,-0.83,-0.79,-0.75,-0.72,-0.68,-0.65,-0.62,-0.59,-0.57,-0.54,-0.52,-0.49,-0.48,-0.46,-0.45,-0.45,-0.45,-0.46,-0.47,-0.49,-0.51,-0.54,-0.56,-0.59,-0.62,-0.65,-0.69,-0.73,-0.76,-0.81,-0.85,-0.89,-0.94,-0.99,-1.03,-1.08,-1.13,-1.18,-1.22,-1.27,-1.32,-1.37,-1.43,-1.48,-1.54,-1.6,-1.66,-1.72,-1.78,-1.84,-1.89,-1.95,-2.01,-2.06,-2.11,-2.16,-2.21,-2.26,-2.3,-2.34,-2.38,-2.42,-2.45,-2.48,-2.5,-2.53,-2.54,-2.55,-2.56,-2.56,-2.56,-2.56,-2.55,-2.55,-2.54,-2.52,-2.51,-2.49,-2.47,-2.45,-2.43,-2.41,-2.38,-2.35,-2.32,-2.29,-2.26,-2.22,-2.19,-2.16,-2.12,-2.08,-2.05,-2.01,-1.97,-1.93,-1.89,-1.85,-1.81,-1.77,-1.73,-1.69,-1.65,-1.61,-1.57,-1.54,-1.51,-1.47,-1.44,-1.41,-1.38,-1.35,-1.32,-1.29,-1.26,-1.24,-1.21,-1.18,-1.16,-1.13,-1.11,-1.08,-1.06,-1.03,-1.0,-0.98,-0.96,-0.93,-0.91,-0.88,-0.86,-0.84,-0.82,-0.8,-0.79,-0.78,-0.77,-0.76,-0.76,-0.76,-0.76,-0.76,-0.76,-0.77,-0.77,-0.78,-0.78,-0.79,-0.79,-0.79,-0.8,-0.8,-0.81,-0.81,-0.81,-0.82,-0.82,-0.82,-0.82,-0.82,-0.82,-0.82,-0.81,-0.81,-0.81,-0.81,-0.82,-0.83,-0.84,-0.85,-0.86,-0.88,-0.9,-0.92,-0.94,-0.96,-0.98,-1.0,-1.02,-1.04,-1.07,-1.09,-1.11,-1.13,-1.15,-1.17,-1.19,-1.2,-1.22,-1.22,-1.23,-1.24,-1.25,-1.25,-1.26,-1.27,-1.27,-1.28,-1.29,-1.31,-1.32,-1.33,-1.34,-1.35,-1.36,-1.37,-1.39,-1.4,-1.42,-1.43,-1.45,-1.46,-1.48,-1.49,-1.5,-1.51,-1.52,-1.52,-1.51,-1.51,-1.5,-1.49,-1.48,-1.46,-1.45,-1.43,-1.41,-1.39,-1.37,-1.35,-1.32,-1.3,-1.27,-1.25,-1.22,-1.19,-1.16,-1.14,-1.11,-1.08,-1.05,-1.03,-1.0,-0.97,-0.94,-0.9,-0.87,-0.83,-0.79,-0.75,-0.71,-0.67,-0.63,-0.59,-0.55,-0.51,-0.47,-0.43,-0.39,-0.35,-0.32,-0.28,-0.24,-0.21,-0.17,-0.14,-0.11,-0.09,-0.06,-0.04,-0.02,0.0,0.02,0.03,0.05,</t>
  </si>
  <si>
    <t>To_Avoid_Formula0.0,0.0,0.0,0.0,0.0,0.0,0.0,0.0,0.0,0.0,0.0,0.0,0.0,0.0,0.0,0.0,0.0,0.0,0.0,0.0,0.0,0.0,0.0,0.0,0.0,0.0,0.0,0.0,0.0,0.0,0.0,0.0,0.0,0.0,0.0,0.0,0.0,0.0,0.0,0.0,0.0,0.0,0.0,0.0,0.0,0.0,0.0,0.0,0.0,0.0,0.0,0.0,0.0,0.0,0.0,0.0,0.0,0.0,0.0,0.0,0.0,0.0,0.0,0.0,0.0,0.0,0.0,0.0,</t>
  </si>
  <si>
    <t>To_Avoid_Formula2.79,2.76,2.74,2.71,2.67,2.61,2.55,2.47,2.38,2.28,2.18,2.06,1.92,1.78,1.63,1.51,1.4,1.33,1.29,1.28,1.3,1.34,1.41,1.5,1.61,1.75,1.92,2.1,2.28,2.47,2.65,2.82,2.96,3.08,3.19,3.27,3.35,3.41,3.46,3.51,3.56,3.59,3.61,3.61,3.59,3.55,3.49,3.41,3.32,3.2,3.07,2.93,2.79,2.65,2.51,2.38,2.28,2.2,2.15,2.15,2.18,2.25,2.36,2.51,2.67,2.84,3.01,3.19,3.36,3.53,3.69,3.84,3.96,4.05,4.11,4.14,4.14,4.11,4.06,4.0,3.93,3.85,3.77,3.69,3.61,3.53,3.46,3.39,3.32,3.27,3.21,3.17,3.13,3.09,3.06,3.03,3.01,3.0,2.99,2.99,2.99,3.01,3.02,3.04,3.06,3.08,3.1,3.1,3.11,3.11,3.1,3.09,3.08,3.05,3.02,2.98,2.94,2.9,2.86,2.83,2.81,2.81,2.82,2.85,2.9,2.97,3.03,3.1,3.17,3.24,3.3,3.35,3.4,3.44,3.47,3.49,3.5,3.49,3.48,3.46,3.44,3.42,3.41,3.4,3.42,3.45,3.5,3.56,3.64,3.72,3.81,3.89,3.97,4.04,4.09,4.14,4.17,4.2,4.21,4.23,4.24,4.24,4.24,4.24,4.22,4.19,4.17,4.13,4.09,4.05,3.99,3.93,3.86,3.79,3.72,3.66,3.59,3.53,3.46,3.39,3.32,3.24,3.15,3.06,2.97,2.88,2.81,2.74,2.68,2.63,2.59,2.56,2.53,2.52,2.5,2.49,2.48,2.47,2.46,2.44,2.42,2.4,2.37,2.33,2.3,2.25,2.21,2.16,2.12,2.08,2.04,2.0,1.97,1.94,1.91,1.89,1.88,1.88,1.88,1.88,1.89,1.92,1.96,2.02,2.09,2.17,2.27,2.38,2.49,2.58,2.66,2.73,2.78,2.81,2.83,2.83,2.83,2.8,2.77,2.71,2.64,2.54,2.43,2.32,2.2,2.09,1.98,1.89,1.82,1.76,1.72,1.69,1.67,1.67,1.69,1.73,1.79,1.87,1.96,2.07,2.2,2.33,2.48,2.63,2.78,2.93,3.08,3.23,3.37,3.5,3.62,3.72,3.79,3.85,3.88,3.88,3.87,3.84,3.81,3.78,3.74,3.71,3.68,3.66,3.65,3.65,3.65,3.65,3.65,3.65,3.64,3.62,3.6,3.56,3.51,3.46,3.4,3.34,3.28,3.23,3.19,3.15,3.11,3.07,3.04,3.01,2.99,2.99,2.99,3.01,3.03,3.05,3.07,3.08,3.08,3.07,3.06,3.04,3.01,2.98,2.96,2.93,2.92,2.9,2.88,2.86,2.84,2.8,2.76,2.71,2.66,2.6,2.54,2.48,2.42,2.36,2.31,2.26,2.21,2.16,2.12,2.09,2.06,2.05,2.05,2.06,2.09,2.12,2.16,2.21,2.26,2.32,2.38,2.44,2.5,2.57,2.64,2.72,2.79,2.86,2.92,2.97,2.99,3.01,3.01,3.0,2.99,2.97,2.94,2.91,2.87,2.84,2.8,2.76,2.72,2.69,2.66,2.64,2.62,2.61,2.6,2.59,2.58,2.57,2.55,2.54,2.52,2.5,2.48,2.46,2.43,2.4,2.36,2.32,2.27,2.21,2.16,2.12,2.08,2.04,2.03,2.02,2.03,2.05,2.08,2.12,2.16,2.21,2.26,2.3,2.33,2.35,2.36,2.36,2.34,2.31,2.27,2.21,2.14,2.06,1.97,1.88,1.77,1.66,1.55,1.43,1.3,1.18,1.05,0.93,0.81,0.71,0.61,0.53,0.47,0.44,0.45,0.49,0.57,0.67,0.75,0.82,0.87,0.89,0.88,0.84,0.77,0.66,0.54,0.4,0.25,0.09,-0.08,-0.23,-0.37,-0.5,-0.61,-0.69,-0.74,-0.76,-0.75,-0.7,-0.61,-0.5,-0.37,-0.22,-0.07,0.07,0.19,0.29,0.37,0.41,0.42,0.41,0.38,0.33,0.27,0.2,0.13,0.05,-0.04,-0.12,-0.2,-0.26,-0.29,-0.3,-0.29,-0.25,-0.21,-0.16,-0.12,-0.08,-0.05,-0.02,0.0,0.02,0.03,0.02,0.0,-0.03,-0.06,-0.09,-0.11,-0.1,-0.08,-0.04,0.02,0.1,0.18,0.26,0.33,0.4,0.46,0.49,0.51,0.52,0.51,0.5,0.48,0.46,0.43,0.38,0.29,0.17,0.01,-0.17,-0.37,-0.59,-0.8,-0.99,-1.15,-1.29,-1.4,-1.48,-1.53,-1.55,-1.56,-1.56,-1.57,-1.57,-1.57,-1.56,-1.55,-1.55,-1.54,-1.54,-1.53,-1.52,-1.52,-1.53,-1.55,-1.58,-1.62,-1.67,-1.73,-1.79,-1.83,-1.86,-1.84,-1.79,-1.67,-1.47,-1.18,-0.83,-0.44,-0.06,0.32,0.68,1.03,1.37,1.7,2.04,2.38,2.76,3.17,3.6,4.03,4.46,4.85,5.17,5.39,5.5,5.49,5.39,5.24,5.07,4.89,4.7,4.44,4.09,3.61,3.03,2.38,1.7,1.03,0.4,-0.15,-0.63,-1.03,-1.35,-1.57,-1.7,-1.75,-1.74,-1.67,-1.56,-1.43,-1.3,-1.19,-1.1,-1.04,-1.01,-1.0,-1.01,-1.02,-1.01,-0.98,-0.92,-0.84,-0.74,-0.66,-0.6,-0.58,-0.6,-0.67,-0.78,-0.94,-1.13,-1.36,-1.61,-1.86,-2.11,-2.36,-2.6,-2.83,-3.06,-3.28,-3.5,-3.72,-3.94,-4.16,-4.39,-4.63,-4.89,-5.17,-5.47,-5.8,-6.13,-6.46,-6.77,-7.02,-7.18,-7.23,-7.15,-6.92,-6.55,-6.04,-5.39,-4.59,-3.64,-2.56,-1.36,-0.07,1.29,2.69,4.1,5.5,6.86,8.13,9.29,11.17,11.87,12.42,12.83,13.12,13.3,13.38,13.37,13.27,13.12,12.92,12.69,12.43,12.16,11.87,11.58,11.29,11.0,10.7,10.42,10.14,9.85,9.57,9.27,8.97,8.67,8.38,8.09,7.82,7.55,7.29,7.03,6.76,6.5,6.24,5.97,5.72,5.46,5.19,4.93,4.68,4.46,4.26,4.09,3.94,3.82,3.72,3.65,3.63,3.65,3.73,3.88,4.06,4.23,4.36,4.46,4.5,4.51,4.49,4.46,4.44,4.41,4.4,4.39,4.38,4.36,4.33,4.28,4.21,4.11,3.99,3.86,3.7,3.52,3.31,3.09,2.87,2.67,2.51,2.39,2.31,2.28,2.31,2.39,2.49,2.61,2.74,2.89,3.07,3.28,3.51,3.77,4.04,4.34,4.65,4.96,5.27,</t>
  </si>
  <si>
    <t>To_Avoid_Formula5.57,5.86,6.12,6.35,6.52,6.64,6.7,6.69,6.62,6.48,6.29,6.04,5.75,5.43,5.07,4.69,4.29,3.87,3.45,3.03,2.62,2.21,1.83,1.47,1.12,0.78,0.46,0.15,-0.15,-0.45,-0.73,-1.01,-1.26,-1.49,-1.67,-1.81,-1.91,-1.97,-2.0,-2.0,-1.98,-1.94,-1.88,-1.83,-1.79,-1.76,-1.72,-1.66,-1.57,-1.44,-1.28,-1.05,-0.79,-0.49,-0.19,0.09,0.33,0.53,0.66,0.74,0.76,0.75,0.67,0.55,0.4,0.24,0.1,0.01,-0.04,-0.06,-0.05,-0.01,0.08,0.22,0.4,0.64,0.92,1.23,1.58,1.94,2.33,2.76,3.24,3.77,4.32,4.89,5.44,5.96,6.42,6.82,7.16,7.42,7.62,7.74,7.8,7.79,7.71,7.57,7.37,7.12,6.84,6.51,6.17,5.81,5.43,5.04,4.66,4.27,3.9,3.54,3.21,2.92,2.68,2.51,2.4,2.37,2.42,2.52,2.68,2.88,3.09,3.31,3.49,3.62,3.69,3.73,3.73,3.71,3.7,3.68,3.66,3.64,3.65,3.67,3.72,3.8,3.9,4.02,4.15,4.28,4.39,4.49,4.57,4.61,4.62,4.59,4.52,4.41,4.28,4.14,3.99,3.85,3.73,3.62,3.54,3.48,3.44,3.4,3.35,3.3,3.25,3.21,3.19,3.2,3.23,3.29,3.36,3.45,3.54,3.63,3.72,3.8,3.88,3.96,4.03,4.1,4.15,4.18,4.17,4.13,4.06,3.97,3.87,3.76,3.66,3.57,3.48,3.4,3.32,3.25,3.19,3.13,3.09,3.05,3.03,3.02,2.99,2.94,2.86,2.74,2.61,2.45,2.28,2.1,1.93,1.77,1.61,1.47,1.35,1.24,1.15,1.07,1.01,0.96,0.92,0.91,0.92,0.96,1.0,1.02,0.99,0.92,0.8,0.66,0.51,0.34,0.17,0.0,-0.15,-0.29,-0.39,-0.46,-0.49,-0.47,-0.4,-0.32,-0.23,-0.16,-0.13,-0.15,-0.22,-0.32,-0.47,-0.63,-0.8,-0.96,-1.07,-1.15,-1.17,-1.14,-1.08,-1.01,-0.95,-0.9,-0.88,-0.9,-0.97,-1.08,-1.23,-1.4,-1.59,-1.79,-1.98,-2.16,-2.32,-2.45,-2.55,-2.6,-2.6,-2.52,-2.36,-2.15,-1.92,-1.68,-1.45,-1.23,-1.03,-0.83,-0.65,-0.47,-0.3,</t>
  </si>
  <si>
    <t>To_Avoid_Formula3.53,3.47,3.38,3.23,3.03,2.87,2.64,2.28,1.81,1.47,1.23,1.21,1.33,1.58,1.71,1.66,1.6,1.55,1.5,1.45,1.31,1.07,0.89,0.78,0.72,0.62,0.53,0.37,0.19,0.08,0.02,-0.08,-0.25,-0.52,-0.76,-0.85,-0.88,-1.05,-1.35,-1.65,-1.79,-1.82,-1.93,-2.17,-2.5,-2.8,-2.96,-3.09,-3.33,-3.49,-3.52,-3.41,-3.29,-3.19,-3.14,-3.12,-3.03,-2.94,-2.92,-2.96,-2.97,-2.98,-3.0,-3.0,-2.97,-3.01,-3.04,-3.1,-3.09,-2.93,-2.76,-2.64,-2.58,-2.47,-2.27,-2.05,-1.94,-1.98,-2.07,-2.06,-1.94,-1.84,-1.78,-1.65,-1.44,-1.2,-0.98,-0.79,-0.63,-0.45,-0.26,-0.09,0.07,0.29,0.55,0.68,0.62,0.48,0.36,0.31,0.33,0.27,0.19,0.11,0.09,0.12,0.14,0.17,0.15,0.09,0.05,0.08,0.15,0.21,0.19,0.15,0.19,0.27,0.26,0.15,0.05,-0.04,-0.06,0.0,0.09,0.17,0.24,0.38,0.58,0.77,0.92,1.0,0.98,0.98,1.01,0.98,0.87,0.7,0.51,0.35,0.28,0.27,0.22,0.15,0.11,0.14,0.28,0.45,0.63,0.77,0.88,1.03,1.12,1.14,1.19,1.28,1.39,1.52,1.66,1.75,1.79,1.83,1.79,1.68,1.59,1.55,1.52,1.47,1.41,1.38,1.37,1.35,1.27,1.13,1.04,0.99,0.89,0.72,0.55,0.46,0.45,0.51,0.53,0.44,0.34,0.26,0.13,-0.06,-0.23,-0.35,-0.41,-0.39,-0.37,-0.35,-0.36,-0.34,-0.39,-0.56,-0.77,-0.94,-1.03,-1.11,-1.12,-1.04,-0.83,-0.63,-0.5,-0.5,-0.56,-0.55,-0.64,-0.82,-1.03,-1.17,-1.25,-1.25,-1.13,-0.95,-0.67,-0.33,0.13,0.53,0.76,0.85,0.82,0.8,0.77,0.77,0.76,0.76,0.74,0.78,0.93,1.13,1.2,1.06,0.86,0.64,0.49,0.41,0.37,0.39,0.47,0.57,0.58,0.52,0.4,0.23,-0.01,-0.29,-0.5,-0.62,-0.66,-0.65,-0.69,-0.81,-0.94,-0.99,-0.98,-0.97,-0.95,-0.89,-0.81,-0.73,-0.63,-0.54,-0.44,-0.35,-0.3,-0.31,-0.33,-0.32,-0.31,-0.31,-0.33,-0.33,-0.3,-0.27,-0.23,-0.14,-0.01,0.13,0.2,0.27,0.39,0.55,0.67,0.7,0.62,0.5,0.41,0.32,0.19,0.01,-0.13,-0.18,-0.19,-0.18,-0.18,-0.16,-0.13,-0.11,-0.14,-0.18,-0.21,-0.28,-0.4,-0.49,-0.52,-0.54,-0.6,-0.69,-0.83,-0.89,-0.78,-0.59,-0.44,-0.33,-0.14,0.06,0.27,0.44,0.57,0.67,0.76,0.8,0.71,0.57,0.44,0.32,0.22,0.15,0.11,0.1,0.08,0.08,0.08,0.11,0.19,0.24,0.23,0.25,0.44,0.66,0.79,0.75,0.6,0.47,0.42,0.4,0.28,0.09,-0.08,-0.22,-0.35,-0.47,-0.59,-0.69,-0.77,-0.75,-0.66,-0.55,-0.45,-0.37,-0.36,-0.48,-0.6,-0.64,-0.63,-0.6,-0.57,-0.48,-0.31,-0.14,0.0,0.15,0.3,0.34,0.27,0.17,0.02,-0.19,-0.42,-0.48,-0.37,-0.28,-0.26,-0.27,-0.23,-0.14,-0.03,-0.02,-0.08,-0.08,0.01,0.2,0.4,0.56,0.65,0.71,0.86,1.0,0.99,0.86,0.7,0.66,0.75,0.89,1.05,1.23,1.4,1.57,1.77,2.04,2.27,2.32,2.25,2.18,2.15,2.14,2.07,1.9,1.7,1.54,1.41,1.19,0.9,0.56,0.27,-0.05,-0.42,-0.74,-1.05,-1.24,-1.28,-1.17,-0.96,-0.63,-0.49,-0.79,-1.67,-2.71,-3.76,-4.51,-4.63,-4.16,-3.41,-2.52,-1.6,-0.9,-0.39,-0.07,0.11,0.37,0.71,0.92,1.08,1.24,1.37,1.37,1.43,1.56,1.72,1.76,1.74,1.7,1.54,1.25,1.0,0.71,0.42,0.23,0.14,0.16,0.21,0.24,0.16,0.0,-0.24,-0.45,-0.67,-0.91,-1.19,-1.44,-1.59,-1.62,-1.6,-1.59,-1.56,-1.53,-1.5,-1.48,-1.44,-1.45,-1.48,-1.51,-1.51,-1.51,-1.5,-1.44,-1.39,-1.38,-1.32,-1.13,-0.87,-0.61,-0.33,-0.14,0.1,0.35,0.52,0.54,0.38,0.09,-0.17,-0.34,-0.4,-0.28,-0.18,-0.17,-0.3,-0.59,-0.73,-0.71,-0.62,-0.49,-0.45,-0.43,-0.4,-0.3,-0.18,-0.18,-0.34,-0.49,-0.53,-0.58,-0.69,-0.86,-1.09,-1.36,-1.64,-1.92,-2.23,-2.44,-2.53,-2.51,-2.29,-1.78,-1.1,-0.44,0.29,0.91,1.5,2.02,2.44,2.8,3.0,3.17,3.28,3.31,3.2,3.08,2.91,2.78,2.71,2.58,2.52,2.49,2.49,2.47,2.38,2.27,1.97,1.46,0.89,0.25,-0.35,-0.91,-1.49,-2.12,-2.7,-3.18,-3.59,-3.86,-3.9,-3.65,-3.08,-2.51,-1.85,-1.35,-0.99,-0.52,-0.05,0.47,0.85,1.16,1.41,1.65,1.75,1.81,1.84,1.85,1.99,2.17,2.35,2.48,2.61,2.69,2.76,2.86,2.96,2.97,2.85,2.76,2.76,2.73,2.75,2.79,2.7,2.61,2.57,2.57,2.44,2.23,2.12,1.97,1.74,1.48,1.22,0.99,0.76,0.59,0.39,0.09,-0.24,-0.48,-0.68,-0.97,-1.33,-1.65,-1.81,-1.9,-2.02,-2.17,-2.33,-2.38,-2.28,-2.17,-2.18,-2.3,-2.31,-2.2,-2.12,-2.11,-2.08,-2.07,-2.19,-2.44,-2.67,-2.84,-2.98,-3.05,-3.14,-3.27,-3.41,-3.46,-3.43,-3.42,-3.49,-3.62,-3.75,-3.65,-3.54,-3.48,-3.39,-3.14,-2.82,-2.58,-2.43,-2.29,-2.09,-1.9,-1.73,-1.54,-1.34,-1.11,-0.87,-0.46,0.17,0.95,1.58,2.07,2.39,2.59,2.76,2.89,3.0,3.07,3.13,3.14,3.22,3.35,3.51,3.62,3.72,3.87,3.95,3.81,3.52,3.15,2.78,2.38,2.09,1.93,1.75,1.53,1.33,1.23,1.16,1.16,1.13,1.06,0.94,0.82,0.78,0.81,0.97,1.</t>
  </si>
  <si>
    <t>To_Avoid_Formula12,1.15,1.08,1.0,1.0,0.97,0.84,0.58,0.28,0.0,-0.16,-0.25,-0.46,-0.73,-1.0,-1.15,-1.23,-1.25,-1.14,-1.04,-0.97,-0.84,-0.61,-0.44,-0.44,-0.52,-0.57,-0.5,-0.47,-0.64,-0.99,-1.4,-1.71,-1.81,-1.73,-1.55,-1.37,-1.3,-1.31,-1.22,-1.14,-1.13,-1.15,-1.18,-1.27,-1.38,-1.45,-1.56,-1.66,-1.81,-1.86,-1.84,-1.76,-1.5,-1.26,-1.11,-0.98,-0.76,-0.48,-0.18,0.1,0.35,0.62,0.8,0.93,0.9,0.82,0.83,0.85,0.76,0.53,0.28,0.07,-0.03,-0.16,-0.25,-0.35,-0.59,-0.76,-0.94,-1.08,-1.21,-1.32,-1.41,-1.62,-1.97,-2.32,-2.63,-2.91,-2.99,-2.73,-2.15,-1.23,-0.38,0.33,0.83,1.3,1.86,2.35,2.81,3.25,3.63,3.89,4.06,4.17,4.23,4.14,4.21,4.5,4.77,4.78,4.56,4.42,4.29,4.04,3.67,3.22,2.9,2.74,2.49,2.03,1.44,0.95,0.5,0.0,-0.48,-0.9,-1.33,-1.78,-2.17,-2.51,-2.83,-3.16,-3.41,-3.57,-3.66,-3.58,-3.41,-3.12,-2.8,-2.51,-2.12,-1.6,-0.96,-0.41,0.08,0.54,1.08,1.62,1.98,2.18,2.39,2.66,2.84,2.92,2.82,2.69,2.59,2.53,2.48,2.3,2.16,2.11,2.07,1.9,1.67,1.4,1.11,0.81,0.49,0.16,-0.17,-0.45,-0.69,-0.96,-1.27,-1.52,-1.69,-1.82,-1.98,-2.09,-2.11,-2.12,-2.16,-2.21,-2.23,-2.2,-2.1,-1.97,-1.94,-1.96,-1.91,-1.84,-1.8,-1.74,-1.67,-1.65,-1.7,-1.69,-1.67,-1.72,-1.79,-1.75,-1.63,-1.49,-1.3,-1.04,-0.79,-0.54,-0.34,-0.25,-0.38,-0.6,-0.86,-1.16,-1.35,-1.44,-1.37,-1.22,-1.04,-0.95,-0.94,-1.03,-1.07,-1.06,-1.13,-1.26,-1.35,-1.33,-1.25,-1.18,-1.07,-0.92,-0.76,-0.53,-0.26,-0.01,0.23,0.49,0.68,0.71,0.6,0.45,0.36,0.3,0.23,0.17,0.23,0.41,0.61,0.76,0.89,1.06,1.27,1.54,1.78,1.95,2.04,2.05,1.93,1.71,1.48,1.27,1.12,1.03,0.92,0.74,0.55,0.39,0.19,-0.01,-0.18,-0.2,-0.11,0.1,0.33,0.54,0.67,0.8,0.98,1.16,1.24,1.17,1.08,0.97,0.97,1.0,0.96,0.89,0.87,0.95,0.99,1.04,1.11,1.2,1.28,1.45,1.72,1.93,2.0,1.97,2.03,2.12,2.19,2.24,2.24,2.23,2.29,2.39,2.43,2.34,2.17,2.11,2.09,2.0,1.79,1.53,1.35,1.22,1.21,1.15,</t>
  </si>
  <si>
    <t>To_Avoid_Formula3.31,3.49,3.64,3.75,3.82,3.9,3.91,3.83,3.67,3.56,3.49,3.55,3.77,4.16,4.49,4.66,4.79,4.88,4.94,5.06,5.17,5.18,5.24,5.36,5.49,5.54,5.58,5.53,5.43,5.38,5.41,5.44,5.44,5.38,5.33,5.37,5.44,5.42,5.28,5.11,5.02,4.97,4.87,4.7,4.48,4.28,4.16,4.05,3.86,3.68,3.58,3.49,3.36,3.19,2.98,2.83,2.79,2.8,2.76,2.66,2.59,2.56,2.56,2.59,2.6,2.5,2.35,2.16,1.99,1.89,1.78,1.61,1.41,1.26,1.23,1.23,1.15,1.0,0.86,0.81,0.82,0.8,0.72,0.66,0.67,0.68,0.69,0.67,0.62,0.6,0.63,0.63,0.62,0.63,0.68,0.65,0.51,0.35,0.2,0.08,0.02,-0.09,-0.21,-0.33,-0.44,-0.53,-0.62,-0.71,-0.84,-1.02,-1.19,-1.31,-1.38,-1.43,-1.55,-1.67,-1.7,-1.64,-1.62,-1.69,-1.76,-1.85,-1.91,-1.93,-1.96,-2.05,-2.19,-2.26,-2.31,-2.41,-2.5,-2.59,-2.76,-2.94,-3.11,-3.29,-3.45,-3.56,-3.66,-3.77,-3.84,-3.87,-3.92,-3.94,-3.92,-3.9,-3.87,-3.83,-3.73,-3.67,-3.63,-3.55,-3.48,-3.42,-3.3,-3.12,-2.95,-2.77,-2.58,-2.4,-2.26,-2.15,-2.14,-2.2,-2.22,-2.2,-2.17,-2.15,-2.14,-2.1,-2.06,-2.01,-2.0,-2.04,-2.08,-2.1,-2.17,-2.27,-2.35,-2.39,-2.39,-2.35,-2.33,-2.39,-2.46,-2.51,-2.6,-2.73,-2.82,-2.87,-2.91,-2.94,-2.95,-2.96,-2.98,-2.98,-3.0,-3.09,-3.18,-3.22,-3.26,-3.33,-3.39,-3.41,-3.37,-3.28,-3.2,-3.18,-3.16,-3.07,-2.97,-2.93,-2.88,-2.85,-2.83,-2.78,-2.68,-2.57,-2.44,-2.28,-2.04,-1.81,-1.63,-1.51,-1.45,-1.42,-1.36,-1.28,-1.22,-1.15,-1.08,-0.97,-0.79,-0.55,-0.4,-0.39,-0.41,-0.45,-0.51,-0.59,-0.65,-0.68,-0.7,-0.67,-0.67,-0.72,-0.78,-0.84,-0.9,-0.95,-0.95,-0.94,-0.9,-0.79,-0.68,-0.65,-0.66,-0.63,-0.56,-0.51,-0.47,-0.4,-0.31,-0.21,-0.1,0.02,0.13,0.25,0.33,0.36,0.4,0.45,0.5,0.53,0.56,0.58,0.61,0.68,0.75,0.85,0.97,1.1,1.19,1.25,1.31,1.36,1.37,1.35,1.25,1.14,1.08,1.03,0.97,0.88,0.8,0.74,0.68,0.65,0.61,0.56,0.53,0.54,0.54,0.53,0.56,0.58,0.57,0.58,0.61,0.65,0.68,0.69,0.65,0.6,0.63,0.73,0.81,0.86,0.94,1.02,1.09,1.15,1.22,1.27,1.35,1.43,1.47,1.44,1.42,1.39,1.37,1.41,1.49,1.57,1.61,1.63,1.6,1.55,1.55,1.56,1.51,1.45,1.49,1.59,1.67,1.67,1.62,1.57,1.58,1.61,1.58,1.48,1.38,1.28,1.18,1.08,1.0,0.9,0.8,0.75,0.77,0.81,0.85,0.88,0.88,0.82,0.78,0.77,0.79,0.85,0.89,0.98,1.11,1.23,1.3,1.34,1.4,1.38,1.29,1.17,1.04,0.88,0.69,0.6,0.63,0.66,0.67,0.67,0.7,0.71,0.72,0.66,0.56,0.51,0.52,0.59,0.68,0.76,0.79,0.81,0.88,0.96,0.96,0.92,0.9,0.92,1.0,1.11,1.23,1.38,1.52,1.66,1.8,1.97,2.14,2.23,2.24,2.25,2.28,2.34,2.41,2.45,2.44,2.46,2.5,2.5,2.48,2.44,2.38,2.28,2.14,2.02,1.88,1.77,1.75,1.78,1.84,1.99,2.05,1.85,1.2,0.41,-0.41,-1.04,-1.33,-1.27,-1.02,-0.7,-0.36,-0.11,0.08,0.15,0.13,0.18,0.37,0.55,0.79,1.06,1.29,1.4,1.54,1.72,1.92,1.94,1.92,1.97,1.97,1.88,1.81,1.68,1.48,1.32,1.23,1.2,1.17,1.16,1.12,1.03,0.87,0.74,0.6,0.47,0.32,0.14,-0.03,-0.15,-0.24,-0.36,-0.45,-0.54,-0.64,-0.77,-0.86,-0.94,-1.0,-1.07,-1.12,-1.17,-1.23,-1.25,-1.27,-1.33,-1.38,-1.34,-1.24,-1.15,-1.05,-0.97,-0.84,-0.64,-0.43,-0.27,-0.18,-0.13,-0.05,0.06,0.23,0.43,0.54,0.56,0.5,0.33,0.19,0.06,-0.08,-0.24,-0.49,-0.74,-0.95,-1.1,-1.23,-1.45,-1.78,-2.06,-2.21,-2.33,-2.47,-2.64,-2.85,-3.06,-3.3,-3.58,-3.9,-4.15,-4.28,-4.37,-4.37,-4.17,-3.88,-3.6,-3.29,-3.02,-2.75,-2.54,-2.35,-2.19,-2.09,-2.01,-1.88,-1.74,-1.65,-1.5,-1.35,-1.17,-0.99,-0.84,-0.7,-0.61,-0.63,-0.72,-0.91,-1.06,-1.4,-1.89,-2.37,-2.86,-3.34,-3.8,-4.18,-4.54,-4.89,-5.19,-5.48,-5.63,-5.66,-5.58,-5.35,-5.2,-4.88,-4.59,-4.36,-4.11,-3.89,-3.57,-3.26,-2.97,-2.78,-2.58,-2.45,-2.32,-2.2,-2.11,-1.95,-1.79,-1.58,-1.35,-1.14,-0.96,-0.76,-0.5,-0.27,-0.11,0.02,0.21,0.4,0.49,0.6,0.78,0.87,0.95,1.07,1.22,1.24,1.21,1.26,1.28,1.22,1.17,1.22,1.26,1.25,1.25,1.26,1.22,1.19,1.26,1.36,1.42,1.48,1.61,1.78,1.86,1.82,1.75,1.7,1.7,1.76,1.78,1.7,1.49,1.38,1.29,1.15,1.0,0.95,1.03,1.05,0.89,0.64,0.34,0.06,-0.09,-0.2,-0.38,-0.62,-0.79,-0.85,-0.9,-1.0,-1.12,-1.28,-1.31,-1.35,-1.41,-1.43,-1.36,-1.31,-1.34,-1.41,-1.38,-1.25,-1.08,-0.94,-0.83,-0.75,-0.71,-0.68,-0.59,-0.41,-0.17,0.07,0.3,0.5,0.69,0.95,1.21,1.46,1.68,1.87,2.02,2.16,2.28,2.4,2.49,2.57,2.7,2.8,2.79,2.69,2.49,2.3,2.06,1.88,1.77,1.63,1.48,1.37,1.32,1.32,1.37,1.37,1.33,1.24,1.2,1.25,1.28,1.32,1.35,1.34,1.27,1.23,1.25,1.27,1.24,1.17,1.14,</t>
  </si>
  <si>
    <t>To_Avoid_Formula1.13,1.18,1.25,1.22,1.15,1.18,1.28,1.36,1.36,1.36,1.32,1.21,1.1,1.06,1.05,0.96,0.89,0.88,0.86,0.78,0.57,0.29,0.0,-0.22,-0.35,-0.44,-0.52,-0.59,-0.68,-0.78,-0.78,-0.75,-0.76,-0.7,-0.57,-0.41,-0.35,-0.36,-0.43,-0.52,-0.62,-0.7,-0.79,-0.91,-0.9,-0.89,-0.98,-1.13,-1.2,-1.21,-1.25,-1.26,-1.25,-1.2,-1.19,-1.19,-1.22,-1.24,-1.18,-1.13,-1.14,-1.2,-1.21,-1.17,-1.12,-1.17,-1.28,-1.45,-1.71,-1.9,-2.07,-2.29,-2.59,-3.02,-3.41,-3.89,-4.41,-4.88,-5.09,-5.08,-4.79,-4.4,-3.96,-3.34,-2.92,-2.55,-2.29,-2.02,-1.74,-1.56,-1.38,-1.1,-0.74,-0.4,-0.12,0.13,0.38,0.62,0.97,1.33,1.45,1.33,1.16,1.21,1.32,1.24,1.09,0.9,0.79,0.72,0.58,0.33,-0.02,-0.37,-0.74,-1.19,-1.62,-1.98,-2.31,-2.68,-3.01,-3.23,-3.37,-3.57,-3.81,-4.0,-4.14,-4.09,-4.0,-3.86,-3.72,-3.57,-3.26,-2.8,-2.28,-1.84,-1.43,-1.01,-0.48,0.08,0.55,0.89,1.23,1.62,1.97,2.27,2.44,2.62,2.81,3.01,3.19,3.3,3.42,3.57,3.71,3.76,3.74,3.68,3.58,3.48,3.42,3.39,3.31,3.18,3.04,2.89,2.73,2.55,2.44,2.35,2.22,2.06,1.94,1.84,1.73,1.6,1.48,1.39,1.34,1.33,1.28,1.2,1.15,1.12,1.12,1.16,1.22,1.24,1.23,1.27,1.28,1.2,1.07,1.03,1.06,1.12,1.22,1.37,1.52,1.67,1.76,1.71,1.43,1.07,0.67,0.19,-0.22,-0.56,-0.7,-0.75,-0.76,-0.78,-0.81,-0.91,-0.97,-0.97,-1.0,-1.07,-1.13,-1.12,-1.12,-1.11,-1.08,-1.03,-1.01,-0.96,-0.89,-0.82,-0.71,-0.58,-0.44,-0.38,-0.38,-0.4,-0.38,-0.32,-0.26,-0.24,-0.18,-0.03,0.16,0.31,0.39,0.48,0.58,0.75,0.94,1.03,1.0,0.92,0.73,0.46,0.21,0.0,-0.12,-0.15,-0.18,-0.27,-0.41,-0.55,-0.66,-0.78,-0.88,-0.95,-0.96,-0.86,-0.76,-0.73,-0.79,-0.86,-0.89,-0.88,-0.88,-0.92,-0.97,-1.01,-0.91,-0.64,-0.36,-0.08,0.19,0.46,0.7,0.9,1.14,1.35,1.51,1.68,1.9,2.06,2.13,2.12,2.17,2.2,2.25,2.3,2.31,2.3,2.33,2.39,2.37,2.28,2.19,2.23,2.31,2.38,2.42,2.46,2.49,2.46,2.51,2.62,</t>
  </si>
  <si>
    <t>To_Avoid_Formula1.44,1.53,1.58,1.61,1.61,1.58,1.5,1.37,1.22,1.09,0.91,0.81,0.87,1.15,1.38,1.46,1.47,1.39,1.27,1.26,1.32,1.3,1.3,1.36,1.41,1.34,1.23,1.05,0.78,0.57,0.48,0.44,0.42,0.39,0.37,0.37,0.4,0.38,0.28,0.14,0.0,-0.13,-0.28,-0.42,-0.54,-0.63,-0.68,-0.72,-0.8,-0.89,-0.98,-1.14,-1.39,-1.7,-1.99,-2.15,-2.13,-2.01,-1.92,-1.88,-1.81,-1.66,-1.42,-1.16,-0.98,-0.94,-1.0,-1.09,-1.23,-1.33,-1.47,-1.66,-1.87,-1.99,-1.97,-1.91,-1.9,-1.87,-1.79,-1.6,-1.41,-1.28,-1.23,-1.2,-1.13,-1.07,-1.03,-1.02,-1.03,-1.01,-0.93,-0.87,-0.85,-0.84,-0.8,-0.81,-0.84,-0.82,-0.81,-0.79,-0.74,-0.69,-0.65,-0.6,-0.59,-0.59,-0.59,-0.58,-0.61,-0.69,-0.78,-0.82,-0.8,-0.75,-0.74,-0.73,-0.6,-0.37,-0.13,0.04,0.16,0.26,0.34,0.41,0.42,0.31,0.14,0.0,-0.13,-0.36,-0.53,-0.64,-0.8,-1.01,-1.2,-1.35,-1.38,-1.25,-1.07,-0.93,-0.82,-0.69,-0.57,-0.37,-0.13,0.02,0.08,0.12,0.23,0.31,0.36,0.44,0.55,0.68,0.9,1.17,1.4,1.58,1.76,1.96,2.1,2.17,2.1,1.99,1.92,1.89,1.86,1.82,1.79,1.76,1.73,1.71,1.69,1.6,1.47,1.35,1.2,1.06,0.96,0.87,0.78,0.7,0.62,0.49,0.36,0.26,0.14,0.01,-0.06,-0.09,-0.16,-0.27,-0.35,-0.41,-0.47,-0.52,-0.55,-0.58,-0.57,-0.48,-0.47,-0.53,-0.63,-0.75,-0.86,-0.89,-0.85,-0.81,-0.73,-0.56,-0.31,-0.06,0.21,0.39,0.48,0.54,0.58,0.58,0.49,0.41,0.34,0.3,0.3,0.33,0.33,0.3,0.31,0.34,0.34,0.34,0.36,0.38,0.45,0.56,0.62,0.61,0.6,0.57,0.45,0.23,0.01,-0.19,-0.41,-0.57,-0.67,-0.8,-0.9,-0.92,-0.85,-0.73,-0.58,-0.48,-0.41,-0.25,-0.05,0.08,0.15,0.2,0.26,0.3,0.32,0.35,0.38,0.43,0.5,0.55,0.6,0.65,0.67,0.65,0.65,0.67,0.65,0.63,0.61,0.57,0.53,0.54,0.56,0.58,0.6,0.62,0.61,0.57,0.46,0.29,0.07,-0.1,-0.29,-0.47,-0.58,-0.64,-0.67,-0.71,-0.76,-0.84,-0.94,-1.02,-1.1,-1.21,-1.26,-1.24,-1.2,-1.14,-1.03,-0.89,-0.77,-0.64,-0.51,-0.39,-0.26,-0.13,-0.05,-0.06,-0.07,-0.03,0.0,-0.01,-0.03,-0.07,-0.15,-0.2,-0.2,-0.22,-0.18,-0.08,0.04,0.11,0.16,0.2,0.24,0.36,0.53,0.68,0.75,0.75,0.65,0.5,0.39,0.34,0.23,0.08,-0.04,-0.09,-0.09,-0.06,-0.03,-0.02,0.02,0.09,0.14,0.11,0.08,0.04,-0.01,-0.05,-0.07,-0.12,-0.19,-0.24,-0.24,-0.21,-0.19,-0.16,-0.12,-0.07,0.02,0.1,0.18,0.3,0.4,0.51,0.63,0.7,0.69,0.62,0.59,0.5,0.36,0.23,0.13,0.04,-0.06,-0.12,-0.13,-0.1,-0.07,0.0,0.05,0.02,-0.03,-0.12,-0.22,-0.27,-0.3,-0.3,-0.29,-0.28,-0.28,-0.3,-0.29,-0.28,-0.27,-0.21,-0.11,-0.02,0.05,0.11,0.17,0.24,0.3,0.34,0.34,0.34,0.33,0.34,0.33,0.3,0.28,0.29,0.38,0.5,0.58,0.65,0.74,0.86,1.0,1.14,1.23,1.25,1.27,1.28,1.25,1.2,1.17,1.1,0.98,0.91,0.85,0.71,0.31,-0.17,-0.61,-0.9,-1.12,-1.21,-1.23,-1.28,-1.34,-1.42,-1.44,-1.5,-1.64,-1.72,-1.6,-1.38,-1.04,-0.65,-0.31,-0.14,0.04,0.23,0.38,0.32,0.22,0.29,0.37,0.4,0.45,0.42,0.27,0.13,0.03,-0.05,-0.17,-0.21,-0.2,-0.21,-0.26,-0.27,-0.28,-0.25,-0.19,-0.23,-0.33,-0.42,-0.51,-0.62,-0.72,-0.78,-0.88,-1.01,-1.08,-1.06,-1.01,-0.95,-0.88,-0.83,-0.79,-0.74,-0.67,-0.65,-0.65,-0.6,-0.53,-0.47,-0.44,-0.39,-0.27,-0.05,0.24,0.58,0.91,1.31,1.72,2.09,2.47,2.7,2.75,2.71,2.66,2.55,2.36,2.06,1.67,1.22,0.7,0.2,-0.19,-0.52,-0.81,-1.17,-1.57,-1.83,-1.95,-1.98,-1.98,-1.97,-1.97,-1.93,-1.91,-1.95,-2.03,-2.06,-1.94,-1.86,-1.8,-1.66,-1.52,-1.44,-1.39,-1.33,-1.3,-1.32,-1.33,-1.33,-1.34,-1.34,-1.22,-0.98,-0.74,-0.38,0.03,0.42,0.76,1.06,1.27,1.33,1.15,0.86,0.45,0.14,-0.32,-0.84,-1.21,-1.52,-1.8,-2.01,-2.04,-1.94,-1.83,-1.72,-1.63,-1.38,-1.12,-0.95,-0.83,-0.88,-0.71,-0.48,-0.25,-0.13,-0.1,0.06,0.32,0.55,0.64,0.74,0.82,0.93,1.03,1.08,1.13,1.14,1.23,1.38,1.48,1.55,1.67,1.85,1.95,1.99,2.1,2.28,2.37,2.29,2.18,2.18,2.15,2.09,2.05,2.03,1.89,1.73,1.63,1.53,1.35,1.25,1.33,1.39,1.35,1.28,1.27,1.27,1.33,1.5,1.71,1.91,2.18,2.58,2.86,2.89,2.74,2.55,2.43,2.31,2.18,1.96,1.65,1.24,0.91,0.55,0.12,-0.24,-0.42,-0.28,-0.17,-0.25,-0.52,-0.91,-1.27,-1.4,-1.44,-1.56,-1.76,-1.9,-1.88,-1.82,-1.77,-1.7,-1.5,-1.45,-1.44,-1.41,-1.33,-1.24,-1.27,-1.38,-1.47,-1.37,-1.12,-0.81,-0.56,-0.4,-0.32,-0.35,-0.42,-0.56,-0.75,-0.98,-1.08,-1.1,-1.03,-0.86,-0.56,-0.23,0.08,0.33,0.53,0.69,0.74,0.69,0.62,0.53,0.4,0.35,0.28,0.21,0.12,-0.04,-0.2,-0.38,-0.54,-0.68,-0.83,-0.95,-1.02,-1.02,-0.97,-0.88,-0.87,-0.91,-0.96,-0.92,-0.7</t>
  </si>
  <si>
    <t>To_Avoid_Formula9,-0.76,-0.84,-0.95,-1.02,-1.08,-1.08,-1.05,-0.98,-0.9,-0.77,-0.53,-0.25,0.03,0.24,0.4,0.56,0.88,1.24,1.47,1.48,1.37,1.19,0.9,0.56,0.28,0.1,-0.04,-0.06,-0.01,-0.06,-0.24,-0.43,-0.56,-0.63,-0.64,-0.66,-0.78,-0.97,-1.15,-1.25,-1.28,-1.2,-1.09,-0.96,-0.69,-0.27,0.25,0.59,0.72,0.78,0.79,0.84,0.84,0.74,0.55,0.43,0.32,0.08,-0.22,-0.46,-0.65,-0.89,-1.09,-1.2,-1.27,-1.33,-1.35,-1.3,-1.16,-0.98,-0.82,-0.68,-0.49,-0.19,0.16,0.41,0.48,0.42,0.24,0.04,-0.06,-0.12,-0.3,-0.62,-1.19,-1.69,-2.19,-2.6,-2.89,-2.67,-2.03,-1.06,-0.28,0.25,0.72,0.81,0.91,0.95,1.03,1.0,0.82,0.64,0.68,0.89,1.15,1.35,1.54,1.75,2.06,2.43,2.56,2.22,1.66,1.23,1.2,1.26,1.08,0.87,0.7,0.59,0.4,0.18,-0.03,-0.28,-0.59,-0.97,-1.38,-1.75,-1.99,-2.14,-2.33,-2.44,-2.38,-2.15,-2.04,-2.05,-2.05,-2.01,-1.76,-1.54,-1.33,-1.2,-1.01,-0.63,-0.14,0.32,0.65,0.95,1.28,1.68,2.1,2.47,2.71,2.92,3.14,3.33,3.52,3.61,3.74,3.86,3.93,3.96,3.97,3.96,3.92,3.85,3.73,3.55,3.32,3.06,2.86,2.74,2.73,2.62,2.37,2.1,1.86,1.65,1.4,1.2,1.02,0.81,0.51,0.22,-0.03,-0.25,-0.48,-0.7,-0.89,-1.08,-1.21,-1.31,-1.42,-1.51,-1.58,-1.56,-1.48,-1.38,-1.3,-1.21,-1.1,-1.03,-1.08,-1.19,-1.23,-1.21,-1.15,-1.08,-0.96,-0.85,-0.76,-0.77,-0.93,-1.31,-1.73,-2.16,-2.67,-3.12,-3.48,-3.58,-3.59,-3.54,-3.44,-3.27,-3.13,-2.97,-2.75,-2.5,-2.27,-2.07,-1.84,-1.69,-1.53,-1.36,-1.21,-1.14,-1.08,-1.05,-0.99,-0.87,-0.72,-0.52,-0.33,-0.13,0.06,0.28,0.54,0.8,0.95,1.08,1.24,1.44,1.59,1.62,1.6,1.56,1.6,1.66,1.6,1.38,1.13,0.81,0.44,0.15,-0.05,-0.12,-0.08,0.0,0.01,-0.05,-0.11,-0.09,-0.06,-0.04,-0.08,-0.12,-0.07,-0.05,-0.16,-0.37,-0.61,-0.8,-0.93,-0.97,-0.93,-0.92,-0.85,-0.6,-0.09,0.5,1.11,1.58,1.96,2.27,2.49,2.74,2.91,2.97,2.95,2.89,2.77,2.61,2.4,2.2,1.96,1.75,1.59,1.38,1.16,0.94,0.75,0.48,0.17,-0.01,-0.05,-0.06,0.01,0.12,0.29,0.35,0.26,0.22,0.33,</t>
  </si>
  <si>
    <t>To_Avoid_Formula2.64,2.58,2.43,2.28,2.15,2.05,1.83,1.54,1.16,0.83,0.66,0.7,0.78,0.83,0.85,0.82,0.83,0.95,1.17,1.28,1.2,1.1,1.11,1.21,1.29,1.29,1.2,1.13,1.2,1.37,1.53,1.52,1.31,0.96,0.72,0.73,0.82,0.77,0.67,0.54,0.48,0.45,0.37,0.09,-0.35,-0.78,-1.02,-1.17,-1.29,-1.35,-1.4,-1.25,-0.89,-0.38,0.05,0.2,0.16,0.06,0.05,0.17,0.29,0.25,0.06,-0.06,-0.18,-0.36,-0.67,-1.09,-1.47,-1.69,-1.7,-1.6,-1.4,-1.18,-0.99,-0.77,-0.54,-0.33,-0.21,-0.19,-0.15,-0.16,-0.15,-0.15,-0.23,-0.32,-0.44,-0.51,-0.55,-0.56,-0.59,-0.56,-0.34,0.1,0.6,0.95,1.09,1.07,0.99,0.9,0.8,0.63,0.39,0.15,-0.01,-0.08,-0.15,-0.27,-0.48,-0.71,-0.84,-0.79,-0.61,-0.47,-0.45,-0.47,-0.46,-0.49,-0.63,-0.91,-1.2,-1.5,-1.71,-1.85,-1.89,-1.86,-1.8,-1.64,-1.39,-0.95,-0.55,-0.23,0.14,0.73,1.4,1.96,2.32,2.39,2.3,2.14,1.96,1.77,1.46,0.95,0.3,-0.17,-0.33,-0.38,-0.58,-0.83,-0.99,-0.93,-0.75,-0.57,-0.49,-0.53,-0.55,-0.48,-0.27,-0.13,-0.11,-0.23,-0.37,-0.48,-0.6,-0.71,-0.85,-0.91,-0.9,-0.78,-0.64,-0.56,-0.6,-0.65,-0.54,-0.37,-0.29,-0.35,-0.43,-0.44,-0.36,-0.21,-0.08,0.01,0.06,0.1,0.13,0.16,0.14,0.04,-0.01,0.09,0.25,0.44,0.56,0.59,0.48,0.29,0.04,-0.26,-0.43,-0.47,-0.36,-0.07,0.35,0.61,0.62,0.53,0.35,0.15,-0.27,-0.75,-1.19,-1.41,-1.45,-1.53,-1.55,-1.59,-1.55,-1.57,-1.35,-1.07,-0.85,-0.66,-0.54,-0.18,0.28,0.83,1.28,1.62,1.83,1.96,2.05,1.97,1.73,1.18,0.62,0.22,0.12,0.27,0.46,0.75,1.13,1.5,1.71,1.94,2.03,1.95,1.64,1.28,1.1,1.09,1.19,1.1,0.73,0.24,-0.27,-0.79,-1.27,-1.61,-1.9,-2.09,-2.13,-2.01,-1.77,-1.54,-1.42,-1.39,-1.32,-1.18,-1.02,-0.88,-0.8,-0.79,-0.79,-0.79,-0.78,-0.83,-0.88,-0.88,-0.82,-0.78,-0.75,-0.68,-0.45,-0.07,0.35,0.63,0.84,1.04,1.16,1.22,1.22,1.21,1.19,1.23,1.33,1.48,1.58,1.61,1.49,1.25,1.07,0.91,0.76,0.54,0.34,0.21,0.16,0.08,-0.18,-0.56,-0.98,-1.23,-1.39,-1.49,-1.51,-1.46,-1.28,-0.98,-0.54,-0.1,0.27,0.61,0.89,1.11,1.24,1.36,1.35,1.18,0.98,0.72,0.41,0.05,-0.34,-0.69,-0.9,-0.94,-0.98,-1.03,-0.95,-0.66,-0.16,0.29,0.62,0.76,0.85,1.01,1.18,1.28,1.21,1.02,0.75,0.49,0.32,0.13,-0.17,-0.6,-0.97,-1.15,-1.11,-0.95,-0.83,-0.76,-0.76,-0.84,-0.96,-1.02,-1.06,-1.16,-1.23,-1.23,-1.2,-1.18,-1.15,-1.09,-1.04,-1.02,-1.05,-1.02,-0.93,-0.86,-0.88,-0.84,-0.62,-0.46,-0.44,-0.53,-0.62,-0.64,-0.69,-0.77,-0.86,-0.89,-0.79,-0.54,-0.19,0.16,0.36,0.42,0.61,0.88,1.08,1.05,0.79,0.61,0.61,0.74,0.89,0.99,1.0,1.04,1.2,1.5,1.8,1.85,1.8,1.92,2.25,2.68,2.83,2.71,2.51,2.3,2.07,1.69,1.15,0.43,-0.33,-1.08,-1.74,-2.3,-2.86,-3.36,-3.73,-3.77,-3.51,-3.14,-2.98,-3.18,-3.6,-4.03,-4.48,-4.92,-4.83,-4.19,-3.29,-2.19,-1.05,-0.18,0.33,0.58,0.69,1.05,1.68,2.46,3.21,4.0,4.72,4.94,4.74,4.31,3.76,3.15,2.67,2.19,1.69,1.1,0.44,-0.1,-0.33,-0.31,-0.17,0.07,0.36,0.51,0.47,0.27,-0.09,-0.45,-0.68,-0.84,-0.99,-1.04,-0.97,-0.89,-0.85,-0.84,-0.92,-1.11,-1.16,-1.03,-0.87,-0.77,-0.73,-0.66,-0.5,-0.23,-0.05,0.01,-0.06,-0.17,-0.24,-0.22,-0.12,-0.06,0.06,0.12,0.31,0.47,0.49,0.29,-0.14,-0.83,-1.61,-2.3,-2.94,-3.37,-3.74,-4.18,-4.79,-5.6,-6.12,-6.37,-6.33,-6.01,-5.46,-4.68,-3.74,-2.67,-1.67,-0.74,-0.16,0.14,0.43,0.78,1.16,1.26,1.01,0.47,-0.22,-0.91,-1.61,-2.21,-2.94,-3.53,-3.89,-3.93,-3.66,-3.25,-2.61,-1.93,-1.13,-0.2,0.77,1.77,2.61,3.46,4.12,4.65,4.91,4.8,4.33,3.66,2.98,2.1,1.39,0.83,0.49,0.34,0.26,0.23,0.19,0.19,0.15,0.14,0.26,0.47,0.41,0.05,-0.28,-0.7,-1.25,-2.17,-3.03,-3.61,-3.72,-3.6,-3.44,-3.25,-3.06,-2.6,-1.97,-1.14,-0.3,0.55,1.45,2.3,3.14,3.74,3.95,3.81,3.59,3.56,3.66,3.78,3.71,3.51,3.3,3.27,3.37,3.33,3.11,2.92,2.96,3.19,3.46,3.54,3.41,3.38,3.48,3.57,3.65,3.74,3.9,3.93,4.0,4.15,4.17,4.05,3.86,3.65,3.42,3.15,2.74,2.21,1.63,0.92,0.06,-1.0,-1.82,-2.36,-2.66,-2.77,-3.0,-3.24,-3.39,-3.32,-3.15,-2.87,-2.46,-1.86,-1.05,-0.15,0.76,1.12,1.08,0.93,0.98,1.31,1.55,1.49,1.18,0.94,0.75,0.53,0.06,-0.56,-1.17,-1.73,-2.08,-2.03,-2.14,-2.51,-2.92,-3.04,-2.83,-2.64,-2.6,-2.78,-3.0,-3.21,-3.35,-3.26,-3.01,-2.75,-2.56,-2.11,-1.28,-0.15,0.66,1.1,1.29,1.38,1.51,1.67,1.9,2.14,2.29,2.35,2.44,2.63,2.61,2.28,1.74,1.39,1.16,0.97,0.85,0.86,0.93,1.01,1.15,1.39,1.63,1.64,1.45,1.2,0.95,0.66,0.41,0.23,0.2,0.2,0.22,0</t>
  </si>
  <si>
    <t>To_Avoid_Formula.42,0.89,1.33,1.53,1.64,1.74,1.93,2.04,2.04,1.83,1.39,0.85,0.44,0.22,-0.08,-0.64,-1.68,-2.74,-3.52,-3.95,-4.06,-4.15,-4.07,-3.75,-3.14,-2.47,-1.92,-1.64,-1.52,-1.08,-0.45,0.23,0.62,0.71,0.57,0.37,0.37,0.47,0.45,0.18,-0.11,-0.22,-0.17,-0.18,-0.58,-1.3,-2.04,-2.41,-2.45,-2.48,-2.69,-3.27,-3.95,-4.47,-4.67,-4.61,-4.55,-4.36,-4.02,-3.43,-2.59,-1.43,-0.38,0.4,1.16,1.85,2.57,2.96,3.03,2.97,2.85,2.6,2.07,1.3,0.41,-0.36,-1.12,-1.73,-2.15,-2.69,-3.22,-3.74,-3.9,-3.75,-3.33,-2.97,-2.59,-2.18,-1.74,-1.73,-2.36,-3.32,-3.99,-4.25,-3.97,-3.29,-2.64,-2.24,-2.05,-1.89,-1.59,-1.15,-0.72,-0.33,0.38,1.55,2.89,3.71,3.75,3.44,3.24,3.62,4.14,4.38,4.08,3.55,3.11,2.8,2.53,2.48,2.69,2.91,2.98,3.21,3.49,3.45,2.9,2.27,1.9,1.73,1.64,1.37,1.05,0.67,0.31,-0.14,-0.48,-0.59,-0.66,-0.75,-0.81,-0.77,-0.75,-0.76,-0.66,-0.39,-0.01,0.49,1.14,1.73,2.17,2.42,2.62,2.92,3.16,3.2,3.05,2.87,2.68,2.49,2.23,1.92,1.54,1.21,0.97,0.77,0.62,0.48,0.31,0.08,-0.17,-0.46,-0.78,-0.96,-0.98,-1.04,-1.19,-1.32,-1.41,-1.57,-1.78,-1.9,-1.87,-1.76,-1.67,-1.54,-1.29,-0.87,-0.47,-0.16,0.08,0.29,0.53,0.76,0.97,1.06,1.1,1.01,0.77,0.45,0.21,0.01,-0.19,-0.38,-0.63,-0.83,-0.94,-0.97,-1.03,-1.09,-1.0,-0.79,-0.53,-0.21,0.2,0.55,0.93,1.35,1.76,2.07,2.35,2.67,2.8,2.75,2.62,2.46,2.22,1.8,1.29,0.84,0.47,0.16,-0.24,-0.67,-0.96,-1.17,-1.28,-1.17,-0.93,-0.68,-0.43,-0.26,-0.13,-0.1,-0.17,-0.3,-0.58,-0.89,-1.13,-1.29,-1.47,-1.77,-2.17,-2.44,-2.56,-2.6,-2.54,-2.34,-1.92,-1.33,-0.76,-0.19,0.4,0.81,1.04,1.11,1.15,1.14,1.0,0.82,0.58,0.2,-0.18,-0.58,-0.91,-1.1,-1.2,-1.21,-1.02,-0.68,-0.23,0.33,0.93,1.4,1.59,1.76,1.99,2.19,2.08,1.59,0.89,0.26,-0.3,-0.95,-1.6,-2.35,-3.05,-3.66,-3.92,-3.81,-3.67,-3.53,-3.35,-2.81,-1.98,-1.06,-0.33,0.3,0.93,1.58,2.32,3.02,3.59,3.78,3.81,3.82,3.78,3.58,3.16,2.8,2.67,2.64,2.4,</t>
  </si>
  <si>
    <t>To_Avoid_Formula52.89,52.89,52.89,52.89,52.89,52.89,52.89,52.89,52.9,52.9,52.9,52.9,52.9,52.9,52.9,52.9,52.9,52.9,52.9,52.9,52.9,52.9,52.9,52.91,52.91,52.91,52.91,52.91,52.91,52.91,52.91,52.91,52.91,52.91,52.91,52.91,52.91,52.91,52.91,52.92,52.92,52.92,52.92,52.92,52.92,52.92,52.92,52.92,52.92,52.92,52.92,52.92,52.92,52.92,52.92,52.93,52.93,52.93,52.93,52.93,52.93,52.93,52.93,52.93,52.93,52.93,52.93,52.93,52.93,52.93,52.93,52.94,52.94,52.94,52.94,52.94,52.94,52.94,52.94,52.94,52.94,52.94,52.94,52.94,52.94,52.94,52.94,52.94,52.95,52.95,52.95,52.95,52.95,52.95,52.95,52.95,52.95,52.95,52.95,52.95,52.95,52.95,52.95,52.95,52.96,52.96,52.96,52.96,52.96,52.96,52.96,52.96,52.96,52.96,52.96,52.96,52.96,52.96,52.96,52.96,52.97,52.97,52.97,52.97,52.97,52.97,52.97,52.97,52.97,52.97,52.97,52.97,52.97,52.97,52.97,52.97,52.97,52.98,52.98,52.98,52.98,52.98,52.98,52.98,52.98,52.98,52.98,52.98,52.98,52.98,52.98,52.98,52.98,52.98,52.99,52.99,52.99,52.99,52.99,52.99,52.99,52.99,52.99,52.99,52.99,52.99,52.99,52.99,52.99,52.99,52.99,53.0,53.0,53.0,53.0,53.0,53.0,53.0,53.0,53.0,53.0,53.0,53.0,53.0,53.0,53.0,53.0,53.0,53.01,53.01,53.01,53.01,53.01,53.01,53.01,53.01,53.01,53.01,53.01,53.01,53.01,53.01,53.01,53.01,53.01,53.02,53.02,53.02,53.02,53.02,53.02,53.02,53.02,53.02,53.02,53.02,53.02,53.02,53.02,53.02,53.02,53.02,53.03,53.03,53.03,53.03,53.03,53.03,53.03,53.03,53.03,53.03,53.03,53.03,53.03,53.03,53.03,53.03,53.03,53.04,53.04,53.04,53.04,53.04,53.04,53.04,53.04,53.04,53.04,53.04,53.04,53.04,53.04,53.04,53.04,53.05,53.05,53.05,53.05,53.05,53.05,53.05,53.05,53.05,53.05,53.05,53.05,53.05,53.05,53.05,53.05,53.05,53.06,53.06,53.06,53.06,53.06,53.06,53.06,53.06,53.06,53.06,53.06,53.06,53.06,53.06,53.06,53.06,53.07,53.07,53.07,53.07,53.07,53.07,53.07,53.07,53.07,53.07,53.07,53.07,53.07,53.07,53.07,53.07,53.07,53.08,53.08,53.08,53.08,53.08,53.08,53.08,53.08,53.08,53.08,53.08,53.08,53.08,53.08,53.08,53.08,53.09,53.09,53.09,53.09,53.09,53.09,53.09,53.09,53.09,53.09,53.09,53.09,53.09,53.09,53.09,53.09,53.1,53.1,53.1,53.1,53.1,53.1,53.1,53.1,53.1,53.1,53.1,53.1,53.1,53.1,53.1,53.1,53.1,53.11,53.11,53.11,53.11,53.11,53.11,53.11,53.11,53.11,53.11,53.11,53.11,53.11,53.11,53.11,53.11,53.12,53.12,53.12,53.12,53.12,53.12,53.12,53.12,53.12,53.12,53.12,53.12,53.12,53.12,53.12,53.12,53.13,53.13,53.13,53.13,53.13,53.13,53.13,53.13,53.13,53.13,53.13,53.13,53.13,53.13,53.13,53.13,53.14,53.14,53.14,53.14,53.14,53.14,53.14,53.14,53.14,53.14,53.14,53.14,53.14,53.14,53.14,53.14,53.15,53.15,53.15,53.15,53.15,53.15,53.15,53.15,53.15,53.15,53.15,53.15,53.15,53.15,53.15,53.15,53.16,53.16,53.16,53.16,53.16,53.16,53.16,53.16,53.16,53.16,53.16,53.16,53.16,53.16,53.16,53.16,53.16,53.17,53.17,53.17,53.17,53.17,53.17,53.17,53.17,53.17,53.17,53.17,53.17,53.17,53.17,53.17,53.17,53.18,53.18,53.18,53.18,53.18,53.18,53.18,53.18,53.18,53.18,53.18,53.18,53.18,53.18,53.18,53.18,53.19,53.19,53.19,53.19,53.19,53.19,53.19,53.19,53.19,53.19,53.19,53.19,53.19,53.19,53.19,53.19,53.19,53.2,53.2,53.2,53.2,53.2,53.2,53.2,53.2,53.2,53.2,53.2,53.2,53.2,53.2,53.2,53.2,53.2,53.21,53.21,53.21,53.21,53.21,53.21,53.21,53.21,53.21,53.21,53.21,53.21,53.21,53.21,53.21,53.21,53.21,53.22,53.22,53.22,53.22,53.22,53.22,53.22,53.22,53.22,53.22,53.22,53.22,53.22,53.22,53.22,53.22,53.22,53.22,53.23,53.23,53.23,53.23,53.23,53.23,53.23,53.23,53.23,53.23,53.23,53.23,53.23,53.23,53.23,53.23,53.23,53.24,53.24,53.24,53.24,53.24,53.24,53.24,53.24,53.24,53.24,53.24,53.24,53.24,53.24,53.24,53.24,53.24,53.25,53.25,53.25,53.25,53.25,53.25,53.25,53.25,53.25,53.25,53.25,53.25,53.25,53.25,53.25,53.25,53.25,53.25,53.26,53.26,53.26,53.26,53.26,53.26,53.26,53.26,53.26,53.26,53.26,53.26,53.26,53.26,53.26,53.26,53.26,53.26,53.27,53.27,53.27,53.27,53.27,53.27,53.27,53.27,53.27,53.27,53.27,53.27,53.27,53.27,53.27,53.27,53.27,53.27,53.27,53.28,53.28,53.28,53.28,53.28,53.28,53.28,53.28,53.28,53.28,53.28,53.28,53.28,53.28,53.28,53.28,53.28,53.29,53.29,53.29,53.29,53.29,53.29,53</t>
  </si>
  <si>
    <t>To_Avoid_Formula.29,53.29,53.29,53.29,53.29,53.29,53.29,53.29,53.29,53.29,53.29,53.3,53.3,53.3,53.3,53.3,53.3,53.3,53.3,53.3,53.3,53.3,53.3,53.3,53.3,53.3,53.3,53.3,53.3,53.3,53.31,53.31,53.31,53.31,53.31,53.31,53.31,53.31,53.31,53.31,53.31,53.31,53.31,53.31,53.31,53.31,53.31,53.31,53.32,53.32,53.32,53.32,53.32,53.32,53.32,53.32,53.32,53.32,53.32,53.32,53.32,53.32,53.32,53.32,53.32,53.33,53.33,53.33,53.33,53.33,53.33,53.33,53.33,53.33,53.33,53.33,53.33,53.33,53.33,53.33,53.33,53.33,53.33,53.34,53.34,53.34,53.34,53.34,53.34,53.34,53.34,53.34,53.34,53.34,53.34,53.34,53.34,53.34,53.34,53.34,53.35,53.35,53.35,53.35,53.35,53.35,53.35,53.35,53.35,53.35,53.35,53.35,53.35,53.35,53.35,53.35,53.35,53.35,53.36,53.36,53.36,53.36,53.36,53.36,53.36,53.36,53.36,53.36,53.36,53.36,53.36,53.36,53.36,53.36,53.36,53.37,53.37,53.37,53.37,53.37,53.37,53.37,53.37,53.37,53.37,53.37,53.37,53.37,53.37,53.37,53.37,53.38,53.38,53.38,53.38,53.38,53.38,53.38,53.38,53.38,53.38,53.38,53.38,53.38,53.38,53.38,53.38,53.38,53.39,53.39,53.39,53.39,53.39,53.39,53.39,53.39,53.39,53.39,53.39,53.39,53.39,53.39,53.39,53.39,53.39,53.4,53.4,53.4,53.4,53.4,53.4,53.4,53.4,53.4,53.4,53.4,53.4,53.4,53.4,53.4,53.4,53.41,53.41,53.41,53.41,53.41,53.41,53.41,53.41,53.41,53.41,53.41,53.41,53.41,53.41,53.41,53.42,53.42,53.42,53.42,53.42,53.42,53.42,53.42,53.42,53.42,53.42,53.42,53.42,53.42,53.42,53.42,53.43,53.43,53.43,53.43,53.43,53.43,53.43,53.43,53.43,53.43,53.43,53.43,53.43,53.43,53.43,53.43,53.44,53.44,53.44,53.44,53.44,53.44,53.44,53.44,53.44,53.44,53.44,53.44,53.44,53.44,53.44,53.45,53.45,53.45,53.45,53.45,53.45,53.45,53.45,53.45,53.45,53.45,53.45,53.45,53.45,53.45,53.45,53.46,53.46,53.46,53.46,53.46,53.46,53.46,53.46,53.46,53.46,53.46,53.46,53.46,53.46,53.46,53.46,53.47,53.47,53.47,53.47,53.47,53.47,53.47,53.47,53.47,53.47,53.47,53.47,53.47,53.47,53.47,53.48,53.48,53.48,53.48,53.48,53.48,53.48,53.48,53.48,53.48,53.48,53.48,53.48,53.48,53.48,53.48,53.49,53.49,53.49,53.49,53.49,53.49,53.49,53.49,53.49,53.49,53.49,53.49,53.49,53.49,53.49,53.49,53.5,53.5,53.5,53.5,53.5,53.5,53.5,53.5,53.5,53.5,53.5,53.5,53.5,53.5,53.5,53.5,53.51,53.51,53.51,53.51,53.51,53.51,53.51,53.51,53.51,53.51,53.51,53.51,53.51,53.51,53.51,53.52,53.52,53.52,53.52,53.52,53.52,53.52,53.52,53.52,53.52,53.52,</t>
  </si>
  <si>
    <t>To_Avoid_Formula2.43,2.43,2.39,2.33,2.3,2.32,2.36,2.35,2.34,2.34,2.35,2.34,2.24,2.1,1.98,1.87,1.75,1.66,1.61,1.63,1.67,1.75,1.83,1.88,1.89,1.9,1.9,1.91,1.89,1.87,1.84,1.79,1.74,1.67,1.58,1.47,1.4,1.36,1.31,1.21,1.08,0.97,0.88,0.8,0.77,0.76,0.75,0.72,0.68,0.65,0.64,0.61,0.56,0.51,0.46,0.43,0.38,0.3,0.18,0.06,-0.02,0.01,0.18,0.35,0.49,0.65,0.8,0.94,1.02,1.03,0.97,0.86,0.77,0.69,0.65,0.61,0.67,0.78,0.89,0.98,1.01,1.06,1.11,1.12,1.03,0.86,0.69,0.59,0.46,0.25,0.04,-0.06,-0.08,-0.21,-0.4,-0.57,-0.67,-0.75,-0.84,-0.88,-0.87,-0.83,-0.79,-0.8,-0.85,-0.92,-0.99,-1.13,-1.27,-1.37,-1.37,-1.3,-1.22,-1.15,-1.1,-1.02,-0.95,-0.94,-0.96,-0.99,-1.03,-1.1,-1.14,-1.17,-1.19,-1.24,-1.33,-1.36,-1.4,-1.42,-1.4,-1.32,-1.18,-1.09,-1.03,-0.98,-0.96,-0.96,-0.99,-1.03,-1.06,-1.09,-1.13,-1.16,-1.21,-1.24,-1.27,-1.27,-1.24,-1.23,-1.25,-1.27,-1.2,-1.06,-0.97,-0.93,-0.88,-0.82,-0.8,-0.81,-0.86,-0.86,-0.89,-0.96,-0.97,-0.9,-0.77,-0.6,-0.48,-0.35,-0.21,-0.08,0.03,0.04,0.0,-0.05,-0.12,-0.19,-0.22,-0.21,-0.17,-0.15,-0.14,-0.13,-0.11,-0.1,-0.14,-0.2,-0.29,-0.35,-0.42,-0.45,-0.45,-0.43,-0.42,-0.43,-0.44,-0.41,-0.36,-0.33,-0.36,-0.42,-0.42,-0.36,-0.33,-0.32,-0.29,-0.2,-0.07,0.08,0.2,0.33,0.45,0.56,0.64,0.68,0.71,0.73,0.78,0.8,0.84,0.88,0.96,1.03,1.05,0.95,0.82,0.7,0.61,0.46,0.29,0.13,0.02,-0.03,-0.04,0.0,0.04,0.04,0.0,-0.03,-0.1,-0.19,-0.27,-0.32,-0.34,-0.35,-0.35,-0.35,-0.33,-0.3,-0.27,-0.24,-0.21,-0.18,-0.19,-0.18,-0.13,-0.08,-0.05,-0.01,0.01,0.06,0.09,0.09,0.12,0.14,0.14,0.1,0.05,0.02,0.01,0.0,0.01,0.03,0.04,0.07,0.1,0.09,0.04,0.0,-0.01,-0.02,-0.02,0.01,0.06,0.1,0.12,0.11,0.08,0.04,0.01,0.01,0.02,0.03,-0.01,-0.12,-0.24,-0.32,-0.35,-0.35,-0.34,-0.27,-0.17,-0.13,-0.18,-0.22,-0.23,-0.25,-0.38,-0.47,-0.47,-0.42,-0.4,-0.39,-0.37,-0.35,-0.31,-0.29,-0.29,-0.34,-0.43,-0.52,-0.55,-0.53,-0.51,-0.54,-0.57,-0.57,-0.6,-0.69,-0.78,-0.88,-0.99,-1.14,-1.26,-1.32,-1.38,-1.45,-1.48,-1.45,-1.37,-1.33,-1.3,-1.27,-1.26,-1.31,-1.34,-1.37,-1.42,-1.48,-1.48,-1.41,-1.36,-1.34,-1.32,-1.26,-1.17,-1.1,-1.07,-1.05,-1.09,-1.14,-1.21,-1.27,-1.37,-1.43,-1.43,-1.38,-1.34,-1.28,-1.24,-1.2,-1.22,-1.26,-1.32,-1.36,-1.39,-1.41,-1.41,-1.42,-1.41,-1.39,-1.36,-1.36,-1.33,-1.31,-1.3,-1.35,-1.39,-1.39,-1.38,-1.36,-1.34,-1.29,-1.24,-1.21,-1.19,-1.16,-1.15,-1.15,-1.15,-1.12,-1.06,-1.0,-0.92,-0.81,-0.73,-0.72,-0.71,-0.68,-0.64,-0.65,-0.69,-0.7,-0.69,-0.72,-0.75,-0.75,-0.69,-0.69,-0.73,-0.76,-0.78,-0.81,-0.84,-0.84,-0.85,-0.88,-0.9,-0.86,-0.83,-0.85,-0.9,-0.91,-0.88,-0.86,-0.88,-0.91,-0.9,-0.87,-0.85,-0.81,-0.75,-0.67,-0.58,-0.5,-0.43,-0.33,-0.27,-0.2,-0.11,-0.02,0.03,0.07,0.12,0.17,0.22,0.26,0.38,0.46,0.51,0.51,0.5,0.5,0.47,0.43,0.38,0.31,0.23,0.18,0.15,0.17,0.19,0.22,0.23,0.24,0.25,0.22,0.21,0.21,0.23,0.25,0.26,0.29,0.32,0.33,0.31,0.31,0.36,0.45,0.53,0.6,0.65,0.72,0.78,0.83,0.88,0.92,0.91,0.87,0.86,0.89,0.94,0.98,0.98,0.95,0.89,0.85,0.85,0.87,0.92,0.96,1.1,1.26,1.33,1.32,1.29,1.21,1.16,1.02,0.93,0.89,0.85,0.8,0.81,0.87,0.94,1.02,1.1,1.16,1.18,1.18,1.11,1.06,0.98,0.93,0.9,0.91,0.94,1.0,1.08,1.16,1.22,1.22,1.24,1.26,1.29,1.32,1.36,1.44,1.52,1.54,1.58,1.65,1.75,1.8,1.79,1.76,1.67,1.58,1.45,1.31,1.2,1.11,1.02,0.94,0.86,0.79,0.73,0.63,0.55,0.48,0.47,0.46,0.43,0.43,0.49,0.54,0.54,0.56,0.61,0.65,0.65,0.67,0.7,0.74,0.78,0.81,0.9,0.99,1.04,1.08,1.09,1.08,1.05,1.03,1.02,1.0,0.99,0.98,0.99,0.95,0.9,0.85,0.84,0.84,0.81,0.81,0.84,0.88,0.88,0.87,0.88,0.91,0.92,0.91,0.9,0.9,0.9,0.91,0.9,0.88,0.87,0.88,0.9,0.92,0.92,0.91,0.91,0.89,0.81,0.73,0.68,0.67,0.65,0.63,0.65,0.69,0.73,0.75,0.77,0.82,0.82,0.77,0.72,0.69,0.67,0.64,0.6,0.57,0.54,0.5,0.46,0.43,0.41,0.38,0.33,0.25,0.13,0.03,-0.04,-0.09,-0.09,-0.06,0.01,0.06,0.09,0.11,0.16,0.22,0.27,0.29,0.31,0.32,0.31,0.29,0.23,0.2,0.22,0.32,0.4,0.42,0.44,0.48,0.5,0.46,0.4,0.36,0.34,0.33,0.33,0.35,0.34,0.26,0.17,0.14,0.16,0.16,0.16,0.19,0.26,0.3,0.29,0.27,0.25,0.22,0.15,0.07,-0.02,-0.12,-0.23,-0.32,-0.37,-0.46,-0.59,-0.69,-0.74,-0.79,-0.89,-0.95,-0.96,-0.97,-1.06,-1.17,-1.26,-1.3,-1.33,-1.37,-1.4,-1.42,-1.43,-1.46,-1.45,-1</t>
  </si>
  <si>
    <t>To_Avoid_Formula.46,-1.49,-1.55,-1.61,-1.67,-1.77,-1.86,-1.9,-1.92,-1.98,-2.05,-2.07,-2.05,-2.03,-1.99,-1.96,-1.91,-1.88,-1.84,-1.81,-1.77,-1.74,-1.71,-1.68,-1.68,-1.69,-1.72,-1.73,-1.74,-1.74,-1.73,-1.68,-1.63,-1.55,-1.48,-1.41,-1.33,-1.25,-1.18,-1.17,-1.17,-1.14,-1.1,-1.05,-0.99,-0.91,-0.84,-0.79,-0.75,-0.71,-0.68,-0.67,-0.69,-0.69,-0.68,-0.69,-0.74,-0.76,-0.72,-0.68,-0.64,-0.58,-0.51,-0.46,-0.43,-0.39,-0.33,-0.25,-0.19,-0.15,-0.12,-0.09,-0.08,-0.03,0.04,0.13,0.19,0.23,0.26,0.27,0.26,0.26,0.28,0.3,0.31,0.35,0.42,0.47,0.49,0.53,0.6,0.66,0.68,0.69,0.7,0.74,0.79,0.83,0.88,0.93,0.97,1.01,1.06,1.1,1.12,1.16,1.2,1.23,1.21,1.2,1.21,1.22,1.23,1.24,1.27,1.28,1.29,1.28,1.27,1.21,1.16,1.09,1.03,0.94,0.88,0.84,0.78,0.71,0.66,0.65,0.63,0.59,0.55,0.54,0.51,0.48,0.46,0.44,0.4,0.34,0.31,0.31,0.3,0.26,0.21,0.15,0.03,-0.08,-0.09,-0.06,-0.02,-0.06,-0.16,-0.27,-0.37,-0.46,-0.5,-0.5,-0.52,-0.58,-0.63,-0.67,-0.67,-0.64,-0.6,-0.61,-0.65,-0.73,-0.73,-0.74,-0.73,-0.77,-0.74,-0.66,-0.57,-0.51,-0.4,-0.29,-0.05,0.17,0.38,0.52,0.6,0.61,0.6,0.61,0.57,0.55,0.53,0.56,0.59,0.62,0.73,0.95,1.12,1.21,1.24,1.24,1.25,1.19,1.1,0.97,0.88,0.84,0.79,0.77,0.73,0.73,0.72,0.71,0.67,0.6,0.52,0.41,0.3,0.15,-0.02,-0.14,-0.21,-0.23,-0.23,-0.2,-0.12,-0.05,-0.01,-0.01,-0.03,-0.05,-0.11,-0.23,-0.35,-0.41,-0.39,-0.34,-0.2,-0.09,0.01,0.07,0.18,0.3,0.37,0.36,0.31,0.29,0.23,0.17,0.07,-0.01,-0.12,-0.23,-0.33,-0.4,-0.45,-0.47,-0.46,-0.42,-0.39,-0.37,-0.33,-0.28,-0.25,-0.26,-0.3,-0.32,-0.35,-0.37,-0.39,-0.39,-0.35,-0.29,-0.27,-0.24,-0.19,-0.16,-0.16,-0.19,-0.2,-0.28,-0.37,-0.53,-0.65,-0.74,-0.79,-0.81,-0.83,-0.85,-0.9,-0.86,-0.8,-0.75,-0.8,-0.91,-0.97,-1.06,-1.15,-1.25,-1.33,-1.41,-1.48,-1.51,-1.53,-1.5,-1.46,-1.38,-1.32,-1.28,-1.26,-1.28,-1.35,-1.39,-1.45,-1.5,-1.53,-1.55,-1.46,-1.33,</t>
  </si>
  <si>
    <t>To_Avoid_Formula0.99,0.88,0.73,0.57,0.44,0.36,0.31,0.21,0.12,0.03,-0.03,-0.12,-0.29,-0.48,-0.66,-0.8,-0.95,-1.07,-1.14,-1.14,-1.11,-1.05,-0.99,-0.96,-0.97,-0.97,-0.98,-0.99,-1.01,-1.04,-1.08,-1.13,-1.17,-1.23,-1.31,-1.39,-1.44,-1.45,-1.47,-1.54,-1.62,-1.68,-1.72,-1.74,-1.71,-1.66,-1.61,-1.58,-1.55,-1.52,-1.47,-1.43,-1.41,-1.39,-1.38,-1.34,-1.31,-1.32,-1.36,-1.4,-1.4,-1.28,-1.03,-0.8,-0.6,-0.39,-0.19,-0.02,0.09,0.12,0.1,0.02,-0.04,-0.08,-0.09,-0.09,0.01,0.15,0.29,0.39,0.44,0.51,0.57,0.59,0.51,0.35,0.21,0.13,0.03,-0.13,-0.3,-0.35,-0.32,-0.39,-0.52,-0.63,-0.65,-0.66,-0.68,-0.64,-0.57,-0.45,-0.35,-0.3,-0.29,-0.3,-0.32,-0.38,-0.46,-0.49,-0.42,-0.29,-0.15,-0.02,0.07,0.19,0.29,0.34,0.35,0.34,0.33,0.29,0.28,0.28,0.29,0.27,0.21,0.2,0.2,0.2,0.25,0.36,0.51,0.61,0.68,0.73,0.75,0.74,0.71,0.66,0.62,0.59,0.55,0.52,0.46,0.43,0.4,0.4,0.43,0.44,0.41,0.38,0.44,0.58,0.65,0.66,0.69,0.72,0.72,0.68,0.6,0.57,0.51,0.42,0.39,0.43,0.55,0.68,0.75,0.84,0.93,1.0,1.05,1.0,0.9,0.78,0.66,0.55,0.48,0.44,0.43,0.41,0.37,0.34,0.32,0.29,0.21,0.11,0.0,-0.1,-0.19,-0.24,-0.25,-0.25,-0.26,-0.29,-0.31,-0.3,-0.26,-0.25,-0.29,-0.37,-0.38,-0.33,-0.31,-0.32,-0.3,-0.22,-0.11,0.02,0.1,0.2,0.28,0.35,0.39,0.38,0.37,0.34,0.35,0.32,0.32,0.32,0.35,0.38,0.34,0.2,0.03,-0.11,-0.23,-0.39,-0.56,-0.72,-0.82,-0.86,-0.85,-0.8,-0.75,-0.73,-0.75,-0.76,-0.82,-0.89,-0.94,-0.96,-0.95,-0.92,-0.89,-0.85,-0.81,-0.74,-0.69,-0.62,-0.57,-0.52,-0.5,-0.47,-0.4,-0.33,-0.28,-0.23,-0.19,-0.13,-0.09,-0.08,-0.04,-0.01,-0.01,-0.04,-0.08,-0.1,-0.1,-0.1,-0.07,-0.04,-0.01,0.02,0.06,0.05,0.02,-0.02,-0.02,-0.01,0.0,0.03,0.1,0.14,0.16,0.16,0.13,0.1,0.07,0.08,0.1,0.11,0.08,-0.02,-0.13,-0.19,-0.2,-0.17,-0.15,-0.06,0.05,0.1,0.06,0.03,0.03,0.02,-0.09,-0.17,-0.15,-0.08,-0.04,-0.02,0.02,0.05,0.09,0.12,0.13,0.09,0.0,-0.08,-0.09,-0.05,-0.02,-0.04,-0.06,-0.04,-0.06,-0.13,-0.2,-0.27,-0.36,-0.48,-0.57,-0.58,-0.6,-0.63,-0.62,-0.54,-0.42,-0.35,-0.29,-0.23,-0.2,-0.22,-0.22,-0.23,-0.25,-0.28,-0.25,-0.16,-0.08,-0.04,-0.01,0.07,0.17,0.24,0.28,0.29,0.26,0.21,0.15,0.09,0.0,-0.05,-0.04,0.02,0.08,0.14,0.19,0.22,0.21,0.16,0.1,0.07,0.04,0.02,0.03,0.03,0.04,0.06,0.09,0.1,0.12,0.14,0.14,0.09,0.06,0.05,0.06,0.08,0.09,0.14,0.18,0.21,0.21,0.23,0.23,0.21,0.2,0.22,0.26,0.31,0.37,0.45,0.49,0.48,0.46,0.45,0.46,0.43,0.36,0.32,0.3,0.24,0.18,0.17,0.2,0.18,0.12,0.07,0.03,-0.02,-0.06,-0.08,-0.1,-0.14,-0.17,-0.14,-0.12,-0.15,-0.21,-0.23,-0.2,-0.19,-0.22,-0.25,-0.24,-0.22,-0.2,-0.18,-0.12,-0.05,0.02,0.08,0.14,0.21,0.25,0.29,0.35,0.4,0.42,0.42,0.43,0.45,0.45,0.45,0.53,0.56,0.56,0.52,0.47,0.42,0.35,0.27,0.18,0.09,-0.02,-0.09,-0.13,-0.13,-0.13,-0.12,-0.12,-0.13,-0.14,-0.17,-0.2,-0.21,-0.2,-0.2,-0.19,-0.18,-0.16,-0.15,-0.18,-0.19,-0.15,-0.07,-0.01,0.05,0.08,0.13,0.17,0.2,0.22,0.23,0.2,0.14,0.11,0.11,0.14,0.16,0.14,0.09,0.01,-0.04,-0.06,-0.04,-0.01,0.03,0.15,0.28,0.33,0.29,0.24,0.13,0.07,-0.08,-0.18,-0.22,-0.26,-0.3,-0.29,-0.23,-0.16,-0.08,-0.01,0.04,0.06,0.04,-0.03,-0.09,-0.16,-0.21,-0.23,-0.22,-0.18,-0.11,-0.04,0.04,0.1,0.1,0.11,0.12,0.15,0.16,0.2,0.26,0.33,0.34,0.36,0.4,0.48,0.51,0.48,0.42,0.31,0.21,0.07,-0.07,-0.17,-0.26,-0.34,-0.4,-0.45,-0.5,-0.54,-0.61,-0.66,-0.69,-0.66,-0.63,-0.63,-0.59,-0.49,-0.41,-0.38,-0.33,-0.26,-0.19,-0.18,-0.14,-0.09,-0.03,0.02,0.07,0.16,0.26,0.32,0.35,0.35,0.34,0.31,0.29,0.28,0.27,0.25,0.25,0.25,0.22,0.17,0.12,0.12,0.12,0.1,0.1,0.15,0.18,0.19,0.18,0.2,0.22,0.24,0.22,0.21,0.21,0.21,0.22,0.21,0.19,0.17,0.18,0.2,0.22,0.22,0.21,0.21,0.18,0.1,0.02,-0.02,-0.03,-0.03,-0.04,-0.02,0.03,0.08,0.1,0.12,0.16,0.16,0.12,0.06,0.04,0.02,0.0,-0.04,-0.07,-0.09,-0.11,-0.14,-0.16,-0.16,-0.18,-0.21,-0.28,-0.38,-0.45,-0.49,-0.51,-0.48,-0.42,-0.33,-0.25,-0.2,-0.16,-0.09,-0.02,0.04,0.07,0.09,0.11,0.11,0.08,0.03,0.01,0.04,0.15,0.22,0.24,0.26,0.29,0.31,0.26,0.2,0.15,0.14,0.12,0.13,0.14,0.13,0.06,-0.03,-0.05,-0.03,-0.02,-0.02,0.01,0.09,0.13,0.12,0.1,0.08,0.05,-0.02,-0.09,-0.17,-0.26,-0.35,-0.41,-0.44,-0.51,-0.6,-0.67,-0.68,-0.69,-0.74,-0.76,-0.73,-0.7,-0.74,-0.8,-0.84,-0.83,-0.81,-0.79,-0.</t>
  </si>
  <si>
    <t>To_Avoid_Formula77,-0.73,-0.7,-0.67,-0.62,-0.58,-0.57,-0.58,-0.59,-0.6,-0.65,-0.68,-0.66,-0.63,-0.64,-0.65,-0.62,-0.55,-0.47,-0.39,-0.31,-0.23,-0.15,-0.09,-0.02,0.04,0.09,0.14,0.19,0.2,0.21,0.2,0.2,0.2,0.22,0.24,0.3,0.35,0.43,0.5,0.57,0.63,0.7,0.75,0.73,0.72,0.72,0.74,0.76,0.79,0.84,0.88,0.89,0.89,0.89,0.88,0.84,0.78,0.74,0.71,0.66,0.58,0.52,0.52,0.52,0.53,0.55,0.58,0.59,0.58,0.57,0.59,0.62,0.63,0.62,0.6,0.57,0.54,0.53,0.55,0.59,0.6,0.58,0.56,0.51,0.45,0.39,0.36,0.34,0.3,0.28,0.31,0.31,0.29,0.28,0.29,0.3,0.27,0.23,0.2,0.19,0.19,0.19,0.2,0.19,0.19,0.19,0.18,0.17,0.15,0.14,0.14,0.12,0.06,0.01,-0.01,-0.04,-0.07,-0.08,-0.09,-0.11,-0.13,-0.17,-0.21,-0.29,-0.36,-0.44,-0.51,-0.6,-0.67,-0.71,-0.75,-0.81,-0.85,-0.84,-0.85,-0.86,-0.88,-0.88,-0.88,-0.88,-0.87,-0.86,-0.87,-0.9,-0.9,-0.86,-0.83,-0.84,-0.85,-0.88,-0.95,-1.01,-0.97,-0.89,-0.8,-0.8,-0.85,-0.9,-0.95,-0.97,-0.96,-0.9,-0.86,-0.85,-0.85,-0.82,-0.76,-0.67,-0.57,-0.53,-0.52,-0.54,-0.49,-0.44,-0.39,-0.33,-0.25,-0.12,0.0,0.09,0.23,0.36,0.61,0.83,1.03,1.15,1.2,1.19,1.16,1.14,1.07,1.03,0.98,0.98,0.99,1.0,1.08,1.26,1.38,1.42,1.4,1.34,1.29,1.18,1.05,0.88,0.75,0.67,0.6,0.56,0.49,0.46,0.43,0.4,0.34,0.25,0.16,0.04,-0.07,-0.22,-0.38,-0.49,-0.54,-0.54,-0.52,-0.46,-0.37,-0.28,-0.24,-0.23,-0.24,-0.25,-0.3,-0.4,-0.5,-0.54,-0.49,-0.42,-0.27,-0.14,-0.04,0.02,0.13,0.24,0.3,0.28,0.21,0.19,0.12,0.05,-0.05,-0.13,-0.23,-0.33,-0.41,-0.46,-0.48,-0.49,-0.45,-0.39,-0.34,-0.3,-0.25,-0.19,-0.15,-0.14,-0.17,-0.18,-0.2,-0.21,-0.22,-0.2,-0.15,-0.08,-0.05,-0.01,0.04,0.07,0.07,0.05,0.03,-0.04,-0.13,-0.27,-0.37,-0.44,-0.46,-0.45,-0.45,-0.44,-0.46,-0.39,-0.31,-0.24,-0.27,-0.35,-0.39,-0.45,-0.51,-0.58,-0.62,-0.66,-0.68,-0.67,-0.65,-0.57,-0.49,-0.38,-0.29,-0.22,-0.18,-0.17,-0.21,-0.24,-0.26,-0.29,-0.29,-0.28,-0.16,0.0,</t>
  </si>
  <si>
    <t>To_Avoid_Formula-15.3,-15.25,-15.19,-15.14,-15.08,-15.03,-14.97,-14.92,-14.86,-14.81,-14.75,-14.7,-14.64,-14.59,-14.53,-14.48,-14.42,-14.37,-14.31,-14.26,-14.2,-14.15,-14.09,-14.04,-13.98,-13.93,-13.88,-13.82,-13.77,-13.72,-13.66,-13.61,-13.55,-13.5,-13.45,-13.39,-13.34,-13.29,-13.23,-13.18,-13.12,-13.07,-13.02,-12.96,-12.91,-12.85,-12.8,-12.74,-12.69,-12.64,-12.58,-12.52,-12.47,-12.41,-12.36,-12.3,-12.25,-12.19,-12.13,-12.08,-12.02,-11.96,-11.9,-11.85,-11.79,-11.73,-11.67,-11.61,-11.55,-11.49,-11.43,-11.37,-11.31,-11.25,-11.19,-11.13,-11.07,-11.0,-10.94,-10.88,-10.82,-10.75,-10.69,-10.62,-10.56,-10.5,-10.43,-10.37,-10.3,-10.23,-10.17,-10.1,-10.03,-9.97,-9.9,-9.83,-9.76,-9.7,-9.63,-9.56,-9.49,-9.42,-9.35,-9.28,-9.21,-9.14,-9.06,-8.99,-8.92,-8.85,-8.78,-8.7,-8.63,-8.56,-8.48,-8.41,-8.33,-8.26,-8.18,-8.11,-8.03,-7.95,-7.88,-7.8,-7.72,-7.65,-7.57,-7.49,-7.41,-7.34,-7.26,-7.18,-7.1,-7.02,-6.94,-6.86,-6.79,-6.71,-6.63,-6.55,-6.47,-6.39,-6.31,-6.23,-6.15,-6.07,-5.99,-5.91,-5.83,-5.76,-5.68,-5.6,-5.52,-5.44,-5.36,-5.28,-5.2,-5.12,-5.04,-4.97,-4.89,-4.81,-4.73,-4.65,-4.57,-4.5,-4.42,-4.34,-4.26,-4.19,-4.11,-4.03,-3.96,-3.88,-3.81,-3.73,-3.65,-3.58,-3.5,-3.43,-3.35,-3.28,-3.2,-3.13,-3.06,-2.98,-2.91,-2.84,-2.76,-2.69,-2.62,-2.55,-2.48,-2.4,-2.33,-2.26,-2.19,-2.12,-2.05,-1.98,-1.91,-1.84,-1.78,-1.71,-1.64,-1.57,-1.51,-1.44,-1.37,-1.31,-1.24,-1.18,-1.11,-1.05,-0.98,-0.92,-0.86,-0.8,-0.73,-0.67,-0.61,-0.55,-0.49,-0.43,-0.37,-0.32,-0.26,-0.2,-0.14,-0.09,-0.03,0.02,0.08,0.13,0.18,0.24,0.29,0.34,0.39,0.44,0.49,0.54,0.59,0.64,0.68,0.73,0.78,0.82,0.87,0.91,0.96,1.0,1.04,1.09,1.13,1.17,1.21,1.25,1.29,1.33,1.37,1.41,1.44,1.48,1.51,1.55,1.59,1.62,1.65,1.69,1.72,1.75,1.78,1.81,1.84,1.87,1.9,1.93,1.95,1.98,2.01,2.03,2.06,2.08,2.11,2.13,2.15,2.17,2.19,2.21,2.23,2.25,2.27,2.29,2.31,2.33,2.34,2.36,2.37,2.39,2.4,2.41,2.43,2.44,2.45,2.46,2.47,2.48,2.49,2.5,2.5,2.51,2.52,2.52,2.53,2.53,2.53,2.54,2.54,2.54,2.54,2.54,2.54,2.54,2.53,2.53,2.53,2.52,2.52,2.51,2.51,2.5,2.49,2.48,2.47,2.46,2.45,2.44,2.43,2.42,2.4,2.39,2.38,2.36,2.35,2.33,2.31,2.29,2.28,2.26,2.24,2.22,2.2,2.17,2.15,2.13,2.1,2.08,2.06,2.03,2.0,1.98,1.95,1.92,1.89,1.86,1.83,1.8,1.77,1.73,1.7,1.67,1.63,1.6,1.56,1.52,1.49,1.45,1.41,1.37,1.33,1.29,1.25,1.21,1.17,1.13,1.09,1.04,1.0,0.96,0.91,0.87,0.82,0.77,0.73,0.68,0.63,0.58,0.54,0.49,0.44,0.39,0.34,0.29,0.23,0.18,0.13,0.08,0.03,-0.03,-0.08,-0.14,-0.19,-0.25,-0.3,-0.36,-0.41,-0.47,-0.53,-0.58,-0.64,-0.7,-0.76,-0.82,-0.87,-0.93,-0.99,-1.05,-1.11,-1.17,-1.23,-1.29,-1.35,-1.41,-1.48,-1.54,-1.6,-1.66,-1.72,-1.79,-1.85,-1.91,-1.97,-2.04,-2.1,-2.16,-2.22,-2.29,-2.35,-2.41,-2.48,-2.54,-2.61,-2.67,-2.73,-2.8,-2.86,-2.92,-2.99,-3.05,-3.12,-3.18,-3.24,-3.31,-3.37,-3.44,-3.5,-3.57,-3.63,-3.69,-3.76,-3.82,-3.88,-3.95,-4.01,-4.07,-4.14,-4.2,-4.26,-4.32,-4.39,-4.45,-4.51,-4.57,-4.63,-4.69,-4.75,-4.81,-4.87,-4.93,-4.99,-5.05,-5.11,-5.17,-5.23,-5.28,-5.34,-5.4,-5.45,-5.51,-5.57,-5.62,-5.68,-5.73,-5.78,-5.84,-5.89,-5.94,-5.99,-6.04,-6.09,-6.14,-6.19,-6.24,-6.29,-6.34,-6.39,-6.43,-6.48,-6.52,-6.57,-6.61,-6.66,-6.7,-6.74,-6.78,-6.82,-6.86,-6.9,-6.94,-6.98,-7.02,-7.05,-7.09,-7.12,-7.16,-7.19,-7.22,-7.25,-7.29,-7.32,-7.35,-7.37,-7.4,-7.43,-7.46,-7.48,-7.51,-7.53,-7.55,-7.58,-7.6,-7.62,-7.64,-7.66,-7.68,-7.7,-7.71,-7.73,-7.74,-7.76,-7.77,-7.78,-7.8,-7.81,-7.82,-7.83,-7.83,-7.84,-7.85,-7.85,-7.86,-7.86,-7.86,-7.87,-7.87,-7.87,-7.87,-7.86,-7.86,-7.86,-7.85,-7.85,-7.84,-7.84,-7.83,-7.82,-7.81,-7.8,-7.79,-7.77,-7.76,-7.75,-7.73,-7.71,-7.7,-7.68,-7.66,-7.64,-7.62,-7.6,-7.58,-7.56,-7.53,-7.51,-7.48,-7.46,-7.43,-7.41,-7.38,-7.35,-7.32,-7.29,-7.26,-7.23,-7.2,-7.16,-7.13,-7.1,-7.06,-7.03,-6.99,-6.96,-6.92,-6.88,-6.84,-6.81,-6.77,-6.73,-6.69,-6.65,-6.61,-6.57,-6.53,-6.49,-6.44,-6.4,-6.36,-6.32,-6.27,-6.23,-6.18,-6.14,-6.1,-6.05,-6.01,-5.96,-5.92,-5.87,-5.83,-5.78,-5.73,-5.69,-5.64,-5.6,-5.55,-5.5,-5.46,-5.41,-5.36,-5.32,-5.27,-5.22,-5.18,-5.13,-5.08,-5.03,-4.99,-4.94,-4.89,-4.85,-4.8,-4.75,-4.71,-4.66,-4.61,-4.57,-4.52</t>
  </si>
  <si>
    <t>To_Avoid_Formula,-4.47,-4.43,-4.38,-4.34,-4.29,-4.25,-4.2,-4.15,-4.11,-4.06,-4.02,-3.98,-3.93,-3.89,-3.84,-3.8,-3.76,-3.71,-3.67,-3.63,-3.59,-3.54,-3.5,-3.46,-3.42,-3.38,-3.33,-3.29,-3.25,-3.21,-3.17,-3.13,-3.09,-3.05,-3.01,-2.97,-2.93,-2.9,-2.86,-2.82,-2.78,-2.74,-2.7,-2.67,-2.63,-2.59,-2.55,-2.52,-2.48,-2.44,-2.41,-2.37,-2.33,-2.3,-2.26,-2.23,-2.19,-2.16,-2.12,-2.09,-2.05,-2.02,-1.98,-1.95,-1.91,-1.88,-1.85,-1.81,-1.78,-1.75,-1.71,-1.68,-1.65,-1.62,-1.58,-1.55,-1.52,-1.49,-1.46,-1.43,-1.4,-1.36,-1.33,-1.3,-1.27,-1.25,-1.22,-1.19,-1.16,-1.13,-1.1,-1.07,-1.05,-1.02,-0.99,-0.96,-0.94,-0.91,-0.88,-0.86,-0.83,-0.81,-0.78,-0.76,-0.74,-0.71,-0.69,-0.67,-0.64,-0.62,-0.6,-0.58,-0.56,-0.54,-0.52,-0.5,-0.48,-0.46,-0.44,-0.42,-0.4,-0.38,-0.37,-0.35,-0.33,-0.32,-0.3,-0.28,-0.27,-0.25,-0.24,-0.22,-0.21,-0.19,-0.18,-0.17,-0.15,-0.14,-0.13,-0.11,-0.1,-0.09,-0.08,-0.06,-0.05,-0.04,-0.03,-0.02,-0.01,0.0,0.01,0.02,0.03,0.04,0.05,0.06,0.07,0.08,0.09,0.09,0.1,0.11,0.12,0.13,0.13,0.14,0.15,0.15,0.16,0.16,0.17,0.18,0.18,0.19,0.19,0.2,0.2,0.21,0.21,0.21,0.22,0.22,0.23,0.23,0.23,0.24,0.24,0.25,0.25,0.25,0.26,0.26,0.26,0.27,0.27,0.27,0.28,0.28,0.29,0.29,0.29,0.3,0.3,0.3,0.31,0.31,0.32,0.32,0.32,0.33,0.33,0.34,0.34,0.35,0.35,0.36,0.36,0.37,0.38,0.38,0.39,0.39,0.4,0.41,0.41,0.42,0.44,0.44,0.45,0.46,0.47,0.47,0.48,0.49,0.5,0.51,0.52,0.53,0.53,0.54,0.55,0.56,0.57,0.58,0.59,0.6,0.61,0.62,0.63,0.64,0.65,0.66,0.67,0.68,0.69,0.7,0.72,0.73,0.74,0.75,0.76,0.77,0.78,0.79,0.8,0.81,0.82,0.84,0.85,0.86,0.87,0.88,0.89,0.9,0.91,0.93,0.94,0.95,0.96,0.97,0.98,0.99,1.01,1.02,1.03,1.04,1.05,1.06,1.08,1.09,1.1,1.11,1.12,1.13,1.14,1.16,1.17,1.18,1.19,1.2,1.21,1.22,1.23,1.25,1.26,1.27,1.28,1.29,1.3,1.31,1.32,1.33,1.34,1.35,1.36,1.37,1.38,1.39,1.4,1.41,1.42,1.43,1.44,1.45,1.46,1.46,1.47,1.48,1.49,1.5,1.51,1.51,1.52,1.53,1.54,1.54,1.55,1.56,1.56,1.57,1.58,1.59,1.59,1.6,1.61,1.61,1.62,1.63,1.63,1.64,1.64,1.65,1.66,1.66,1.67,1.68,1.68,1.69,1.7,1.7,1.71,1.72,1.72,1.73,1.74,1.74,1.75,1.76,1.76,1.77,1.78,</t>
  </si>
  <si>
    <t>To_Avoid_Formula2.98,2.74,2.65,2.67,2.72,2.72,2.64,2.48,2.37,2.38,2.49,2.7,3.0,3.28,3.42,3.58,3.77,3.99,4.07,4.13,4.28,4.51,4.69,4.81,4.86,4.78,4.7,4.67,4.65,4.56,4.45,4.35,4.26,4.2,4.17,4.15,4.08,3.94,3.71,3.46,3.22,2.96,2.68,2.32,2.05,1.88,1.76,1.64,1.55,1.54,1.57,1.66,1.76,1.86,1.97,2.19,2.42,2.59,2.66,2.72,2.79,2.86,2.85,2.72,2.56,2.46,2.44,2.42,2.45,2.48,2.46,2.28,2.03,1.77,1.6,1.52,1.49,1.4,1.19,0.96,0.84,0.81,0.71,0.5,0.3,0.14,0.02,-0.09,-0.18,-0.19,-0.14,-0.11,-0.08,0.02,0.26,0.51,0.63,0.56,0.45,0.47,0.64,0.9,1.03,0.99,0.87,0.74,0.59,0.5,0.49,0.64,0.92,1.27,1.57,1.92,2.27,2.48,2.58,2.62,2.69,2.71,2.56,2.24,1.9,1.76,1.8,1.81,1.69,1.44,1.32,1.42,1.65,1.86,1.99,2.08,2.33,2.67,2.98,3.19,3.31,3.39,3.43,3.4,3.23,2.94,2.69,2.63,2.75,2.98,3.16,3.22,3.4,3.7,3.96,4.06,3.92,3.71,3.55,3.4,3.22,3.06,2.99,2.93,2.84,2.8,2.91,3.08,3.17,3.14,3.04,2.97,2.92,2.91,2.88,2.86,2.86,2.93,3.01,3.05,3.06,3.04,3.01,2.96,2.82,2.61,2.42,2.36,2.38,2.34,2.25,2.13,2.11,2.19,2.34,2.51,2.73,2.99,3.29,3.57,3.75,3.91,3.97,4.08,4.19,4.3,4.31,4.23,4.03,3.72,3.38,3.13,2.99,2.85,2.64,2.4,2.31,2.43,2.64,2.77,2.85,2.98,3.22,3.47,3.54,3.45,3.36,3.31,3.29,3.24,3.24,3.28,3.37,3.31,3.03,2.67,2.5,2.53,2.58,2.63,2.71,2.86,3.04,3.2,3.37,3.52,3.54,3.48,3.33,3.17,3.02,2.89,2.82,2.79,2.73,2.65,2.66,2.77,2.9,2.95,2.92,2.93,2.93,2.93,2.97,3.12,3.27,3.41,3.54,3.68,3.82,3.98,4.13,4.2,4.18,4.08,3.95,3.8,3.61,3.43,3.33,3.28,3.26,3.21,3.19,3.21,3.28,3.44,3.53,3.51,3.42,3.36,3.34,3.38,3.51,3.63,3.69,3.72,3.78,3.83,3.8,3.79,3.87,3.98,4.05,4.2,4.45,4.7,4.74,4.62,4.53,4.53,4.5,4.32,4.15,4.03,3.86,3.57,3.37,3.34,3.37,3.4,3.44,3.6,3.7,3.65,3.54,3.52,3.48,3.35,3.13,2.9,2.65,2.34,2.12,2.02,2.01,2.05,2.15,2.38,2.67,2.92,3.12,3.24,3.27,3.23,3.25,3.37,3.57,3.73,3.87,4.02,4.15,4.19,4.12,4.03,4.03,4.08,4.05,3.92,3.79,3.77,3.83,3.93,4.02,4.08,4.17,4.27,4.31,4.25,4.13,4.05,3.98,3.86,3.76,3.73,3.73,3.72,3.67,3.59,3.51,3.47,3.45,3.46,3.53,3.66,3.86,4.01,4.02,3.96,3.92,3.93,3.9,3.83,3.74,3.61,3.51,3.41,3.3,3.18,3.11,3.16,3.23,3.22,3.12,3.07,3.12,3.18,3.12,3.02,3.0,3.09,3.2,3.28,3.36,3.38,3.33,3.25,3.22,3.2,3.15,3.06,2.93,2.8,2.68,2.63,2.66,2.67,2.63,2.6,2.6,2.57,2.46,2.33,2.28,2.29,2.3,2.37,2.5,2.7,2.86,2.98,3.1,3.19,3.2,3.2,3.2,3.16,3.0,2.82,2.66,2.58,2.52,2.48,2.58,2.77,2.93,3.02,3.14,3.32,3.51,3.65,3.7,3.63,3.45,3.3,3.18,3.06,2.87,2.7,2.55,2.43,2.36,2.34,2.36,2.39,2.46,2.53,2.56,2.48,2.44,2.45,2.47,2.47,2.46,2.44,2.31,2.14,2.05,2.06,2.11,2.19,2.35,2.58,2.83,3.02,3.24,3.38,3.32,3.0,2.49,1.89,1.36,0.83,0.46,0.33,0.37,0.61,1.02,1.58,2.09,2.46,2.71,2.99,3.24,3.35,3.33,3.25,3.06,2.78,2.57,2.51,2.54,2.47,2.32,2.15,2.03,1.93,1.85,1.77,1.73,1.71,1.73,1.8,1.93,2.1,2.29,2.5,2.64,2.69,2.66,2.62,2.53,2.39,2.2,2.05,1.92,1.78,1.69,1.71,1.78,1.79,1.71,1.54,1.42,1.41,1.48,1.6,1.67,1.7,1.7,1.68,1.64,1.61,1.51,1.37,1.14,0.93,0.77,0.69,0.69,0.77,0.95,1.1,1.2,1.34,1.54,1.75,1.88,1.95,1.99,1.94,1.78,1.56,1.38,1.18,0.92,0.58,0.31,0.17,0.13,0.18,0.29,0.42,0.56,0.72,0.9,1.08,1.31,1.58,1.82,1.89,1.72,1.55,1.52,1.58,1.59,1.59,1.62,1.66,1.66,1.65,1.66,1.64,1.62,1.64,1.75,1.94,2.18,2.33,2.39,2.39,2.35,2.3,2.21,2.14,2.07,2.02,2.02,2.07,2.16,2.33,2.56,2.78,2.92,3.05,3.2,3.28,3.26,3.18,3.14,3.1,2.97,2.73,2.51,2.29,2.07,1.85,1.69,1.66,1.73,1.75,1.72,1.66,1.61,1.64,1.72,1.81,1.86,1.91,1.99,2.1,2.15,2.17,2.16,2.17,2.2,2.18,2.12,2.04,1.99,1.98,1.96,1.92,1.91,1.91,1.89,1.84,1.82,1.87,2.03,2.15,2.24,2.34,2.49,2.56,2.5,2.42,2.39,2.38,2.27,2.11,1.96,1.87,1.83,1.91,2.08,2.27,2.41,2.63,2.88,3.07,3.16,3.17,3.17,3.11,3.05,3.02,3.01,2.93,2.75,2.57,2.54,2.63,2.77,2.88,3.04,3.15,3.2,3.26,3.35,3.37,3.25,3.08,2.92,2.79,2.64,2.5,2.42,2.42,2.4,2.4,2.45,2.62,2.81,3.01,3.19,3.35,3.44,3.49,3.55,3.57,3.52,3.4,3.31,3.26,3.28,3.31,3.35,3.35,3.33,3.29,3.25,3.25,3.26,3.23,3.12,3.01,2.95,3.0,3.08,3.17,3.25,3.3,3.34,3.38,3.45,3.54,3.56,3.46,3.31,3.13,2.99,2.91,2.9,2.97,2.95,2.84,2.75,2.74,2.7,2.56,2.34,2.13,1.9,1.71,1.53,1.38,1.26,1.16,1.14,1.18,1.23,1.25,1.34,1.49,1.65,1.71,1.74,1.83,1.</t>
  </si>
  <si>
    <t>To_Avoid_Formula95,2.08,2.19,2.3,2.35,2.24,2.02,1.77,1.6,1.45,1.31,1.21,1.16,1.13,1.1,1.12,1.15,1.19,1.24,1.3,1.3,1.21,1.09,1.04,1.07,1.09,1.08,1.04,1.04,1.06,1.15,1.29,1.49,1.66,1.85,2.04,2.23,2.38,2.49,2.57,2.54,2.43,2.34,2.3,2.3,2.37,2.48,2.61,2.72,2.8,2.86,2.9,2.96,3.07,3.18,3.21,3.14,3.07,3.09,3.09,2.96,2.74,2.65,2.74,2.87,2.97,3.02,3.1,3.23,3.42,3.62,3.76,3.78,3.73,3.66,3.51,3.23,2.96,2.73,2.41,1.74,0.82,-0.28,-1.25,-2.09,-2.69,-3.04,-3.35,-3.65,-3.91,-3.93,-3.79,-3.56,-3.24,-2.74,-2.09,-1.41,-0.82,-0.31,-0.1,-0.15,-0.34,-0.45,-0.39,-0.26,-0.08,0.37,0.57,0.78,0.99,1.26,1.63,2.03,2.34,2.44,2.32,2.04,1.7,1.4,1.38,1.68,2.17,2.63,2.93,3.07,3.09,3.08,2.95,2.68,2.34,2.1,1.89,1.65,1.35,1.07,0.91,0.88,0.97,1.06,1.18,1.31,1.43,1.47,1.44,1.38,1.27,1.19,1.18,1.28,1.4,1.51,1.65,1.79,1.91,1.94,1.96,2.03,2.1,2.05,1.91,1.68,1.39,1.04,0.75,0.56,0.44,0.38,0.34,0.38,0.48,0.68,0.92,1.18,1.33,1.36,1.38,1.39,1.41,1.42,1.41,1.38,1.4,1.57,1.82,2.1,2.35,2.61,2.89,3.16,3.38,3.48,3.48,3.41,3.27,2.99,2.66,2.35,2.21,2.16,2.14,2.17,2.27,2.38,2.48,2.56,2.56,2.51,2.42,2.29,2.02,1.66,1.19,0.79,0.51,0.4,0.48,0.63,0.88,1.14,1.32,1.37,1.31,1.25,1.15,1.0,0.81,0.65,0.54,0.43,0.34,0.37,0.6,0.92,1.26,1.49,1.69,1.89,2.08,2.21,2.26,2.22,2.2,2.21,2.26,2.39,2.58,2.87,3.15,3.42,3.6,3.61,</t>
  </si>
  <si>
    <t>To_Avoid_Formula0.06,0.07,0.08,0.09,0.09,0.1,0.1,0.1,0.11,0.11,0.11,0.12,0.12,0.12,0.12,0.12,0.12,0.12,0.11,0.11,0.11,0.1,0.1,0.09,0.09,0.08,0.08,0.07,0.06,0.06,0.06,0.05,0.05,0.05,0.05,0.05,0.05,0.05,0.05,0.05,0.05,0.05,0.06,0.06,0.06,0.06,0.06,0.06,0.06,0.06,0.06,0.06,0.06,0.06,0.06,0.07,0.07,0.08,0.08,0.09,0.09,0.1,0.1,0.11,0.12,0.13,0.13,0.14,0.15,0.15,0.16,0.16,0.17,0.17,0.18,0.19,0.19,0.19,0.2,0.2,0.2,0.2,0.2,0.2,0.2,0.2,0.2,0.19,0.19,0.19,0.19,0.19,0.19,0.19,0.19,0.19,0.2,0.2,0.21,0.22,0.23,0.24,0.25,0.26,0.27,0.28,0.29,0.3,0.31,0.32,0.33,0.33,0.34,0.35,0.35,0.36,0.36,0.36,0.37,0.37,0.37,0.37,0.37,0.38,0.38,0.38,0.39,0.39,0.39,0.4,0.4,0.41,0.42,0.42,0.43,0.44,0.44,0.45,0.46,0.46,0.47,0.48,0.49,0.49,0.5,0.51,0.51,0.52,0.52,0.52,0.53,0.53,0.53,0.54,0.54,0.54,0.54,0.55,0.55,0.55,0.55,0.55,0.55,0.56,0.56,0.56,0.57,0.57,0.58,0.59,0.6,0.61,0.62,0.63,0.63,0.64,0.65,0.66,0.66,0.67,0.68,0.69,0.7,0.71,0.72,0.72,0.73,0.74,0.74,0.75,0.75,0.75,0.76,0.76,0.76,0.77,0.77,0.77,0.77,0.77,0.77,0.78,0.78,0.78,0.78,0.78,0.78,0.78,0.78,0.77,0.77,0.77,0.77,0.77,0.77,0.77,0.76,0.76,0.75,0.75,0.74,0.74,0.73,0.72,0.71,0.7,0.7,0.69,0.67,0.66,0.65,0.64,0.63,0.62,0.61,0.6,0.59,0.58,0.58,0.57,0.56,0.55,0.54,0.54,0.53,0.52,0.51,0.5,0.49,0.48,0.48,0.47,0.46,0.45,0.44,0.43,0.42,0.42,0.41,0.4,0.39,0.38,0.37,0.36,0.35,0.34,0.33,0.32,0.31,0.3,0.29,0.28,0.27,0.26,0.25,0.24,0.23,0.22,0.21,0.21,0.2,0.19,0.18,0.17,0.16,0.15,0.14,0.13,0.12,0.11,0.1,0.09,0.07,0.06,0.05,0.04,0.03,0.02,0.01,0.0,-0.01,-0.02,-0.03,-0.04,-0.05,-0.06,-0.07,-0.08,-0.1,-0.11,-0.12,-0.12,-0.13,-0.14,-0.15,-0.16,-0.16,-0.17,-0.18,-0.18,-0.19,-0.2,-0.2,-0.21,-0.21,-0.22,-0.22,-0.23,-0.23,-0.24,-0.25,-0.25,-0.26,-0.27,-0.27,-0.28,-0.29,-0.3,-0.3,-0.31,-0.32,-0.32,-0.33,-0.34,-0.34,-0.35,-0.36,-0.36,-0.37,-0.38,-0.39,-0.39,-0.4,-0.41,-0.42,-0.42,-0.43,-0.44,-0.45,-0.45,-0.46,-0.47,-0.48,-0.49,-0.49,-0.5,-0.51,-0.52,-0.52,-0.53,-0.54,-0.55,-0.55,-0.56,-0.57,-0.58,-0.59,-0.59,-0.6,-0.61,-0.61,-0.62,-0.62,-0.63,-0.63,-0.63,-0.64,-0.64,-0.64,-0.64,-0.64,-0.65,-0.65,-0.65,-0.65,-0.65,-0.65,-0.65,-0.65,-0.65,-0.65,-0.65,-0.65,-0.65,-0.64,-0.64,-0.64,-0.63,-0.63,-0.62,-0.62,-0.62,-0.62,-0.62,-0.61,-0.61,-0.61,-0.61,-0.61,-0.6,-0.6,-0.6,-0.59,-0.59,-0.59,-0.58,-0.58,-0.58,-0.57,-0.57,-0.57,-0.56,-0.56,-0.56,-0.56,-0.56,-0.55,-0.55,-0.55,-0.55,-0.55,-0.54,-0.54,-0.54,-0.54,-0.53,-0.53,-0.53,-0.53,-0.52,-0.52,-0.52,-0.52,-0.52,-0.52,-0.52,-0.53,-0.53,-0.53,-0.53,-0.53,-0.52,-0.52,-0.52,-0.52,-0.51,-0.51,-0.51,-0.5,-0.5,-0.49,-0.49,-0.48,-0.48,-0.47,-0.46,-0.46,-0.45,-0.44,-0.44,-0.43,-0.42,-0.42,-0.41,-0.4,-0.4,-0.39,-0.38,-0.37,-0.37,-0.36,-0.35,-0.35,-0.34,-0.33,-0.32,-0.32,-0.31,-0.3,-0.29,-0.29,-0.28,-0.27,-0.26,-0.25,-0.24,-0.23,-0.22,-0.21,-0.2,-0.2,-0.19,-0.18,-0.18,-0.17,-0.16,-0.16,-0.15,-0.14,-0.14,-0.13,-0.12,-0.12,-0.11,-0.11,-0.1,-0.1,-0.09,-0.09,-0.08,-0.08,-0.07,-0.06,-0.06,-0.05,-0.05,-0.04,-0.04,-0.03,-0.02,-0.02,-0.01,-0.01,-0.01,0.0,0.0,0.01,0.01,0.02,0.02,0.03,0.04,0.04,0.05,0.06,0.06,0.07,0.08,0.09,0.1,0.11,0.12,0.13,0.14,0.14,0.15,0.16,0.17,0.17,0.18,0.18,0.19,0.19,0.19,0.2,0.2,0.21,0.21,0.21,0.21,0.22,0.22,0.22,0.22,0.22,0.21,0.21,0.21,0.21,0.21,0.21,0.21,0.21,0.2,0.2,0.2,0.2,0.19,0.19,0.19,0.18,0.17,0.17,0.16,0.15,0.14,0.13,0.12,0.11,0.1,0.09,0.08,0.07,0.06,0.05,0.04,0.03,0.03,0.02,0.02,0.01,0.01,0.0,0.0,-0.01,-0.01,-0.02,-0.02,-0.02,-0.02,-0.03,-0.03,-0.03,-0.03,-0.03,-0.03,-0.03,-0.03,-0.03,-0.03,-0.03,-0.03,-0.03,-0.03,-0.03,-0.03,-0.02,-0.02,-0.02,-0.02,-0.01,-0.01,0.0,0.01,0.01,0.02,0.03,0.04,0.05,0.06,0.07,0.08,0.08,0.09,0.1,0.1,0.11,0.11,0.12,0.12,0.13,0.13,0.13,0.14,0.14,0.14,0.14,0.15,0.15,0.15,0.15,0.15,0.16,0.16,0.16,0.16,0.17,0.17,0.18,0.18,0.19,0.19,0.2,0.2,0.21,0.21,0.22,0.22,0.23,0.23,0.24,0.24,0.24,0.25,0.25,0.25,0.25,0.25,0.26,0.26,0.26,0.26,0.26,0.26,0.27,0.27,0.27,0.27,0.28,0.28,0.28,0.29,0.29,0.29,0.29,0.3,0.3,0.3,0.3,0.31,0.31,0.31,0.31,0.31,0.3,0.3,0.3,0.29,0.29,0.28,0.28,0.27,0.27,0.26,0.25,</t>
  </si>
  <si>
    <t>To_Avoid_Formula0.25,0.24,0.23,0.22,0.21,0.2,0.19,0.18,0.17,0.16,0.15,0.14,0.13,0.12,0.11,0.1,0.09,0.08,0.07,0.06,0.05,0.05,0.04,0.03,0.03,0.02,0.02,0.01,0.01,0.01,0.0,0.0,0.0,0.0,0.0,0.0,0.01,0.01,0.02,0.02,0.03,0.04,0.05,0.05,0.06,0.07,0.09,0.1,0.11,0.12,0.14,0.15,0.17,0.18,0.2,0.21,0.23,0.25,0.27,0.29,0.31,0.32,0.34,0.36,0.38,0.4,0.42,0.44,0.46,0.47,0.49,0.5,0.51,0.53,0.54,0.55,0.57,0.58,0.59,0.6,0.61,0.63,0.63,0.64,0.65,0.65,0.66,0.66,0.66,0.67,0.67,0.67,0.67,0.67,0.67,0.67,0.67,0.67,0.67,0.67,0.66,0.66,0.66,0.65,0.65,0.65,0.64,0.64,0.64,0.63,0.63,0.63,0.62,0.62,0.61,0.61,0.6,0.59,0.59,0.58,0.58,0.58,0.57,0.57,0.56,0.56,0.55,0.54,0.54,0.53,0.52,0.51,0.5,0.5,0.49,0.48,0.47,0.47,0.46,0.45,0.44,0.44,0.43,0.42,0.41,0.41,0.4,0.39,0.38,0.37,0.36,0.34,0.33,0.32,0.31,0.3,0.28,0.27,0.26,0.23,0.22,0.21,0.2,0.19,0.17,0.16,0.15,0.14,0.13,0.13,0.12,0.11,0.1,0.1,0.09,0.09,0.08,0.08,0.07,0.07,0.07,0.06,0.06,0.07,0.07,0.07,0.07,0.08,0.08,0.09,0.1,0.1,0.11,0.12,0.13,0.14,0.15,0.16,0.17,0.19,0.2,0.22,0.24,0.25,0.27,0.28,0.3,0.32,0.33,0.35,0.36,0.38,0.39,0.41,0.42,0.43,0.45,0.46,0.47,0.48,0.49,0.49,0.5,0.51,0.52,0.52,0.53,0.54,0.55,0.55,0.56,0.56,0.57,0.57,0.57,0.57,0.57,0.56,0.56,0.56,0.56,0.55,0.55,0.55,0.54,0.54,0.53,0.53,0.52,0.51,0.5,0.5,0.49,0.48,0.47,0.47,0.46,0.45,0.45,0.44,0.43,0.43,0.42,0.42,0.41,0.41,0.41,0.41,0.41,0.41,0.42,0.42,0.42,0.42,0.43,0.43,0.43,0.44,0.44,0.44,0.45,0.45,0.46,0.46,0.47,0.48,0.48,0.49,0.5,0.51,0.51,0.52,0.53,0.54,0.55,0.55,0.56,0.57,0.58,0.59,0.6,0.61,0.61,0.62,</t>
  </si>
  <si>
    <t>To_Avoid_Formula0.0,0.0,0.0,0.0,0.0,0.0,0.0,0.0,0.0,0.0,0.0,0.0,0.0,0.0,0.0,0.0,0.0,0.0,0.0,0.0,0.0,0.0,0.0,0.0,0.0,0.0,0.0,0.0,0.0,0.0,0.0,0.0,0.0,0.0,0.0,0.0,0.0,0.0,0.0,0.0,0.0,0.0,0.0,0.0,0.0,0.0,0.0,0.0,0.0,0.0,0.0,0.0,0.0,0.0,0.0,0.0,0.0,0.0,0.0,0.0,0.0,0.0,0.0,0.0,0.0,0.0,0.0,0.0,0.0,</t>
  </si>
  <si>
    <t>To_Avoid_Formula-0.15,0.0,0.13,0.26,0.39,0.5,0.61,0.71,0.79,0.87,0.95,1.03,1.1,1.18,1.25,1.31,1.36,1.39,1.4,1.38,1.36,1.33,1.3,1.27,1.24,1.22,1.2,1.18,1.15,1.13,1.1,1.07,1.04,1.01,0.97,0.92,0.87,0.81,0.74,0.68,0.62,0.57,0.54,0.55,0.59,0.66,0.76,0.86,0.97,1.07,1.16,1.22,1.28,1.32,1.35,1.38,1.39,1.41,1.4,1.38,1.33,1.26,1.18,1.1,1.04,1.0,1.0,1.03,1.1,1.19,1.3,1.42,1.52,1.61,1.67,1.7,1.7,1.67,1.63,1.59,1.56,1.56,1.59,1.65,1.74,1.85,1.97,2.11,2.25,2.4,2.53,2.65,2.76,2.85,2.94,3.0,3.03,3.04,3.02,2.98,2.92,2.84,2.73,2.59,2.43,2.26,2.08,1.89,1.73,1.59,1.48,1.4,1.33,1.27,1.23,1.19,1.15,1.11,1.08,1.05,1.04,1.04,1.06,1.08,1.11,1.13,1.14,1.15,1.16,1.16,1.16,1.16,1.17,1.17,1.18,1.18,1.18,1.18,1.18,1.16,1.14,1.1,1.06,1.01,0.96,0.92,0.88,0.85,0.83,0.83,0.83,0.84,0.85,0.87,0.88,0.9,0.93,0.95,0.97,0.99,1.02,1.05,1.08,1.1,1.13,1.14,1.14,1.12,1.09,1.04,0.98,0.92,0.86,0.81,0.77,0.73,0.68,0.64,0.59,0.53,0.48,0.43,0.37,0.3,0.23,0.15,0.07,-0.02,-0.1,-0.19,-0.27,-0.35,-0.41,-0.45,-0.47,-0.46,-0.42,-0.35,-0.25,-0.13,0.03,0.21,0.39,0.54,0.66,0.76,0.82,0.86,0.87,0.86,0.82,0.76,0.69,0.59,0.48,0.38,0.28,0.19,0.1,0.02,-0.05,-0.12,-0.17,-0.21,-0.22,-0.2,-0.18,-0.14,-0.09,-0.04,0.02,0.07,0.12,0.18,0.24,0.29,0.33,0.37,0.39,0.39,0.39,0.37,0.33,0.29,0.23,0.18,0.12,0.07,0.02,-0.02,-0.05,-0.07,-0.09,-0.09,-0.08,-0.05,-0.03,0.01,0.04,0.08,0.11,0.13,0.14,0.16,0.17,0.18,0.19,0.21,0.23,0.27,0.32,0.39,0.48,0.59,0.7,0.82,0.95,1.07,1.19,1.3,1.39,1.48,1.54,1.59,1.61,1.6,1.58,1.55,1.5,1.46,1.41,1.37,1.33,1.3,1.27,1.24,1.21,1.18,1.15,1.12,1.1,1.08,1.07,1.06,1.07,1.08,1.11,1.15,1.21,1.28,1.35,1.42,1.49,1.57,1.64,1.71,1.77,1.82,1.87,1.91,1.94,1.95,1.94,1.92,1.89,1.85,1.79,1.72,1.64,1.55,1.45,1.35,1.25,1.14,1.04,0.94,0.85,0.77,0.69,0.62,0.55,0.5,0.45,0.42,0.39,0.36,0.34,0.33,0.32,0.31,0.3,0.3,0.3,0.3,0.31,0.31,0.31,0.3,0.3,0.31,0.33,0.36,0.41,0.46,0.52,0.59,0.66,0.72,0.79,0.84,0.9,0.94,0.97,0.99,0.99,0.98,0.96,0.92,0.87,0.81,0.73,0.65,0.57,0.49,0.4,0.32,0.24,0.17,0.12,0.09,0.07,0.08,0.11,0.14,0.18,0.21,0.25,0.28,0.31,0.34,0.36,0.39,0.41,0.44,0.47,0.5,0.53,0.56,0.59,0.61,0.62,0.63,0.62,0.6,0.58,0.56,0.54,0.52,0.52,0.52,0.54,0.56,0.58,0.6,0.62,0.63,0.65,0.67,0.69,0.71,0.74,0.76,0.79,0.81,0.83,0.83,0.83,0.83,0.82,0.81,0.81,0.82,0.84,0.87,0.91,0.96,1.01,1.07,1.13,1.2,1.26,1.32,1.37,1.41,1.43,1.45,1.45,1.45,1.44,1.42,1.41,1.39,1.37,1.35,1.33,1.3,1.26,1.22,1.18,1.15,1.12,1.11,1.11,1.11,1.12,1.14,1.14,1.15,1.14,1.12,1.09,1.05,1.0,0.95,0.91,0.87,0.84,0.82,0.82,0.84,0.87,0.93,1.0,1.08,1.17,1.27,1.38,1.49,1.6,1.71,1.81,1.9,1.98,2.06,2.13,2.17,2.18,2.17,2.14,2.08,2.0,1.91,1.81,1.7,1.58,1.47,1.35,1.23,1.12,1.02,0.92,0.84,0.77,0.73,0.7,0.7,0.71,0.74,0.77,0.8,0.83,0.84,0.84,0.83,0.81,0.78,0.73,0.69,0.64,0.6,0.57,0.56,0.56,0.58,0.61,0.65,0.7,0.76,0.83,0.9,0.98,1.06,1.14,1.21,1.27,1.31,1.35,1.36,1.36,1.34,1.3,1.25,1.18,1.11,1.03,0.95,0.88,0.82,0.76,0.71,0.67,0.64,0.62,0.59,0.56,0.52,0.48,0.44,0.4,0.37,0.35,0.34,0.34,0.36,0.38,0.41,0.44,0.47,0.5,0.53,0.55,0.56,0.57,0.58,0.58,0.57,0.56,0.53,0.5,0.47,0.43,0.39,0.36,0.33,0.31,0.31,0.31,0.32,0.35,0.39,0.43,0.47,0.51,0.55,0.58,0.6,0.62,0.61,0.6,0.58,0.56,0.53,0.51,0.49,0.49,0.49,0.5,0.51,0.52,0.53,0.54,0.55,0.56,0.56,0.57,0.58,0.59,0.59,0.6,0.61,0.61,0.62,0.61,0.61,0.61,0.62,0.62,0.63,0.64,0.65,0.67,0.7,0.72,0.75,0.78,0.81,0.84,0.87,0.9,0.94,0.98,1.03,1.08,1.13,1.17,1.2,1.22,1.23,1.23,1.22,1.2,1.18,1.16,1.15,1.15,1.17,1.21,1.28,1.37,1.47,1.58,1.69,1.8,1.9,2.0,2.08,2.14,2.19,2.23,2.25,2.28,2.29,2.3,2.31,2.3,2.29,2.27,2.25,2.21,2.17,2.12,2.07,2.03,1.99,1.96,1.94,1.93,1.93,1.94,1.95,1.97,1.99,2.01,2.02,2.03,2.03,2.02,2.0,1.97,1.93,1.87,1.8,1.73,1.65,1.58,1.51,1.46,1.41,1.38,1.34,1.32,1.29,1.26,1.24,1.23,1.21,1.21,1.21,1.22,1.24,1.26,1.28,1.3,1.3,1.3,1.29,1.27,1.24,1.2,1.15,1.08,1.0,0.91,0.82,0.71,0.6,0.49,0.38,0.27,0.17,0.08,0.0,-0.06,-0.1,-0.12,-0.12,-0.11,-0.08,-0.03,0.02,0.07,0.13,0.18,0.23,0.27,0.31,0.35,0.38,0.41,0.43,0.43,0.43,0.41,0.38,0.34,0.29,0.23,0.17,0.11,0.06,0.02,0.0,-0.01,</t>
  </si>
  <si>
    <t>To_Avoid_Formula-0.01,0.01,0.04,0.08,0.14,0.2,0.27,0.34,0.42,0.5,0.57,0.65,0.72,0.79,0.85,0.9,0.94,0.97,0.99,1.01,1.02,1.03,1.04,1.06,1.07,1.09,1.1,1.12,1.14,1.16,1.18,1.2,1.22,1.25,1.27,1.28,1.29,1.29,1.28,1.27,1.25,1.22,1.2,1.18,1.17,1.15,1.14,1.13,1.12,1.13,1.14,1.17,1.2,1.25,1.31,1.37,1.44,1.49,1.54,1.58,1.61,1.61,1.61,1.59,1.56,1.53,1.49,1.45,1.41,1.38,1.36,1.35,1.34,1.34,1.35,1.35,1.36,1.36,1.36,1.36,1.35,1.34,1.32,1.3,1.28,1.26,1.24,1.24,1.24,1.25,1.26,1.29,1.33,1.4,1.5,1.62,1.77,1.95,2.15,2.36,2.56,2.74,2.9,3.04,3.14,3.22,3.27,3.3,3.29,3.25,3.19,3.0,2.88,2.76,2.63,2.49,2.34,2.18,2.03,1.88,1.73,1.6,1.48,1.37,1.29,1.22,1.18,1.15,1.14,1.14,1.16,1.2,1.25,1.31,1.37,1.45,1.53,1.62,1.7,1.78,1.86,1.93,1.99,2.05,2.1,2.14,2.18,2.23,2.26,2.29,2.31,2.33,2.35,2.36,2.37,2.38,2.38,2.38,2.37,2.36,2.34,2.33,2.31,2.29,2.28,2.26,2.23,2.19,2.14,2.09,2.03,1.97,1.92,1.89,1.89,1.92,2.0,2.11,2.26,2.42,2.6,2.8,2.99,3.18,3.35,3.5,3.63,3.74,3.82,3.87,3.9,3.9,3.87,3.8,3.72,3.61,3.5,3.37,3.25,3.12,3.0,2.88,2.76,2.65,2.54,2.43,2.33,2.24,2.15,2.08,2.02,1.98,1.95,1.95,1.97,2.0,2.06,2.13,2.21,2.3,2.4,2.49,2.57,2.64,2.69,2.75,2.81,2.88,2.96,3.05,3.12,3.18,3.21,3.23,3.22,3.19,3.14,3.07,2.98,2.87,2.76,2.64,2.53,2.41,2.31,2.21,2.13,2.05,1.98,1.92,1.86,1.8,1.73,1.66,1.58,1.5,</t>
  </si>
  <si>
    <t>To_Avoid_Formula0.98,0.76,0.6,0.55,0.57,0.59,0.53,0.31,0.14,0.1,0.21,0.35,0.5,0.61,0.63,0.62,0.58,0.48,0.27,0.11,0.06,0.12,0.2,0.25,0.26,0.17,0.23,0.36,0.37,0.27,0.16,0.16,0.12,0.05,-0.01,-0.03,-0.07,-0.12,-0.2,-0.34,-0.44,-0.49,-0.51,-0.67,-0.83,-0.93,-0.98,-1.07,-1.19,-1.29,-1.43,-1.5,-1.53,-1.58,-1.63,-1.61,-1.54,-1.58,-1.73,-1.88,-1.99,-2.13,-2.29,-2.44,-2.61,-2.75,-2.91,-3.11,-3.29,-3.4,-3.44,-3.54,-3.66,-3.68,-3.57,-3.36,-3.06,-2.82,-2.73,-2.71,-2.58,-2.36,-2.25,-2.26,-2.19,-2.06,-1.9,-1.73,-1.54,-1.35,-1.21,-1.04,-0.86,-0.72,-0.64,-0.58,-0.51,-0.46,-0.37,-0.18,0.08,0.31,0.32,0.19,-0.11,-0.49,-0.96,-1.34,-1.7,-1.9,-1.78,-1.4,-1.08,-0.89,-0.7,-0.54,-0.37,-0.32,-0.26,-0.2,-0.11,-0.14,-0.16,-0.05,0.13,0.25,0.35,0.54,0.85,1.19,1.53,1.94,2.34,2.6,2.69,2.76,2.84,2.83,2.71,2.55,2.43,2.23,1.94,1.6,1.38,1.26,1.2,1.22,1.25,1.21,1.13,1.1,1.08,1.07,0.9,0.81,0.8,0.81,0.7,0.59,0.66,0.74,0.77,0.79,0.95,1.17,1.33,1.42,1.53,1.66,1.72,1.83,1.98,2.13,2.23,2.36,2.51,2.56,2.4,2.21,2.06,1.88,1.65,1.33,1.02,0.76,0.57,0.31,-0.03,-0.45,-0.85,-1.13,-1.51,-1.95,-2.37,-2.72,-3.13,-3.47,-3.69,-3.9,-4.32,-4.71,-4.91,-4.87,-4.72,-4.41,-3.9,-3.63,-3.23,-2.75,-1.94,-1.14,-0.48,0.1,0.75,1.64,2.42,3.03,3.55,4.13,4.63,4.97,5.15,5.32,5.31,5.28,5.23,5.24,5.23,5.09,4.88,4.58,4.24,3.85,3.54,3.28,2.99,2.64,2.31,2.01,1.72,1.34,1.05,0.84,0.51,0.06,-0.44,-0.86,-1.23,-1.6,-1.91,-2.05,-2.11,-2.11,-2.05,-1.91,-1.8,-1.8,-1.89,-1.89,-1.84,-1.8,-1.73,-1.6,-1.43,-1.35,-1.29,-1.2,-1.06,-0.93,-0.84,-0.75,-0.7,-0.75,-0.89,-0.99,-1.05,-1.13,-1.22,-1.29,-1.31,-1.34,-1.35,-1.39,-1.45,-1.51,-1.57,-1.67,-1.85,-1.95,-1.97,-1.97,-2.04,-2.17,-2.32,-2.47,-2.54,-2.57,-2.57,-2.6,-2.61,-2.6,-2.62,-2.72,-2.8,-2.72,-2.58,-2.52,-2.51,-2.44,-2.31,-2.25,-2.22,-2.15,-2.06,-1.95,-1.73,-1.33,-0.89,-0.51,-0.22,0.05,0.27,0.39,0.45,0.67,0.93,1.07,1.02,0.96,0.92,0.81,0.67,0.54,0.52,0.54,0.57,0.64,0.79,0.97,1.12,1.2,1.26,1.28,1.32,1.32,1.43,1.58,1.73,1.86,2.01,2.14,2.09,1.99,2.0,2.12,2.13,1.99,1.87,1.88,1.89,1.86,1.83,1.82,1.83,1.86,1.87,1.81,1.68,1.6,1.56,1.47,1.3,1.13,1.05,0.99,0.9,0.78,0.67,0.55,0.41,0.26,0.13,0.04,0.03,0.08,0.05,-0.08,-0.18,-0.17,-0.21,-0.31,-0.38,-0.38,-0.4,-0.49,-0.54,-0.58,-0.6,-0.57,-0.45,-0.37,-0.4,-0.4,-0.28,-0.15,-0.17,-0.27,-0.29,-0.2,-0.14,-0.15,-0.16,-0.16,-0.2,-0.32,-0.42,-0.46,-0.48,-0.54,-0.61,-0.65,-0.7,-0.8,-0.84,-0.81,-0.81,-0.95,-1.08,-1.1,-1.07,-1.13,-1.19,-1.14,-1.06,-1.02,-0.99,-0.83,-0.67,-0.58,-0.51,-0.37,-0.21,-0.11,0.0,0.09,0.14,0.13,0.11,0.2,0.3,0.34,0.39,0.52,0.66,0.7,0.73,0.81,0.9,0.94,0.9,0.8,0.66,0.53,0.46,0.44,0.41,0.38,0.36,0.38,0.38,0.32,0.21,0.1,0.03,-0.09,-0.2,-0.32,-0.42,-0.47,-0.46,-0.48,-0.59,-0.75,-0.85,-0.93,-1.01,-1.02,-0.91,-0.79,-0.71,-0.59,-0.37,-0.16,0.02,0.15,0.23,0.2,0.0,-0.27,-0.48,-0.68,-0.8,-0.71,-0.47,-0.18,0.07,0.39,0.72,0.95,1.07,1.23,1.44,1.53,1.45,1.36,1.32,1.25,1.14,1.09,1.13,1.17,1.09,0.95,0.87,0.83,0.75,0.65,0.68,0.78,0.81,0.79,0.83,0.98,1.11,1.18,1.17,1.15,1.06,0.89,0.66,0.43,0.15,-0.12,-0.28,-0.39,-0.51,-0.61,-0.59,-0.49,-0.47,-0.56,-0.63,-0.53,-0.33,-0.11,0.03,0.13,0.18,0.21,0.23,0.22,0.12,0.03,-0.04,-0.11,-0.27,-0.4,-0.43,-0.42,-0.41,-0.42,-0.4,-0.42,-0.42,-0.39,-0.37,-0.45,-0.6,-0.73,-0.81,-0.92,-1.02,-1.05,-1.04,-1.13,-1.26,-1.31,-1.26,-1.19,-1.11,-0.99,-0.85,-0.74,-0.62,-0.47,-0.32,-0.22,-0.18,-0.21,-0.37,-0.61,-0.75,-0.74,-0.68,-0.64,-0.68,-0.66,-0.58,-0.51,-0.51,-0.53,-0.46,-0.36,-0.26,-0.09,0.16,0.31,0.27,0.21,0.16,0.09,-0.13,-0.29,-0.36,-0.41,-0.54,-0.63,-0.59,-0.51,-0.51,-0.5,-0.42,-0.24,-0.18,-0.2,-0.2,-0.12,0.0,0.15,0.3,0.35,0.37,0.4,0.52,0.59,0.63,0.73,0.96,1.15,1.22,1.24,1.32,1.41,1.48,1.52,1.56,1.52,1.42,1.3,1.23,1.12,1.0,0.92,0.84,0.67,0.41,0.18,0.03,-0.1,-0.28,-0.48,-0.68,-0.9,-1.13,-1.29,-1.51,-1.76,-1.88,-1.91,-1.94,-2.06,-2.05,-1.97,-2.0,-2.07,-2.03,-1.84,-1.75,-1.73,-1.69,-1.54,-1.41,-1.27,-1.02,-0.64,-0.27,0.07,0.42,0.74,0.97,1.05,1.09,1.13,1.23,1.33,1.38,1.33,1.17,0.96,0.79,0.74,0.76,0.72,0.69,0.71,0.77,0.78,0.8,0.86,0.87,0.78,0.58,0.</t>
  </si>
  <si>
    <t>To_Avoid_Formula45,0.4,0.38,0.38,0.48,0.62,0.72,0.79,0.95,1.14,1.24,1.26,1.3,1.36,1.28,1.15,1.07,1.09,1.05,0.98,0.99,1.13,1.25,1.3,1.35,1.4,1.41,1.35,1.32,1.29,1.22,1.1,0.98,0.82,0.61,0.44,0.3,0.12,-0.13,-0.35,-0.55,-0.79,-1.0,-1.19,-1.38,-1.66,-1.87,-1.96,-2.0,-2.07,-2.03,-1.89,-1.83,-1.81,-1.71,-1.49,-1.37,-1.37,-1.38,-1.3,-1.15,-1.08,-1.02,-0.97,-0.88,-0.76,-0.59,-0.42,-0.32,-0.24,-0.14,-0.01,0.03,-0.02,-0.03,0.09,0.27,0.32,0.32,0.36,0.39,0.28,0.1,0.0,-0.07,-0.16,-0.25,-0.25,-0.18,-0.13,-0.08,0.07,0.25,0.36,0.4,0.47,0.5,0.44,0.37,0.43,0.55,0.63,0.66,0.76,0.92,1.06,1.13,1.22,1.34,1.47,1.57,1.69,1.8,1.82,1.79,1.78,1.82,1.82,1.82,1.89,2.01,2.06,2.01,1.93,1.83,1.72,1.52,1.32,1.1,0.89,0.69,0.49,0.23,-0.04,-0.24,-0.47,-0.78,-1.1,-1.28,-1.39,-1.53,-1.72,-1.84,-1.92,-2.0,-2.07,-2.11,-2.21,-2.37,-2.53,-2.62,-2.81,-2.98,-3.12,-3.29,-3.83,-4.68,-5.66,-6.35,-6.72,-6.86,-6.57,-6.02,-5.14,-4.24,-3.38,-2.48,-1.63,-0.79,0.18,1.41,2.56,3.37,3.99,4.38,4.57,4.39,4.18,4.13,4.28,4.34,4.41,4.43,4.37,4.17,4.11,4.22,4.41,4.37,4.13,3.78,3.37,2.85,2.28,1.89,1.79,1.82,1.8,1.79,1.71,1.5,1.23,0.98,0.71,0.4,0.16,-0.02,-0.21,-0.49,-0.7,-0.82,-0.86,-0.9,-0.9,-0.88,-0.89,-1.01,-1.13,-1.22,-1.37,-1.6,-1.86,-2.07,-2.24,-2.36,-2.55,-2.74,-2.93,-3.1,-3.32,-3.59,-3.86,-4.01,-4.11,-4.28,-4.48,-4.62,-4.65,-4.7,-4.66,-4.46,-4.1,-3.8,-3.49,-3.02,-2.49,-2.01,-1.67,-1.33,-1.06,-0.82,-0.66,-0.42,-0.2,-0.03,0.07,0.26,0.58,0.86,1.08,1.24,1.42,1.57,1.66,1.68,1.67,1.57,1.4,1.25,1.12,0.9,0.61,0.46,0.48,0.61,0.75,0.93,1.13,1.31,1.37,1.34,1.39,1.44,1.46,1.4,1.35,1.18,0.98,0.83,0.82,0.81,0.72,0.74,0.86,1.01,1.0,1.03,1.18,1.39,1.42,1.38,1.41,1.51,1.59,1.66,1.87,2.18,2.56,2.9,3.15,3.33,3.41,3.48,3.54,3.51,3.31,3.07,2.81,2.55,2.31,1.98,1.64,1.31,1.02,0.7,0.3,</t>
  </si>
  <si>
    <t>To_Avoid_Formula2.73,2.77,2.79,2.85,2.97,3.12,3.22,3.2,3.18,3.24,3.39,3.54,3.65,3.76,3.85,3.91,3.91,3.85,3.75,3.69,3.7,3.78,3.9,4.04,4.17,4.27,4.5,4.79,4.95,5.03,5.1,5.27,5.39,5.46,5.52,5.61,5.69,5.8,5.91,5.97,6.04,6.16,6.31,6.36,6.33,6.3,6.29,6.23,6.12,5.98,5.77,5.6,5.46,5.3,5.13,4.97,4.87,4.68,4.44,4.19,3.96,3.7,3.45,3.24,3.03,2.79,2.5,2.14,1.76,1.45,1.21,0.99,0.78,0.65,0.59,0.59,0.67,0.72,0.68,0.57,0.52,0.53,0.45,0.31,0.23,0.19,0.16,0.15,0.14,0.11,0.0,-0.07,-0.11,-0.21,-0.45,-0.69,-0.86,-0.94,-0.97,-0.96,-0.93,-0.96,-1.13,-1.37,-1.74,-2.21,-2.79,-3.32,-3.89,-4.4,-4.64,-4.65,-4.67,-4.82,-4.96,-5.04,-5.05,-5.14,-5.24,-5.3,-5.24,-5.22,-5.2,-5.15,-5.11,-5.1,-5.04,-4.83,-4.55,-4.34,-4.16,-3.88,-3.54,-3.31,-3.3,-3.35,-3.36,-3.39,-3.48,-3.6,-3.66,-3.77,-3.9,-4.05,-4.11,-4.18,-4.27,-4.34,-4.35,-4.39,-4.5,-4.63,-4.72,-4.72,-4.76,-4.7,-4.57,-4.44,-4.42,-4.41,-4.27,-4.13,-4.01,-3.93,-3.78,-3.58,-3.39,-3.19,-2.95,-2.68,-2.48,-2.26,-1.98,-1.68,-1.45,-1.2,-0.92,-0.73,-0.72,-0.73,-0.7,-0.69,-0.71,-0.79,-0.88,-1.01,-1.11,-1.27,-1.49,-1.8,-2.16,-2.46,-2.91,-3.45,-4.0,-4.53,-5.14,-5.69,-6.09,-6.47,-7.03,-7.61,-8.01,-8.18,-8.18,-7.99,-7.53,-7.23,-6.79,-6.31,-5.52,-4.72,-3.98,-3.3,-2.58,-1.7,-0.93,-0.25,0.4,1.12,1.73,2.22,2.64,3.16,3.5,3.81,4.08,4.44,4.75,4.91,4.99,5.04,5.14,5.21,5.25,5.24,5.17,5.03,4.88,4.72,4.56,4.3,4.1,4.0,3.82,3.56,3.25,3.01,2.79,2.53,2.29,2.18,2.17,2.2,2.26,2.34,2.4,2.39,2.32,2.31,2.36,2.39,2.43,2.5,2.6,2.63,2.64,2.68,2.78,2.86,2.92,3.01,3.13,3.16,3.12,3.12,3.16,3.17,3.12,3.05,3.02,2.98,2.94,2.85,2.71,2.53,2.37,2.23,2.03,1.88,1.77,1.67,1.44,1.15,0.86,0.58,0.35,0.16,0.04,-0.13,-0.33,-0.52,-0.72,-1.06,-1.43,-1.63,-1.67,-1.7,-1.81,-1.9,-1.93,-1.94,-2.01,-2.05,-2.06,-1.99,-1.86,-1.62,-1.36,-1.13,-0.98,-0.91,-0.83,-0.78,-0.75,-0.61,-0.39,-0.25,-0.25,-0.27,-0.26,-0.3,-0.42,-0.6,-0.73,-0.83,-0.96,-1.1,-1.17,-1.18,-1.18,-1.2,-1.18,-1.17,-1.17,-1.25,-1.25,-1.18,-1.09,-1.0,-0.89,-0.72,-0.69,-0.69,-0.63,-0.48,-0.39,-0.41,-0.41,-0.34,-0.3,-0.32,-0.33,-0.3,-0.26,-0.21,-0.13,-0.08,-0.07,-0.04,0.04,0.08,0.02,-0.07,-0.1,-0.1,-0.12,-0.15,-0.19,-0.24,-0.35,-0.47,-0.62,-0.76,-0.84,-0.85,-0.85,-0.92,-0.99,-0.96,-0.97,-1.02,-1.04,-0.97,-0.94,-0.98,-0.99,-0.98,-0.99,-1.0,-0.93,-0.85,-0.83,-0.81,-0.73,-0.62,-0.61,-0.66,-0.67,-0.63,-0.61,-0.65,-0.68,-0.68,-0.69,-0.76,-0.84,-0.87,-0.88,-0.9,-0.92,-0.91,-0.93,-1.03,-1.13,-1.14,-1.16,-1.32,-1.5,-1.55,-1.52,-1.57,-1.67,-1.68,-1.67,-1.72,-1.81,-1.8,-1.76,-1.76,-1.76,-1.69,-1.54,-1.44,-1.33,-1.2,-1.07,-0.99,-0.92,-0.79,-0.66,-0.58,-0.57,-0.51,-0.42,-0.39,-0.38,-0.34,-0.28,-0.25,-0.24,-0.23,-0.23,-0.23,-0.2,-0.12,-0.02,0.06,0.14,0.24,0.3,0.27,0.17,0.06,-0.05,-0.18,-0.31,-0.4,-0.48,-0.55,-0.56,-0.6,-0.73,-0.9,-0.97,-1.0,-1.09,-1.15,-1.12,-1.08,-1.12,-1.15,-1.07,-0.96,-0.88,-0.8,-0.65,-0.5,-0.43,-0.42,-0.4,-0.4,-0.41,-0.34,-0.19,-0.09,-0.08,-0.06,0.03,0.12,0.17,0.26,0.43,0.56,0.59,0.63,0.78,0.94,1.0,1.05,1.15,1.3,1.37,1.37,1.41,1.47,1.47,1.46,1.55,1.7,1.77,1.76,1.8,1.92,2.03,2.08,2.09,2.15,2.16,2.1,1.99,1.9,1.76,1.6,1.53,1.49,1.42,1.31,1.28,1.37,1.43,1.41,1.39,1.49,1.64,1.79,1.91,2.02,2.1,2.16,2.22,2.26,2.22,2.22,2.27,2.31,2.22,2.11,2.05,2.0,1.9,1.79,1.74,1.64,1.53,1.45,1.4,1.28,1.1,0.99,0.97,0.94,0.87,0.89,0.97,0.99,0.91,0.84,0.81,0.76,0.69,0.67,0.66,0.62,0.59,0.6,0.61,0.54,0.45,0.37,0.27,0.09,-0.09,-0.16,-0.15,-0.17,-0.26,-0.32,-0.28,-0.26,-0.31,-0.36,-0.32,-0.29,-0.28,-0.23,-0.11,-0.04,-0.11,-0.17,-0.19,-0.25,-0.43,-0.58,-0.65,-0.72,-0.89,-1.05,-1.11,-1.16,-1.32,-1.45,-1.47,-1.38,-1.4,-1.47,-1.48,-1.37,-1.24,-1.07,-0.86,-0.69,-0.56,-0.43,-0.21,-0.04,0.07,0.18,0.38,0.57,0.67,0.75,0.88,1.0,1.06,1.1,1.17,1.16,1.07,0.96,0.91,0.85,0.78,0.73,0.69,0.56,0.36,0.19,0.06,-0.06,-0.25,-0.44,-0.67,-0.93,-1.19,-1.4,-1.68,-2.04,-2.33,-2.51,-2.69,-2.95,-3.12,-3.18,-3.27,-3.41,-3.46,-3.37,-3.33,-3.35,-3.33,-3.25,-3.21,-3.21,-3.13,-2.92,-2.67,-2.47,-2.25,-2.02,-1.8,-1.69,-1.61,-1.49,-1.31,-1.14,-1.03,-0.98,-1.0,-1.08,-1.21,-1.27,-1.3,-1.36,-1.44,-1.42,-1.35</t>
  </si>
  <si>
    <t>To_Avoid_Formula,-1.32,-1.3,-1.2,-1.07,-1.02,-1.1,-1.14,-1.09,-1.01,-0.96,-0.84,-0.66,-0.53,-0.44,-0.32,-0.16,-0.09,-0.07,-0.02,0.09,0.09,0.02,0.03,0.17,0.28,0.34,0.46,0.68,0.89,1.02,1.18,1.35,1.5,1.56,1.65,1.73,1.78,1.82,1.86,1.83,1.67,1.53,1.42,1.27,1.05,0.87,0.68,0.43,0.19,0.01,-0.14,-0.36,-0.52,-0.59,-0.65,-0.78,-0.84,-0.76,-0.7,-0.71,-0.67,-0.49,-0.35,-0.31,-0.27,-0.16,0.01,0.1,0.16,0.2,0.26,0.31,0.4,0.49,0.53,0.51,0.5,0.53,0.51,0.43,0.35,0.39,0.5,0.5,0.45,0.48,0.57,0.58,0.52,0.49,0.47,0.41,0.33,0.32,0.36,0.38,0.39,0.49,0.63,0.7,0.71,0.77,0.85,0.84,0.79,0.82,0.93,1.02,1.07,1.19,1.36,1.48,1.52,1.55,1.65,1.76,1.84,1.96,2.09,2.17,2.21,2.34,2.55,2.71,2.85,3.03,3.24,3.38,3.4,3.41,3.41,3.41,3.32,3.22,3.07,2.91,2.8,2.73,2.6,2.38,2.24,2.12,1.95,1.67,1.45,1.26,1.06,0.81,0.61,0.43,0.21,-0.01,-0.16,-0.32,-0.52,-0.72,-0.83,-0.97,-1.14,-1.3,-1.47,-1.86,-2.5,-3.24,-3.83,-4.23,-4.53,-4.55,-4.32,-3.75,-3.14,-2.66,-2.17,-1.74,-1.31,-0.79,-0.02,0.73,1.25,1.68,2.06,2.4,2.43,2.39,2.42,2.63,2.73,2.88,2.98,2.99,2.88,2.87,3.0,3.21,3.27,3.22,3.16,3.11,2.94,2.68,2.44,2.33,2.24,2.16,2.16,2.17,2.12,2.01,1.97,1.96,1.92,1.88,1.87,1.86,1.76,1.71,1.67,1.65,1.56,1.51,1.47,1.39,1.22,1.07,0.97,0.84,0.63,0.36,0.09,-0.19,-0.46,-0.79,-1.15,-1.51,-1.85,-2.21,-2.65,-3.1,-3.46,-3.72,-4.02,-4.32,-4.54,-4.65,-4.82,-4.96,-4.98,-4.87,-4.81,-4.77,-4.59,-4.36,-4.2,-4.15,-4.02,-3.91,-3.79,-3.75,-3.63,-3.5,-3.41,-3.36,-3.26,-3.08,-2.96,-2.9,-2.86,-2.8,-2.76,-2.76,-2.8,-2.81,-2.84,-2.93,-2.96,-2.93,-2.96,-3.1,-3.2,-3.17,-3.05,-2.94,-2.8,-2.65,-2.49,-2.44,-2.43,-2.32,-2.17,-2.05,-1.94,-1.77,-1.69,-1.68,-1.7,-1.67,-1.74,-1.91,-2.03,-2.03,-1.95,-1.96,-1.87,-1.66,-1.36,-1.2,-1.1,-0.94,-0.75,-0.55,-0.38,-0.13,0.16,0.49,0.81,1.11,1.37,1.55,1.73,1.95,2.13,2.17,2.17,2.12,2.04,1.93,1.7,1.4,1.1,0.85,0.61,0.35,</t>
  </si>
  <si>
    <t>To_Avoid_Formula0.55,0.68,0.71,0.72,0.77,0.87,0.96,0.97,0.94,0.93,0.96,0.94,0.85,0.77,0.75,0.69,0.56,0.37,0.23,0.14,0.07,0.04,0.09,0.17,0.29,0.42,0.68,0.96,1.09,1.16,1.23,1.38,1.47,1.48,1.47,1.48,1.51,1.59,1.7,1.76,1.81,1.92,2.05,2.11,2.04,1.91,1.78,1.6,1.37,1.07,0.7,0.37,0.07,-0.23,-0.53,-0.84,-1.1,-1.37,-1.65,-1.9,-2.13,-2.37,-2.54,-2.61,-2.66,-2.76,-2.95,-3.19,-3.45,-3.64,-3.72,-3.69,-3.62,-3.47,-3.3,-3.12,-2.89,-2.67,-2.49,-2.38,-2.26,-2.14,-2.07,-2.01,-1.89,-1.77,-1.65,-1.53,-1.42,-1.37,-1.43,-1.42,-1.39,-1.45,-1.7,-1.94,-2.02,-1.92,-1.74,-1.6,-1.52,-1.54,-1.62,-1.68,-1.81,-2.05,-2.36,-2.64,-2.98,-3.32,-3.44,-3.35,-3.23,-3.27,-3.28,-3.15,-2.91,-2.71,-2.54,-2.32,-1.91,-1.47,-1.05,-0.73,-0.52,-0.32,-0.03,0.44,0.91,1.17,1.32,1.59,1.93,2.18,2.12,1.97,1.87,1.81,1.74,1.66,1.66,1.65,1.67,1.73,1.84,1.84,1.72,1.58,1.52,1.5,1.35,1.13,0.97,1.01,1.11,1.32,1.56,1.78,1.88,1.96,2.11,2.24,2.35,2.38,2.41,2.45,2.52,2.65,2.84,3.03,3.12,3.21,3.35,3.49,3.55,3.58,3.63,3.6,3.41,3.22,3.07,2.91,2.77,2.61,2.41,2.12,1.84,1.52,1.19,0.79,0.32,-0.14,-0.75,-1.42,-2.09,-2.72,-3.43,-4.01,-4.37,-4.68,-5.08,-5.52,-5.74,-5.73,-5.5,-5.04,-4.28,-3.66,-2.92,-2.22,-1.32,-0.44,0.36,1.09,1.73,2.4,2.89,3.31,3.71,4.12,4.36,4.46,4.58,4.86,4.94,4.98,4.93,4.99,4.98,4.78,4.49,4.25,4.18,4.1,3.89,3.54,3.14,2.69,2.23,1.75,1.27,0.74,0.28,-0.04,-0.35,-0.7,-1.03,-1.28,-1.51,-1.77,-2.03,-2.16,-2.19,-2.15,-2.13,-2.13,-2.16,-2.22,-2.28,-2.3,-2.24,-2.21,-2.18,-2.18,-2.13,-2.15,-2.17,-2.17,-2.09,-2.04,-2.01,-1.89,-1.72,-1.58,-1.52,-1.41,-1.24,-1.12,-1.11,-1.13,-1.13,-1.11,-1.12,-1.19,-1.33,-1.54,-1.68,-1.73,-1.8,-1.84,-1.85,-1.88,-2.07,-2.29,-2.47,-2.62,-2.73,-2.77,-2.7,-2.69,-2.74,-2.8,-2.85,-3.05,-3.3,-3.39,-3.19,-2.92,-2.74,-2.6,-2.39,-2.1,-1.88,-1.67,-1.42,-1.03,-0.66,-0.29,0.06,0.37,0.58,0.64,0.74,0.89,1.03,1.24,1.51,1.74,1.86,1.95,2.07,2.15,2.1,1.93,1.77,1.62,1.43,1.16,0.96,0.85,0.77,0.73,0.77,0.84,0.86,0.76,0.69,0.72,0.78,0.84,0.92,1.1,1.19,1.25,1.32,1.44,1.54,1.58,1.62,1.67,1.65,1.55,1.47,1.45,1.41,1.39,1.43,1.48,1.51,1.54,1.6,1.63,1.57,1.43,1.33,1.28,1.23,1.17,1.11,1.02,0.87,0.68,0.46,0.21,0.01,-0.08,-0.09,-0.14,-0.19,-0.17,-0.18,-0.2,-0.18,-0.07,-0.02,-0.03,-0.02,0.01,0.0,-0.07,-0.07,-0.02,0.02,0.01,0.03,0.06,0.06,0.02,-0.03,-0.07,-0.14,-0.25,-0.35,-0.37,-0.37,-0.42,-0.51,-0.54,-0.54,-0.52,-0.49,-0.44,-0.43,-0.53,-0.66,-0.69,-0.7,-0.85,-1.03,-1.05,-0.97,-0.95,-1.02,-1.03,-1.02,-1.09,-1.22,-1.28,-1.28,-1.3,-1.31,-1.22,-1.04,-0.89,-0.75,-0.57,-0.34,-0.16,-0.02,0.13,0.27,0.34,0.27,0.21,0.21,0.18,0.12,0.07,0.04,0.01,0.0,0.06,0.16,0.23,0.3,0.43,0.59,0.71,0.83,0.93,0.95,0.86,0.7,0.53,0.34,0.14,-0.02,-0.09,-0.16,-0.25,-0.27,-0.31,-0.44,-0.59,-0.58,-0.53,-0.57,-0.63,-0.61,-0.6,-0.7,-0.81,-0.82,-0.76,-0.74,-0.68,-0.46,-0.12,0.21,0.49,0.73,0.92,1.01,1.05,1.07,0.96,0.69,0.38,0.18,0.08,0.0,-0.04,0.02,0.11,0.17,0.26,0.5,0.77,0.91,0.94,0.97,1.1,1.18,1.2,1.23,1.25,1.22,1.16,1.18,1.25,1.23,1.09,0.98,0.95,0.9,0.78,0.67,0.66,0.63,0.55,0.44,0.37,0.28,0.16,0.11,0.11,0.04,-0.12,-0.22,-0.16,-0.09,-0.06,-0.07,0.0,0.07,0.12,0.17,0.21,0.25,0.27,0.31,0.31,0.28,0.3,0.41,0.48,0.4,0.26,0.13,-0.01,-0.23,-0.44,-0.56,-0.72,-0.93,-1.09,-1.16,-1.27,-1.41,-1.44,-1.32,-1.2,-1.13,-0.97,-0.74,-0.55,-0.5,-0.5,-0.52,-0.59,-0.71,-0.79,-0.84,-0.92,-1.01,-1.04,-1.08,-1.22,-1.34,-1.36,-1.29,-1.29,-1.36,-1.37,-1.27,-1.19,-1.21,-1.19,-1.06,-0.94,-0.9,-0.86,-0.73,-0.63,-0.6,-0.56,-0.47,-0.4,-0.41,-0.38,-0.3,-0.25,-0.31,-0.35,-0.3,-0.28,-0.36,-0.48,-0.49,-0.54,-0.71,-0.85,-0.81,-0.66,-0.64,-0.63,-0.51,-0.25,-0.02,0.25,0.59,0.92,1.18,1.41,1.72,1.97,2.1,2.16,2.25,2.36,2.39,2.41,2.46,2.47,2.39,2.29,2.23,2.11,1.9,1.65,1.51,1.38,1.25,1.14,1.03,0.87,0.66,0.49,0.36,0.21,0.02,-0.17,-0.39,-0.64,-0.88,-1.03,-1.26,-1.6,-1.9,-2.05,-2.18,-2.38,-2.5,-2.47,-2.4,-2.37,-2.28,-2.07,-1.87,-1.7,-1.52,-1.32,-1.19,-1.17,-1.1,-0.91,-0.67,-0.52,-0.37,-0.19,0.04,0.18,0.3,0.47,0.69,0.88,0.97,1.05,1.1,1.07,0.93,0.79,0.68,0.55,0.39,0.35,0.4,0.4,0.38,0.48,0.66,0.77,0.75,0.74,0.82,0.</t>
  </si>
  <si>
    <t>To_Avoid_Formula92,0.96,1.03,1.14,1.21,1.19,1.16,1.15,1.06,0.93,0.86,0.87,0.8,0.67,0.62,0.75,0.87,0.91,0.99,1.13,1.25,1.28,1.34,1.43,1.5,1.48,1.46,1.43,1.39,1.38,1.36,1.24,0.95,0.68,0.44,0.19,-0.11,-0.35,-0.58,-0.89,-1.16,-1.34,-1.41,-1.53,-1.58,-1.55,-1.54,-1.65,-1.71,-1.57,-1.43,-1.37,-1.31,-1.09,-0.87,-0.73,-0.6,-0.4,-0.17,-0.04,0.03,0.07,0.12,0.11,0.11,0.11,0.08,-0.03,-0.17,-0.25,-0.32,-0.45,-0.58,-0.6,-0.56,-0.61,-0.7,-0.68,-0.52,-0.39,-0.33,-0.3,-0.26,-0.26,-0.31,-0.32,-0.27,-0.25,-0.27,-0.2,-0.1,-0.07,-0.11,-0.06,0.04,0.08,0.02,0.02,0.1,0.18,0.22,0.31,0.44,0.48,0.41,0.33,0.32,0.33,0.31,0.33,0.39,0.41,0.41,0.56,0.8,1.0,1.12,1.25,1.38,1.41,1.32,1.22,1.15,1.08,0.94,0.79,0.56,0.35,0.23,0.2,0.12,-0.09,-0.21,-0.24,-0.28,-0.49,-0.72,-0.92,-1.11,-1.31,-1.46,-1.62,-1.82,-2.01,-2.1,-2.12,-2.15,-2.17,-2.06,-1.92,-1.83,-1.75,-1.65,-1.6,-1.71,-1.83,-1.88,-1.83,-1.81,-1.65,-1.27,-0.58,0.09,0.48,0.8,1.0,1.16,1.33,1.66,1.97,2.09,2.17,2.34,2.61,2.62,2.52,2.4,2.43,2.34,2.07,1.97,1.81,1.52,1.33,1.25,1.23,1.11,1.01,1.0,1.07,1.05,0.9,0.64,0.37,0.05,-0.23,-0.34,-0.33,-0.34,-0.38,-0.3,-0.14,0.02,0.12,0.22,0.32,0.36,0.42,0.43,0.38,0.22,0.1,-0.01,-0.16,-0.39,-0.54,-0.59,-0.67,-0.79,-0.98,-1.21,-1.48,-1.73,-2.02,-2.34,-2.64,-2.89,-3.1,-3.37,-3.66,-3.83,-3.84,-3.84,-3.81,-3.66,-3.39,-3.23,-3.1,-2.88,-2.57,-2.34,-2.17,-1.9,-1.64,-1.47,-1.41,-1.23,-1.0,-0.77,-0.63,-0.41,-0.19,-0.01,0.12,0.28,0.44,0.5,0.48,0.47,0.48,0.46,0.4,0.35,0.38,0.44,0.48,0.59,0.82,1.0,1.04,1.03,1.1,1.24,1.33,1.41,1.5,1.59,1.58,1.58,1.68,1.83,1.97,2.15,2.41,2.61,2.69,2.67,2.6,2.35,1.97,1.61,1.38,1.29,1.17,1.22,1.37,1.62,1.73,1.8,1.9,2.01,2.1,2.15,2.21,2.22,2.22,2.2,2.23,2.22,2.15,2.09,2.09,2.09,2.0,1.87,1.66,1.42,1.12,0.69,0.16,-0.32,-0.73,-1.07,-1.32,</t>
  </si>
  <si>
    <t>To_Avoid_Formula1.89,1.31,0.82,0.38,0.04,-0.17,-0.45,-0.82,-0.99,-0.87,-0.51,-0.22,-0.05,0.05,0.2,0.6,1.03,1.34,1.39,1.41,1.56,1.87,2.22,2.44,2.48,2.29,2.0,1.67,1.37,1.14,0.88,0.57,0.27,0.14,0.04,-0.13,-0.43,-0.76,-1.1,-1.4,-1.56,-1.74,-1.99,-2.33,-2.51,-2.57,-2.59,-2.62,-2.65,-2.62,-2.57,-2.42,-2.18,-1.85,-1.49,-1.03,-0.54,-0.09,0.34,0.66,0.91,1.1,1.2,1.17,1.02,0.89,0.77,0.66,0.59,0.51,0.27,-0.14,-0.56,-0.89,-1.12,-1.26,-1.37,-1.44,-1.54,-1.6,-1.62,-1.63,-1.71,-1.95,-2.18,-2.32,-2.26,-2.12,-1.95,-1.79,-1.67,-1.6,-1.48,-1.17,-0.7,-0.33,-0.18,-0.15,-0.05,0.17,0.5,0.88,1.12,1.17,1.05,0.88,0.7,0.58,0.47,0.38,0.4,0.64,1.0,1.47,1.8,1.83,1.68,1.59,1.7,1.84,1.82,1.64,1.4,1.28,1.16,0.89,0.42,-0.12,-0.6,-0.85,-0.82,-0.72,-0.63,-0.61,-0.38,0.11,0.74,1.28,1.54,1.58,1.62,1.71,1.79,1.62,1.27,0.97,0.89,0.99,1.08,0.9,0.73,0.72,0.78,0.75,0.53,0.29,0.15,0.17,0.28,0.37,0.36,0.18,-0.14,-0.36,-0.31,-0.32,-0.53,-0.82,-1.02,-0.95,-0.79,-0.64,-0.52,-0.36,-0.2,-0.06,0.08,0.21,0.27,0.13,-0.07,-0.22,-0.32,-0.42,-0.55,-0.56,-0.53,-0.54,-0.6,-0.73,-0.82,-0.82,-0.71,-0.55,-0.31,-0.03,0.33,0.75,1.14,1.49,1.61,1.71,1.85,2.05,2.17,2.12,1.84,1.38,0.87,0.4,0.01,-0.44,-0.93,-1.35,-1.6,-1.54,-1.44,-1.42,-1.45,-1.33,-1.01,-0.57,-0.18,0.08,0.24,0.31,0.44,0.6,0.84,0.97,0.94,0.67,0.26,-0.18,-0.48,-0.69,-0.89,-0.91,-0.74,-0.51,-0.27,-0.1,0.14,0.28,0.26,0.1,0.02,0.13,0.35,0.39,0.29,0.21,0.1,-0.06,-0.2,-0.27,-0.29,-0.42,-0.6,-0.61,-0.54,-0.4,-0.19,0.1,0.37,0.59,0.75,0.96,1.17,1.33,1.36,1.3,1.23,1.15,1.01,0.86,0.67,0.45,0.21,0.02,-0.15,-0.33,-0.5,-0.62,-0.7,-0.69,-0.67,-0.68,-0.66,-0.59,-0.45,-0.23,0.09,0.3,0.4,0.46,0.57,0.64,0.6,0.51,0.43,0.45,0.54,0.79,1.09,1.36,1.36,1.1,0.9,0.84,0.78,0.54,0.33,0.23,0.07,-0.3,-0.61,-0.71,-0.83,-1.05,-1.27,-1.14,-0.92,-0.87,-0.98,-0.99,-0.84,-0.81,-0.91,-0.96,-0.92,-1.03,-1.22,-1.35,-1.38,-1.38,-1.45,-1.32,-0.98,-0.62,-0.4,-0.24,-0.08,0.1,0.35,0.72,1.23,1.6,1.85,2.0,2.1,2.05,1.74,1.36,1.11,0.96,0.8,0.65,0.56,0.52,0.46,0.36,0.29,0.2,0.15,0.12,0.11,0.13,0.1,0.02,-0.1,-0.19,-0.15,-0.07,-0.04,-0.11,-0.26,-0.43,-0.56,-0.7,-0.82,-0.85,-0.72,-0.46,-0.19,0.03,0.15,0.2,0.2,0.2,0.18,0.16,0.14,0.1,0.04,-0.04,-0.16,-0.34,-0.55,-0.71,-0.78,-0.79,-0.84,-0.85,-0.81,-0.72,-0.71,-0.71,-0.61,-0.41,-0.21,-0.02,0.17,0.27,0.17,0.02,0.0,0.09,0.08,-0.06,-0.25,-0.33,-0.35,-0.37,-0.43,-0.53,-0.64,-0.76,-0.78,-0.76,-0.78,-0.89,-0.92,-0.86,-0.76,-0.56,-0.3,0.02,0.23,0.32,0.42,0.55,0.6,0.59,0.63,0.69,0.67,0.54,0.38,0.28,0.15,-0.02,-0.12,-0.09,-0.05,-0.08,-0.05,0.12,0.31,0.45,0.54,0.62,0.63,0.64,0.6,0.54,0.39,0.13,-0.22,-0.5,-0.65,-0.79,-0.96,-1.12,-1.18,-1.17,-1.07,-0.97,-0.86,-0.74,-0.59,-0.41,-0.24,-0.11,-0.12,-0.22,-0.29,-0.31,-0.27,-0.28,-0.18,0.02,0.34,0.58,0.79,0.92,0.85,0.54,0.05,-0.42,-0.79,-1.22,-1.6,-1.78,-1.82,-1.74,-1.56,-1.24,-0.93,-0.78,-0.68,-0.33,0.24,0.86,1.44,1.89,2.22,2.32,2.24,2.14,1.93,1.45,0.74,0.06,-0.43,-0.77,-1.14,-1.47,-1.62,-1.61,-1.52,-1.26,-0.85,-0.47,-0.22,-0.04,0.17,0.37,0.51,0.59,0.6,0.54,0.44,0.32,0.21,0.05,-0.11,-0.22,-0.32,-0.49,-0.79,-1.1,-1.26,-1.25,-1.14,-0.92,-0.72,-0.5,-0.35,-0.24,-0.13,-0.08,-0.19,-0.42,-0.65,-0.78,-0.77,-0.74,-0.71,-0.71,-0.66,-0.58,-0.5,-0.36,-0.14,0.1,0.27,0.44,0.62,0.79,0.85,0.79,0.7,0.48,0.15,-0.36,-0.79,-1.03,-1.2,-1.36,-1.46,-1.47,-1.39,-1.27,-1.04,-0.7,-0.25,0.2,0.64,0.97,1.14,1.24,1.35,1.45,1.41,1.3,1.2,1.1,0.94,0.75,0.57,0.33,0.03,-0.18,-0.14,0.22,0.63,0.81,0.81,0.8,0.76,0.68,0.55,0.48,0.42,0.37,0.38,0.46,0.52,0.58,0.62,0.61,0.59,0.67,0.81,0.93,0.96,0.97,1.0,1.03,0.94,0.72,0.43,0.13,-0.26,-0.72,-1.1,-1.26,-1.33,-1.45,-1.56,-1.6,-1.56,-1.5,-1.37,-1.16,-0.87,-0.59,-0.31,0.02,0.31,0.48,0.5,0.45,0.45,0.46,0.46,0.42,0.36,0.26,0.15,0.06,0.0,-0.08,-0.21,-0.32,-0.35,-0.29,-0.15,-0.05,0.05,0.22,0.45,0.57,0.51,0.45,0.46,0.47,0.36,0.22,0.12,0.05,-0.05,-0.12,-0.07,0.03,0.07,0.14,0.32,0.58,0.75,0.79,0.79,0.84,0.94,1.06,1.14,1.11,0.84,0.49,0.27,0.21,0.14,0.0,-0.04,-0.02,0.02,0.09,0.24,0.32,0.23,0.07,-0.02,0.04,0.07,-0.04,-0.21,-0.35,-0.48,-0.64,-0</t>
  </si>
  <si>
    <t>To_Avoid_Formula.7,-0.58,-0.45,-0.34,-0.18,0.1,0.36,0.57,0.76,0.93,1.01,0.98,0.9,0.86,0.88,0.86,0.73,0.54,0.32,0.1,-0.1,-0.19,-0.23,-0.32,-0.45,-0.51,-0.45,-0.32,-0.18,-0.11,-0.06,-0.04,-0.02,0.05,0.16,0.29,0.31,0.2,0.08,0.01,-0.02,-0.04,-0.09,-0.11,-0.22,-0.41,-0.55,-0.59,-0.67,-0.9,-1.2,-1.43,-1.55,-1.6,-1.6,-1.61,-1.65,-1.74,-1.83,-1.77,-1.61,-1.5,-1.41,-1.21,-0.91,-0.64,-0.39,-0.08,0.24,0.55,0.8,1.04,1.19,1.09,0.84,0.54,0.35,0.12,-0.18,-0.43,-0.55,-0.61,-0.73,-0.83,-0.93,-1.0,-1.06,-1.05,-0.94,-0.8,-0.68,-0.56,-0.38,-0.22,-0.14,-0.12,-0.09,-0.04,0.03,0.15,0.3,0.42,0.55,0.75,1.01,1.29,1.45,1.5,1.44,1.36,1.29,1.26,1.24,1.22,1.18,1.12,1.06,0.95,0.82,0.68,0.59,0.58,0.61,0.67,0.71,0.73,0.79,0.78,0.59,0.26,0.04,0.02,0.07,0.11,0.12,0.13,0.16,0.24,0.41,0.62,0.71,0.64,0.57,0.55,0.49,0.31,-0.01,-0.46,-1.23,-2.2,-3.38,-4.48,-5.51,-6.32,-6.8,-7.13,-7.39,-7.57,-7.44,-7.02,-6.52,-5.96,-5.15,-3.83,-2.23,-0.54,0.94,1.99,2.54,2.7,2.9,3.26,3.65,3.84,3.93,3.81,3.52,3.08,2.67,2.45,2.34,2.43,2.59,2.66,2.5,2.09,1.67,1.47,1.57,1.81,2.05,2.15,2.08,1.83,1.45,0.91,0.34,-0.1,-0.22,-0.16,-0.05,-0.06,-0.32,-0.77,-1.29,-1.65,-1.88,-1.89,-1.78,-1.65,-1.47,-1.24,-0.97,-0.83,-0.7,-0.46,-0.07,0.33,0.6,0.77,0.82,0.85,0.75,0.65,0.6,0.62,0.61,0.53,0.41,0.2,-0.15,-0.53,-0.84,-1.06,-1.27,-1.45,-1.53,-1.46,-1.29,-1.11,-0.92,-0.73,-0.55,-0.31,0.0,0.37,0.68,0.85,0.93,1.02,1.23,1.44,1.63,1.67,1.68,1.71,1.83,2.02,2.11,2.09,2.0,1.84,1.58,1.28,0.94,0.64,0.34,0.03,-0.18,-0.34,-0.51,-0.68,-0.82,-0.93,-0.97,-0.99,-0.98,-0.97,-1.0,-1.16,-1.42,-1.65,-1.74,-1.69,-1.64,-1.49,-1.34,-1.24,-1.19,-1.21,-1.17,-1.14,-1.02,-0.85,-0.54,-0.25,-0.08,-0.06,-0.1,-0.03,0.04,0.12,0.17,0.32,0.58,0.83,1.06,1.25,1.42,1.54,1.67,1.84,2.05,2.2,2.27,2.23,2.17,2.11,1.92,</t>
  </si>
  <si>
    <t>To_Avoid_Formula53.52,53.52,53.52,53.52,53.52,53.53,53.53,53.53,53.53,53.53,53.53,53.53,53.53,53.53,53.53,53.53,53.53,53.53,53.53,53.53,53.54,53.54,53.54,53.54,53.54,53.54,53.54,53.54,53.54,53.54,53.54,53.54,53.54,53.54,53.54,53.54,53.55,53.55,53.55,53.55,53.55,53.55,53.55,53.55,53.55,53.55,53.55,53.55,53.55,53.55,53.55,53.55,53.55,53.56,53.56,53.56,53.56,53.56,53.56,53.56,53.56,53.56,53.56,53.56,53.56,53.56,53.56,53.56,53.56,53.57,53.57,53.57,53.57,53.57,53.57,53.57,53.57,53.57,53.57,53.57,53.57,53.57,53.57,53.57,53.57,53.57,53.58,53.58,53.58,53.58,53.58,53.58,53.58,53.58,53.58,53.58,53.58,53.58,53.58,53.58,53.58,53.58,53.59,53.59,53.59,53.59,53.59,53.59,53.59,53.59,53.59,53.59,53.59,53.59,53.59,53.59,53.59,53.59,53.6,53.6,53.6,53.6,53.6,53.6,53.6,53.6,53.6,53.6,53.6,53.6,53.6,53.6,53.6,53.61,53.61,53.61,53.61,53.61,53.61,53.61,53.61,53.61,53.61,53.61,53.61,53.61,53.61,53.61,53.61,53.62,53.62,53.62,53.62,53.62,53.62,53.62,53.62,53.62,53.62,53.62,53.62,53.62,53.62,53.62,53.62,53.63,53.63,53.63,53.63,53.63,53.63,53.63,53.63,53.63,53.63,53.63,53.63,53.63,53.63,53.63,53.63,53.64,53.64,53.64,53.64,53.64,53.64,53.64,53.64,53.64,53.64,53.64,53.64,53.64,53.64,53.64,53.65,53.65,53.65,53.65,53.65,53.65,53.65,53.65,53.65,53.65,53.65,53.65,53.65,53.65,53.65,53.66,53.66,53.66,53.66,53.66,53.66,53.66,53.66,53.66,53.66,53.66,53.66,53.66,53.66,53.66,53.67,53.67,53.67,53.67,53.67,53.67,53.67,53.67,53.67,53.67,53.67,53.67,53.67,53.67,53.67,53.67,53.68,53.68,53.68,53.68,53.68,53.68,53.68,53.68,53.68,53.68,53.68,53.68,53.68,53.68,53.69,53.69,53.69,53.69,53.69,53.69,53.69,53.69,53.69,53.69,53.69,53.69,53.69,53.69,53.69,53.7,53.7,53.7,53.7,53.7,53.7,53.7,53.7,53.7,53.7,53.7,53.7,53.7,53.7,53.71,53.71,53.71,53.71,53.71,53.71,53.71,53.71,53.71,53.71,53.71,53.71,53.71,53.71,53.72,53.72,53.72,53.72,53.72,53.72,53.72,53.72,53.72,53.72,53.72,53.72,53.72,53.72,53.72,53.73,53.73,53.73,53.73,53.73,53.73,53.73,53.73,53.73,53.73,53.73,53.73,53.73,53.73,53.73,53.74,53.74,53.74,53.74,53.74,53.74,53.74,53.74,53.74,53.74,53.74,53.74,53.74,53.74,53.75,53.75,53.75,53.75,53.75,53.75,53.75,53.75,53.75,53.75,53.75,53.75,53.75,53.75,53.76,53.76,53.76,53.76,53.76,53.76,53.76,53.76,53.76,53.76,53.76,53.76,53.76,53.76,53.76,53.77,53.77,53.77,53.77,53.77,53.77,53.77,53.77,53.77,53.77,53.77,53.77,53.77,53.77,53.77,53.78,53.78,53.78,53.78,53.78,53.78,53.78,53.78,53.78,53.78,53.78,53.78,53.78,53.78,53.79,53.79,53.79,53.79,53.79,53.79,53.79,53.79,53.79,53.79,53.79,53.79,53.79,53.79,53.79,53.8,53.8,53.8,53.8,53.8,53.8,53.8,53.8,53.8,53.8,53.8,53.8,53.8,53.8,53.8,53.81,53.81,53.81,53.81,53.81,53.81,53.81,53.81,53.81,53.81,53.81,53.81,53.81,53.81,53.81,53.81,53.82,53.82,53.82,53.82,53.82,53.82,53.82,53.82,53.82,53.82,53.82,53.82,53.82,53.82,53.82,53.83,53.83,53.83,53.83,53.83,53.83,53.83,53.83,53.83,53.83,53.83,53.83,53.83,53.83,53.83,53.83,53.84,53.84,53.84,53.84,53.84,53.84,53.84,53.84,53.84,53.84,53.84,53.84,53.84,53.84,53.84,53.84,53.84,53.85,53.85,53.85,53.85,53.85,53.85,53.85,53.85,53.85,53.85,53.85,53.85,53.85,53.85,53.85,53.85,53.86,53.86,53.86,53.86,53.86,53.86,53.86,53.86,53.86,53.86,53.86,53.86,53.86,53.86,53.86,53.86,53.86,53.86,53.87,53.87,53.87,53.87,53.87,53.87,53.87,53.87,53.87,53.87,53.87,53.87,53.87,53.87,53.87,53.87,53.87,53.88,53.88,53.88,53.88,53.88,53.88,53.88,53.88,53.88,53.88,53.88,53.88,53.88,53.88,53.88,53.88,53.88,53.89,53.89,53.89,53.89,53.89,53.89,53.89,53.89,53.89,53.89,53.89,53.89,53.89,53.89,53.89,53.89,53.89,53.89,53.89,53.9,53.9,53.9,53.9,53.9,53.9,53.9,53.9,53.9,53.9,53.9,53.9,53.9,53.9,53.9,53.9,53.9,53.9,53.91,53.91,53.91,53.91,53.91,53.91,53.91,53.91,53.91,53.91,53.91,53.91,53.91,53.91,53.91,53.91,53.91,53.91,53.91,53.92,53.92,53.92,53.92,53.92,53.92,53.92,53.92,53.92,53.92,53.92,53.92,53.92,53.92,53.92,53.92,53.92,53.92,53.92,53.93,53.93,53.93,53.93,53.93,53.93,53.93,53.93,53.93,53.93,53.93,53.93,53.93,53.93,53.93,53.93,53.93,53.93,53.94,53.94,53.94,53.94,53.94,53.94,53.94,53.9</t>
  </si>
  <si>
    <t>To_Avoid_Formula4,53.94,53.94,53.94,53.94,53.94,53.94,53.94,53.94,53.94,53.94,53.94,53.95,53.95,53.95,53.95,53.95,53.95,53.95,53.95,53.95,53.95,53.95,53.95,53.95,53.95,53.95,53.95,53.95,53.95,53.95,53.96,53.96,53.96,53.96,53.96,53.96,53.96,53.96,53.96,53.96,53.96,53.96,53.96,53.96,53.96,53.96,53.96,53.96,53.96,53.97,53.97,53.97,53.97,53.97,53.97,53.97,53.97,53.97,53.97,53.97,53.97,53.97,53.97,53.97,53.97,53.97,53.97,53.98,53.98,53.98,53.98,53.98,53.98,53.98,53.98,53.98,53.98,53.98,53.98,53.98,53.98,53.98,53.98,53.98,53.98,53.99,53.99,53.99,53.99,53.99,53.99,53.99,53.99,53.99,53.99,53.99,53.99,53.99,53.99,53.99,53.99,53.99,54.0,54.0,54.0,54.0,54.0,54.0,54.0,54.0,54.0,54.0,54.0,54.0,54.0,54.0,54.0,54.0,54.0,54.0,54.0,54.01,54.01,54.01,54.01,54.01,54.01,54.01,54.01,54.01,54.01,54.01,54.01,54.01,54.01,54.01,54.01,54.01,54.01,54.02,54.02,54.02,54.02,54.02,54.02,54.02,54.02,54.02,54.02,54.02,54.02,54.02,54.02,54.02,54.02,54.02,54.03,54.03,54.03,54.03,54.03,54.03,54.03,54.03,54.03,54.03,54.03,54.03,54.03,54.03,54.03,54.03,54.03,54.04,54.04,54.04,54.04,54.04,54.04,54.04,54.04,54.04,54.04,54.04,54.04,54.04,54.04,54.04,54.04,54.04,54.05,54.05,54.05,54.05,54.05,54.05,54.05,54.05,54.05,54.05,54.05,54.05,54.05,54.05,54.05,54.05,54.05,54.06,54.06,54.06,54.06,54.06,54.06,54.06,54.06,54.06,54.06,54.06,54.06,54.06,54.06,54.06,54.06,54.06,54.07,54.07,54.07,54.07,54.07,54.07,54.07,54.07,54.07,54.07,54.07,54.07,54.07,54.07,54.07,54.07,54.08,54.08,54.08,54.08,54.08,54.08,54.08,54.08,54.08,54.08,54.08,54.08,54.08,54.08,54.08,54.08,54.09,54.09,54.09,54.09,54.09,54.09,54.09,54.09,54.09,54.09,54.09,54.09,54.09,54.09,54.09,54.09,54.09,54.1,54.1,54.1,54.1,54.1,54.1,54.1,54.1,54.1,54.1,54.1,54.1,54.1,54.1,54.1,54.1,54.1,54.11,54.11,54.11,54.11,54.11,54.11,54.11,54.11,54.11,54.11,54.11,54.11,54.11,54.11,54.11,54.11,54.11,54.11,54.12,54.12,54.12,54.12,54.12,54.12,54.12,54.12,54.12,54.12,54.12,54.12,54.12,54.12,54.12,54.12,54.12,54.13,54.13,54.13,54.13,54.13,54.13,54.13,54.13,54.13,54.13,54.13,54.13,54.13,54.13,54.13,54.13,54.13,54.14,54.14,54.14,54.14,54.14,54.14,54.14,54.14,54.14,54.14,54.14,54.14,54.14,54.14,54.14,54.14,54.14,54.14,54.15,54.15,54.15,54.15,54.15,54.15,54.15,54.15,54.15,54.15,54.15,54.15,54.15,54.15,54.15,54.15,54.15,54.15,54.15,54.16,54.16,54.16,54.16,54.16,54.16,</t>
  </si>
  <si>
    <t>To_Avoid_Formula-1.19,-1.07,-0.91,-0.77,-0.67,-0.61,-0.55,-0.49,-0.47,-0.44,-0.42,-0.39,-0.33,-0.28,-0.17,-0.04,0.1,0.2,0.26,0.31,0.31,0.31,0.27,0.25,0.27,0.3,0.4,0.5,0.67,0.79,0.89,0.97,1.0,1.01,0.99,1.0,0.98,0.95,0.9,0.87,0.88,0.9,0.95,0.98,0.99,0.97,0.94,0.89,0.83,0.72,0.63,0.56,0.51,0.44,0.38,0.35,0.33,0.3,0.22,0.13,0.06,0.01,-0.03,-0.03,0.0,0.06,0.13,0.22,0.3,0.31,0.3,0.27,0.25,0.25,0.24,0.29,0.36,0.46,0.57,0.71,0.8,0.91,1.01,1.06,1.1,1.12,1.16,1.19,1.21,1.2,1.19,1.2,1.21,1.27,1.32,1.35,1.35,1.32,1.27,1.16,1.05,0.91,0.82,0.74,0.68,0.67,0.65,0.66,0.68,0.75,0.83,0.89,0.92,0.9,0.84,0.74,0.64,0.55,0.53,0.58,0.64,0.68,0.7,0.69,0.67,0.66,0.65,0.62,0.6,0.58,0.58,0.58,0.57,0.54,0.52,0.53,0.56,0.6,0.61,0.62,0.62,0.64,0.66,0.66,0.65,0.63,0.62,0.55,0.51,0.46,0.44,0.4,0.34,0.3,0.3,0.38,0.42,0.46,0.48,0.52,0.54,0.48,0.4,0.28,0.19,0.12,0.06,0.03,-0.01,0.01,0.05,0.13,0.16,0.14,0.12,0.03,-0.07,-0.27,-0.42,-0.58,-0.69,-0.78,-0.85,-0.81,-0.75,-0.59,-0.46,-0.24,-0.06,0.16,0.32,0.43,0.51,0.56,0.64,0.68,0.73,0.74,0.75,0.78,0.83,0.89,0.9,0.94,0.99,1.03,1.03,0.9,0.76,0.56,0.4,0.2,0.05,-0.05,-0.11,-0.1,-0.1,-0.07,-0.09,-0.1,-0.12,-0.19,-0.3,-0.42,-0.48,-0.49,-0.49,-0.46,-0.41,-0.3,-0.22,-0.17,-0.15,-0.16,-0.17,-0.21,-0.23,-0.25,-0.24,-0.2,-0.17,-0.16,-0.17,-0.17,-0.17,-0.17,-0.19,-0.22,-0.23,-0.23,-0.23,-0.24,-0.24,-0.2,-0.15,-0.1,-0.03,0.03,0.09,0.13,0.19,0.25,0.3,0.33,0.37,0.48,0.63,0.75,0.87,0.94,1.03,1.08,1.1,1.12,1.11,1.1,1.09,1.09,1.1,1.12,1.17,1.2,1.21,1.2,1.18,1.15,1.11,1.05,0.99,0.9,0.8,0.72,0.62,0.55,0.48,0.42,0.34,0.25,0.18,0.14,0.12,0.08,0.06,0.08,0.13,0.14,0.1,0.05,0.03,0.04,0.04,0.03,0.03,0.04,0.05,0.07,0.12,0.18,0.26,0.31,0.37,0.44,0.52,0.6,0.64,0.63,0.6,0.61,0.63,0.63,0.62,0.65,0.72,0.78,0.8,0.8,0.8,0.81,0.82,0.82,0.82,0.81,0.78,0.74,0.73,0.76,0.81,0.85,0.85,0.86,0.86,0.82,0.77,0.72,0.68,0.65,0.64,0.67,0.7,0.71,0.68,0.64,0.6,0.55,0.53,0.52,0.5,0.44,0.36,0.29,0.23,0.16,0.1,0.02,-0.06,-0.11,-0.12,-0.11,-0.09,-0.05,0.03,0.09,0.16,0.22,0.26,0.27,0.28,0.34,0.47,0.61,0.74,0.86,0.95,0.98,1.05,1.15,1.19,1.13,0.98,0.94,0.94,0.87,0.78,0.73,0.76,0.77,0.81,0.84,0.88,0.85,0.78,0.72,0.62,0.48,0.32,0.16,0.01,-0.09,-0.18,-0.21,-0.24,-0.27,-0.27,-0.27,-0.24,-0.2,-0.17,-0.19,-0.31,-0.53,-0.71,-0.8,-0.78,-0.72,-0.68,-0.68,-0.68,-0.62,-0.57,-0.56,-0.62,-0.69,-0.76,-0.86,-0.93,-0.96,-0.95,-0.93,-0.89,-0.78,-0.63,-0.49,-0.4,-0.35,-0.34,-0.39,-0.53,-0.65,-0.71,-0.79,-0.91,-1.04,-1.11,-1.14,-1.1,-1.04,-0.98,-0.97,-0.97,-0.95,-0.94,-0.98,-1.04,-1.1,-1.17,-1.23,-1.27,-1.29,-1.31,-1.3,-1.29,-1.32,-1.35,-1.34,-1.3,-1.24,-1.16,-0.96,-0.77,-0.63,-0.55,-0.45,-0.34,-0.3,-0.27,-0.23,-0.15,-0.13,-0.14,-0.13,-0.04,0.02,0.06,0.08,0.11,0.11,0.11,0.12,0.16,0.19,0.19,0.21,0.32,0.51,0.68,0.81,0.89,0.92,0.9,0.86,0.84,0.83,0.8,0.77,0.79,0.81,0.81,0.82,0.83,0.83,0.79,0.73,0.65,0.6,0.56,0.54,0.52,0.47,0.41,0.33,0.26,0.14,0.03,-0.07,-0.13,-0.17,-0.23,-0.26,-0.27,-0.21,-0.16,-0.12,-0.15,-0.18,-0.18,-0.17,-0.19,-0.2,-0.22,-0.2,-0.19,-0.22,-0.25,-0.27,-0.3,-0.33,-0.34,-0.34,-0.31,-0.27,-0.18,-0.1,-0.03,0.03,0.08,0.1,0.1,0.11,0.08,0.02,-0.06,-0.12,-0.18,-0.25,-0.32,-0.37,-0.41,-0.44,-0.48,-0.61,-0.72,-0.75,-0.68,-0.56,-0.52,-0.49,-0.45,-0.39,-0.41,-0.47,-0.56,-0.64,-0.7,-0.77,-0.93,-1.08,-1.07,-1.0,-0.83,-0.73,-0.58,-0.44,-0.33,-0.26,-0.27,-0.32,-0.42,-0.45,-0.43,-0.36,-0.25,-0.13,-0.01,0.13,0.24,0.31,0.31,0.31,0.33,0.4,0.44,0.48,0.48,0.48,0.49,0.46,0.42,0.34,0.31,0.32,0.3,0.22,0.15,0.08,0.01,-0.07,-0.11,-0.16,-0.22,-0.24,-0.18,-0.12,-0.08,-0.08,-0.1,-0.13,-0.15,-0.19,-0.25,-0.31,-0.31,-0.22,-0.12,-0.04,0.04,0.15,0.21,0.24,0.3,0.33,0.34,0.28,0.25,0.16,0.07,-0.01,0.0,0.06,0.14,0.18,0.21,0.26,0.29,0.29,0.31,0.36,0.38,0.37,0.31,0.28,0.26,0.29,0.32,0.35,0.4,0.47,0.51,0.51,0.49,0.44,0.42,0.43,0.43,0.38,0.34,0.37,0.43,0.48,0.48,0.49,0.47,0.43,0.38,0.36,0.27,0.15,0.04,0.0,0.0,-0.03,-0.03,-0.02,0.01,-0.03,-0.1,-0.2,-0.34,-0.51,-0.61,-0.68,-0.71,-0.73,-0.76,-0.78,-0.81,-0.84,-0.88,-0.93,-0.96,-0.99,-1.06,-1.17,-1.25,-1.29,-</t>
  </si>
  <si>
    <t>To_Avoid_Formula1.28,-1.21,-1.1,-1.01,-0.99,-0.99,-1.03,-1.04,-1.08,-1.12,-1.15,-1.16,-1.11,-1.01,-0.88,-0.77,-0.65,-0.51,-0.34,-0.22,-0.15,-0.1,-0.03,0.05,0.09,0.1,0.1,0.13,0.14,0.12,0.06,0.06,0.12,0.16,-0.07,-0.37,-0.6,-0.68,-0.68,-0.69,-0.62,-0.51,-0.41,-0.28,-0.15,-0.09,-0.04,-0.01,0.03,0.0,-0.09,-0.16,-0.14,0.03,0.16,0.29,0.42,0.58,0.71,0.75,0.75,0.7,0.57,0.42,0.3,0.21,0.15,0.11,0.12,0.14,0.18,0.23,0.34,0.42,0.47,0.51,0.61,0.77,0.82,0.72,0.57,0.41,0.28,0.2,0.16,0.15,0.14,0.12,0.12,0.1,0.06,-0.01,-0.07,-0.11,-0.19,-0.28,-0.33,-0.3,-0.27,-0.29,-0.28,-0.22,-0.14,-0.1,-0.08,-0.08,-0.11,-0.14,-0.13,-0.08,-0.02,0.04,0.09,0.18,0.24,0.25,0.12,-0.1,-0.3,-0.38,-0.4,-0.41,-0.36,-0.28,-0.18,-0.12,-0.04,0.02,0.01,0.01,0.06,0.15,0.16,0.14,0.17,0.25,0.24,0.11,0.0,-0.06,-0.11,-0.21,-0.3,-0.31,-0.25,-0.19,-0.1,0.0,0.09,0.13,0.16,0.22,0.28,0.34,0.42,0.52,0.59,0.63,0.63,0.67,0.71,0.74,0.78,0.82,0.84,0.79,0.72,0.71,0.75,0.78,0.78,0.76,0.71,0.68,0.7,0.76,0.83,0.86,0.87,0.9,0.95,0.96,0.93,0.97,1.09,1.21,1.25,1.18,1.11,1.05,1.02,0.99,0.96,0.92,0.82,0.72,0.63,0.56,0.52,0.51,0.54,0.54,0.49,0.35,0.22,0.18,0.19,0.2,0.2,0.26,0.38,0.5,0.52,0.47,0.43,0.43,0.39,0.3,0.16,0.01,-0.08,-0.1,0.0,0.04,0.0,-0.11,-0.21,-0.25,-0.21,-0.22,-0.27,-0.28,-0.19,-0.04,0.08,0.22,0.35,0.5,0.67,0.79,0.84,0.88,0.91,0.91,0.87,0.83,0.82,0.82,0.8,0.81,0.84,0.89,0.89,0.92,1.0,1.06,1.05,0.97,0.87,0.7,0.52,0.41,0.41,0.42,0.25,0.09,0.09,0.16,0.22,0.19,0.12,0.07,0.03,-0.1,-0.27,-0.37,-0.31,-0.19,-0.12,-0.03,0.04,0.1,0.12,0.08,0.02,-0.07,-0.1,-0.1,-0.07,-0.05,-0.01,0.04,0.07,0.1,0.12,0.12,0.07,0.0,-0.07,-0.15,-0.21,-0.22,-0.23,-0.31,-0.41,-0.47,-0.52,-0.6,-0.71,-0.81,-0.9,-1.01,-1.17,-1.3,</t>
  </si>
  <si>
    <t>To_Avoid_Formula0.14,0.27,0.43,0.56,0.64,0.69,0.72,0.76,0.75,0.76,0.76,0.76,0.78,0.8,0.87,0.96,1.06,1.11,1.12,1.11,1.06,1.0,0.9,0.84,0.81,0.79,0.84,0.89,1.0,1.06,1.09,1.1,1.05,0.99,0.91,0.85,0.77,0.68,0.57,0.49,0.45,0.42,0.42,0.41,0.37,0.3,0.22,0.14,0.04,-0.1,-0.22,-0.3,-0.37,-0.45,-0.52,-0.56,-0.58,-0.61,-0.68,-0.77,-0.82,-0.86,-0.88,-0.86,-0.82,-0.74,-0.66,-0.55,-0.47,-0.45,-0.46,-0.48,-0.49,-0.48,-0.48,-0.42,-0.35,-0.24,-0.14,0.0,0.08,0.18,0.25,0.28,0.3,0.3,0.32,0.33,0.31,0.28,0.26,0.24,0.23,0.27,0.3,0.3,0.28,0.23,0.17,0.03,-0.08,-0.22,-0.31,-0.38,-0.42,-0.42,-0.43,-0.4,-0.37,-0.28,-0.2,-0.13,-0.1,-0.12,-0.17,-0.26,-0.35,-0.41,-0.41,-0.34,-0.26,-0.21,-0.18,-0.18,-0.18,-0.18,-0.18,-0.18,-0.19,-0.19,-0.17,-0.16,-0.15,-0.17,-0.17,-0.14,-0.1,-0.04,-0.02,0.0,0.01,0.04,0.07,0.08,0.08,0.07,0.06,0.01,-0.03,-0.06,-0.07,-0.08,-0.13,-0.15,-0.13,-0.04,0.02,0.07,0.1,0.15,0.17,0.13,0.05,-0.06,-0.13,-0.18,-0.21,-0.22,-0.24,-0.19,-0.13,-0.03,0.02,0.01,0.01,-0.07,-0.14,-0.32,-0.44,-0.56,-0.62,-0.67,-0.68,-0.6,-0.5,-0.29,-0.13,0.1,0.3,0.51,0.66,0.76,0.82,0.85,0.9,0.91,0.93,0.91,0.89,0.89,0.9,0.93,0.9,0.9,0.91,0.91,0.87,0.7,0.53,0.31,0.14,-0.07,-0.22,-0.31,-0.35,-0.33,-0.31,-0.28,-0.28,-0.28,-0.3,-0.35,-0.44,-0.54,-0.58,-0.56,-0.53,-0.48,-0.4,-0.27,-0.18,-0.13,-0.1,-0.1,-0.11,-0.14,-0.15,-0.15,-0.13,-0.09,-0.05,-0.04,-0.05,-0.04,-0.03,-0.03,-0.05,-0.07,-0.07,-0.07,-0.07,-0.07,-0.06,-0.02,0.03,0.09,0.15,0.2,0.25,0.28,0.32,0.37,0.41,0.42,0.44,0.52,0.64,0.73,0.8,0.83,0.87,0.88,0.85,0.82,0.77,0.71,0.65,0.61,0.58,0.56,0.57,0.56,0.53,0.47,0.41,0.35,0.28,0.2,0.1,0.0,-0.12,-0.21,-0.32,-0.39,-0.46,-0.5,-0.57,-0.65,-0.71,-0.72,-0.72,-0.74,-0.73,-0.7,-0.62,-0.59,-0.61,-0.63,-0.63,-0.6,-0.57,-0.55,-0.53,-0.5,-0.47,-0.43,-0.36,-0.28,-0.19,-0.13,-0.06,0.01,0.1,0.17,0.2,0.19,0.15,0.16,0.18,0.17,0.16,0.17,0.24,0.29,0.3,0.29,0.28,0.28,0.27,0.27,0.26,0.23,0.2,0.15,0.13,0.16,0.2,0.23,0.22,0.22,0.21,0.16,0.11,0.05,0.01,-0.02,-0.03,0.01,0.04,0.04,0.01,-0.02,-0.06,-0.11,-0.13,-0.13,-0.14,-0.19,-0.25,-0.31,-0.35,-0.39,-0.44,-0.49,-0.53,-0.55,-0.54,-0.49,-0.44,-0.37,-0.27,-0.19,-0.1,-0.03,0.02,0.04,0.06,0.12,0.25,0.39,0.51,0.61,0.67,0.68,0.72,0.8,0.8,0.71,0.54,0.48,0.45,0.37,0.26,0.2,0.23,0.23,0.26,0.28,0.3,0.25,0.17,0.11,0.0,-0.13,-0.29,-0.43,-0.55,-0.63,-0.68,-0.69,-0.67,-0.67,-0.64,-0.6,-0.54,-0.47,-0.41,-0.41,-0.5,-0.68,-0.81,-0.85,-0.79,-0.68,-0.6,-0.56,-0.52,-0.42,-0.34,-0.3,-0.33,-0.37,-0.4,-0.47,-0.5,-0.48,-0.44,-0.38,-0.3,-0.16,0.01,0.17,0.26,0.32,0.33,0.29,0.15,0.04,0.0,-0.06,-0.16,-0.26,-0.31,-0.3,-0.23,-0.15,-0.07,-0.04,-0.01,0.02,0.05,0.03,-0.02,-0.06,-0.11,-0.16,-0.16,-0.17,-0.17,-0.13,-0.1,-0.11,-0.12,-0.09,-0.03,0.04,0.14,0.33,0.52,0.65,0.7,0.78,0.86,0.87,0.86,0.87,0.91,0.89,0.84,0.82,0.86,0.89,0.88,0.86,0.84,0.8,0.75,0.72,0.71,0.7,0.65,0.63,0.69,0.83,0.95,1.01,1.02,0.99,0.9,0.79,0.71,0.65,0.57,0.48,0.45,0.42,0.38,0.34,0.31,0.26,0.18,0.08,-0.02,-0.1,-0.17,-0.21,-0.25,-0.32,-0.39,-0.48,-0.55,-0.68,-0.78,-0.87,-0.9,-0.93,-0.97,-0.97,-0.96,-0.88,-0.8,-0.75,-0.75,-0.76,-0.75,-0.71,-0.71,-0.7,-0.69,-0.65,-0.62,-0.63,-0.64,-0.63,-0.64,-0.64,-0.62,-0.6,-0.54,-0.47,-0.36,-0.27,-0.19,-0.11,-0.06,-0.03,-0.02,-0.01,-0.04,-0.09,-0.15,-0.21,-0.25,-0.29,-0.34,-0.37,-0.39,-0.39,-0.41,-0.5,-0.57,-0.57,-0.46,-0.31,-0.25,-0.19,-0.13,-0.05,-0.06,-0.09,-0.16,-0.22,-0.26,-0.3,-0.42,-0.54,-0.48,-0.37,-0.17,-0.05,0.12,0.27,0.38,0.45,0.43,0.38,0.29,0.26,0.28,0.35,0.45,0.56,0.67,0.79,0.87,0.91,0.88,0.85,0.83,0.86,0.87,0.88,0.84,0.8,0.78,0.71,0.63,0.53,0.47,0.45,0.41,0.31,0.23,0.14,0.05,-0.03,-0.07,-0.13,-0.18,-0.2,-0.14,-0.08,-0.05,-0.04,-0.07,-0.1,-0.13,-0.16,-0.22,-0.27,-0.27,-0.17,-0.07,0.0,0.08,0.17,0.22,0.24,0.28,0.29,0.27,0.2,0.15,0.05,-0.05,-0.13,-0.12,-0.07,0.0,0.04,0.06,0.09,0.11,0.1,0.1,0.14,0.15,0.12,0.05,0.01,-0.02,0.0,0.02,0.05,0.08,0.13,0.16,0.14,0.11,0.05,0.02,0.02,0.01,-0.05,-0.1,-0.07,-0.02,0.02,0.02,0.01,-0.01,-0.06,-0.11,-0.14,-0.22,-0.34,-0.43,-0.47,-0.44,-0.46,-0.45,-0.42,-0.38,-0.39,-0.44,-</t>
  </si>
  <si>
    <t>To_Avoid_Formula0.52,-0.64,-0.77,-0.84,-0.86,-0.85,-0.83,-0.81,-0.79,-0.78,-0.76,-0.76,-0.76,-0.75,-0.73,-0.75,-0.81,-0.84,-0.82,-0.75,-0.63,-0.49,-0.35,-0.3,-0.27,-0.27,-0.25,-0.25,-0.26,-0.25,-0.23,-0.15,-0.03,0.12,0.25,0.38,0.52,0.68,0.78,0.83,0.86,0.91,0.95,0.97,0.95,0.92,0.91,0.89,0.84,0.75,0.72,0.76,0.76,0.5,0.19,-0.04,-0.11,-0.11,-0.11,-0.03,0.07,0.17,0.29,0.4,0.44,0.48,0.48,0.5,0.44,0.33,0.24,0.25,0.39,0.49,0.59,0.69,0.81,0.89,0.88,0.82,0.73,0.55,0.37,0.21,0.1,0.03,-0.03,-0.03,-0.03,0.0,0.03,0.12,0.18,0.21,0.22,0.29,0.41,0.43,0.29,0.11,-0.07,-0.21,-0.3,-0.34,-0.36,-0.36,-0.38,-0.38,-0.39,-0.44,-0.5,-0.54,-0.57,-0.64,-0.71,-0.73,-0.68,-0.64,-0.63,-0.6,-0.53,-0.43,-0.37,-0.34,-0.33,-0.35,-0.37,-0.34,-0.28,-0.21,-0.15,-0.09,0.0,0.06,0.06,-0.06,-0.28,-0.46,-0.52,-0.52,-0.5,-0.42,-0.32,-0.21,-0.13,-0.04,0.02,0.01,0.01,0.07,0.16,0.16,0.14,0.17,0.25,0.22,0.09,-0.01,-0.06,-0.11,-0.2,-0.27,-0.26,-0.19,-0.12,-0.01,0.09,0.18,0.22,0.24,0.29,0.34,0.39,0.46,0.54,0.58,0.6,0.57,0.59,0.61,0.61,0.62,0.63,0.62,0.53,0.44,0.41,0.42,0.42,0.4,0.36,0.29,0.24,0.24,0.29,0.34,0.34,0.32,0.34,0.36,0.35,0.3,0.31,0.4,0.49,0.49,0.39,0.3,0.22,0.16,0.12,0.07,0.02,-0.09,-0.2,-0.29,-0.35,-0.39,-0.39,-0.35,-0.34,-0.39,-0.51,-0.62,-0.65,-0.61,-0.57,-0.55,-0.47,-0.33,-0.21,-0.18,-0.22,-0.25,-0.24,-0.26,-0.34,-0.46,-0.58,-0.65,-0.64,-0.51,-0.43,-0.45,-0.53,-0.6,-0.6,-0.53,-0.5,-0.52,-0.49,-0.37,-0.2,-0.07,0.09,0.22,0.37,0.54,0.63,0.67,0.68,0.69,0.67,0.6,0.54,0.52,0.5,0.46,0.45,0.47,0.5,0.48,0.5,0.55,0.58,0.55,0.45,0.33,0.15,-0.04,-0.14,-0.13,-0.12,-0.27,-0.42,-0.4,-0.31,-0.24,-0.25,-0.31,-0.34,-0.36,-0.46,-0.6,-0.67,-0.58,-0.43,-0.34,-0.22,-0.13,-0.06,-0.04,-0.06,-0.11,-0.18,-0.2,-0.18,-0.14,-0.1,-0.05,0.01,0.05,0.09,0.11,0.11,0.06,0.0,-0.05,-0.12,-0.17,-0.16,-0.16,-0.22,-0.3,-0.34,-0.36,-0.41,-0.49,-0.55,-0.61,-0.67,-0.79,-0.87,</t>
  </si>
  <si>
    <t>To_Avoid_Formula1.78,1.79,1.8,1.8,1.81,1.81,1.82,1.83,1.83,1.84,1.85,1.85,1.86,1.87,1.87,1.88,1.88,1.89,1.9,1.9,1.91,1.91,1.92,1.92,1.93,1.93,1.94,1.94,1.95,1.95,1.96,1.96,1.97,1.97,1.97,1.98,1.98,1.98,1.99,1.99,2.0,2.0,2.0,2.01,2.01,2.01,2.01,2.02,2.02,2.02,2.02,2.03,2.03,2.03,2.03,2.03,2.03,2.04,2.04,2.04,2.04,2.04,2.04,2.04,2.04,2.04,2.04,2.04,2.04,2.04,2.04,2.04,2.04,2.03,2.03,2.03,2.03,2.03,2.03,2.02,2.02,2.02,2.02,2.01,2.01,2.01,2.01,2.0,2.0,2.0,1.99,1.99,1.99,1.98,1.98,1.98,1.97,1.97,1.97,1.96,1.96,1.95,1.95,1.95,1.94,1.94,1.93,1.93,1.93,1.92,1.92,1.91,1.91,1.91,1.9,1.9,1.89,1.89,1.88,1.88,1.88,1.87,1.87,1.87,1.86,1.86,1.85,1.85,1.85,1.84,1.84,1.84,1.84,1.83,1.83,1.83,1.83,1.82,1.82,1.82,1.82,1.82,1.82,1.81,1.81,1.81,1.81,1.81,1.81,1.81,1.81,1.81,1.81,1.81,1.81,1.81,1.81,1.82,1.82,1.82,1.82,1.82,1.83,1.83,1.83,1.83,1.84,1.84,1.85,1.85,1.85,1.86,1.86,1.87,1.88,1.88,1.89,1.89,1.9,1.91,1.91,1.92,1.93,1.93,1.94,1.95,1.96,1.97,1.97,1.98,1.99,2.0,2.01,2.02,2.03,2.04,2.05,2.06,2.07,2.09,2.1,2.11,2.12,2.13,2.15,2.16,2.17,2.19,2.2,2.21,2.23,2.24,2.26,2.27,2.29,2.3,2.32,2.34,2.35,2.37,2.39,2.4,2.42,2.44,2.46,2.48,2.49,2.51,2.53,2.55,2.57,2.59,2.61,2.63,2.66,2.68,2.7,2.72,2.74,2.77,2.79,2.81,2.84,2.86,2.88,2.91,2.93,2.96,2.98,3.01,3.04,3.06,3.09,3.12,3.14,3.17,3.2,3.23,3.25,3.28,3.31,3.34,3.37,3.4,3.43,3.46,3.49,3.52,3.56,3.59,3.62,3.65,3.68,3.72,3.75,3.78,3.82,3.85,3.89,3.92,3.96,3.99,4.03,4.07,4.1,4.14,4.18,4.22,4.26,4.29,4.33,4.37,4.41,4.45,4.5,4.54,4.58,4.62,4.66,4.71,4.75,4.79,4.84,4.88,4.93,4.97,5.02,5.06,5.11,5.16,5.21,5.25,5.3,5.35,5.4,5.45,5.5,5.55,5.6,5.65,5.7,5.75,5.81,5.86,5.91,5.97,6.02,6.07,6.13,6.18,6.24,6.3,6.35,6.41,6.46,6.52,6.58,6.64,6.69,6.75,6.81,6.87,6.93,6.99,7.05,7.11,7.17,7.23,7.29,7.35,7.41,7.47,7.53,7.59,7.65,7.72,7.78,7.84,7.9,7.97,8.03,8.09,8.16,8.22,8.28,8.35,8.41,8.48,8.54,8.61,8.67,8.74,8.8,8.87,8.93,9.0,9.07,9.13,9.2,9.27,9.33,9.4,9.47,9.54,9.6,9.67,9.74,9.81,9.88,9.95,10.01,10.08,10.15,10.22,10.29,10.36,10.43,10.5,10.57,10.65,10.72,10.79,10.86,10.93,11.0,11.08,11.15,11.22,11.29,11.37,11.44,11.51,11.59,11.66,11.74,11.81,11.88,11.96,12.03,12.11,12.18,12.26,12.33,12.41,12.48,12.56,12.63,12.71,12.79,12.86,12.94,13.02,13.09,13.17,13.25,13.32,13.4,13.48,13.55,13.63,13.71,13.79,13.86,13.94,14.02,14.1,14.18,14.25,14.33,14.41,14.49,14.57,14.65,14.72,14.8,14.88,14.96,15.04,15.12,15.2,15.28,15.36,15.43,15.51,15.59,15.67,15.75,15.83,15.91,15.99,16.07,16.15,16.22,16.3,16.38,16.46,16.54,16.62,16.7,16.77,16.85,16.93,17.01,17.09,17.16,17.24,17.32,17.4,17.47,17.55,17.63,17.7,17.78,17.85,17.93,18.01,18.08,18.16,18.23,18.3,18.38,18.45,18.53,18.6,18.67,18.75,18.82,18.89,18.97,19.04,19.11,19.18,19.25,19.32,19.4,19.47,19.54,19.61,19.68,19.75,19.82,19.89,19.96,20.03,20.1,20.16,20.23,20.3,20.37,20.43,20.5,20.57,20.63,20.7,20.77,20.83,20.9,20.96,21.03,21.09,21.15,21.22,21.28,21.34,21.4,21.46,21.53,21.59,21.65,21.71,21.77,21.83,21.89,21.95,22.0,22.06,22.12,22.18,22.23,22.29,22.35,22.4,22.46,22.51,22.57,22.62,22.68,22.73,22.79,22.84,22.89,22.95,23.0,23.05,23.1,23.16,23.21,23.26,23.31,23.36,23.41,23.46,23.51,23.56,23.61,23.66,23.71,23.76,23.81,23.86,23.91,23.96,24.0,24.05,24.1,24.15,24.2,24.24,24.29,24.34,24.38,24.43,24.48,24.53,24.57,24.62,24.67,24.71,24.76,24.8,24.85,24.9,24.94,24.99,25.04,25.08,25.13,25.17,25.22,25.26,25.31,25.35,25.4,25.44,25.49,25.53,25.58,25.62,25.67,25.71,25.76,25.8,25.84,25.89,25.93,25.97,26.02,26.06,26.1,26.15,26.19,26.23,26.27,26.32,26.36,26.4,26.44,26.48,26.52,26.56,26.61,26.65,26.69,26.73,26.77,26.81,26.85,26.88,26.92,26.96,27.0,27.04,27.08,27.11,27.15,27.19,27.23,27.26,27.3,27.34,27.37,27.41,27.44,27.48,27.51,27.55,27.58,27.62,27.65,27.68,27.72,27.75,27.78,27.82,27.85,27.88,27.91,27.95,27.98,28.01,28.04,28.07,28.1,28.14,28.17,28.2,28.23,28.26,28.29,28.32,28.35,28.38,28.41,28.44,28.47,28.49,28.52,28.55,28.58,28.61,28.64,28.67,28.7,28.72,28.75,28.78,28.81,28.84,28.86,28.89,28.92,28.95,28.97,29.0,29.03,29.05,29.08,29.11,29.13,29.16,29.</t>
  </si>
  <si>
    <t>To_Avoid_Formula19,29.21,29.24,29.27,29.29,29.32,29.35,29.37,29.4,29.42,29.45,29.48,29.5,29.53,29.56,29.58,29.61,29.63,29.66,29.69,29.71,29.74,29.76,29.79,29.81,29.84,29.87,29.89,29.92,29.94,29.97,29.99,30.02,30.05,30.07,30.1,30.12,30.15,30.17,30.2,30.22,30.25,30.27,30.3,30.33,30.35,30.38,30.4,30.43,30.45,30.48,30.5,30.53,30.55,30.58,30.6,30.63,30.65,30.68,30.7,30.73,30.75,30.78,30.8,30.83,30.86,30.88,30.91,30.93,30.96,30.99,31.01,31.04,31.06,31.09,31.12,31.14,31.17,31.2,31.22,31.25,31.28,31.31,31.33,31.36,31.39,31.42,31.44,31.47,31.5,31.53,31.56,31.59,31.62,31.65,31.67,31.7,31.73,31.76,31.79,31.82,31.85,31.88,31.91,31.94,31.98,32.01,32.04,32.07,32.1,32.13,32.16,32.19,32.23,32.26,32.29,32.32,32.35,32.39,32.42,32.45,32.48,32.52,32.55,32.58,32.62,32.65,32.68,32.72,32.75,32.78,32.82,32.85,32.89,32.92,32.96,32.99,33.03,33.06,33.1,33.13,33.17,33.2,33.24,33.28,33.32,33.35,33.39,33.43,33.47,33.51,33.54,33.58,33.62,33.66,33.7,33.74,33.79,33.83,33.87,33.91,33.95,34.0,34.04,34.08,34.13,34.17,34.22,34.26,34.31,34.35,34.4,34.45,34.49,34.54,34.59,34.63,34.68,34.73,34.78,34.83,34.88,34.93,34.98,35.03,35.08,35.13,35.18,35.24,35.29,35.34,35.39,35.45,35.5,35.55,35.61,35.66,35.72,35.77,35.83,35.89,35.94,36.0,36.06,36.11,36.17,36.23,36.29,36.34,36.4,36.46,36.52,36.58,36.64,36.7,36.76,36.82,36.88,36.94,37.0,37.06,37.12,37.18,37.24,37.3,37.36,37.42,37.48,37.55,37.61,37.67,37.73,37.79,37.85,37.92,37.98,38.04,38.1,38.17,38.23,38.29,38.36,38.42,38.48,38.55,38.61,38.67,38.74,38.8,38.87,38.93,38.99,39.06,39.12,39.19,39.26,39.32,39.39,39.45,39.52,39.59,39.65,39.72,39.79,39.85,39.92,39.99,40.05,40.12,40.19,40.26,40.33,40.4,40.46,40.53,40.6,40.67,40.74,40.81,40.88,40.95,41.02,41.09,41.15,41.22,41.29,41.36,41.43,41.5,41.57,41.64,41.71,41.78,41.85,41.92,41.99,42.06,42.13,42.2,42.27,42.34,42.41,42.48,42.55,42.62,42.69,42.76,42.83,42.91,42.98,43.05,43.12,43.19,43.26,43.33,43.4,43.48,43.55,43.62,43.69,43.76,43.83,43.91,43.98,44.05,44.12,44.19,44.26,</t>
  </si>
  <si>
    <t>To_Avoid_Formula3.59,3.59,3.58,3.49,3.37,3.33,3.4,3.56,3.74,3.92,4.05,4.15,4.25,4.26,4.15,3.9,3.74,3.67,3.69,3.88,4.17,4.47,4.67,4.89,5.19,5.62,6.07,6.43,6.61,6.64,6.72,6.81,6.85,6.78,6.77,6.85,6.92,6.88,6.76,6.62,6.59,6.71,6.88,7.02,7.11,7.22,7.37,7.48,7.51,7.48,7.46,7.43,7.29,7.04,6.83,6.72,6.71,6.78,6.97,7.32,7.71,8.14,8.52,8.8,8.99,9.11,9.2,9.29,9.41,9.52,9.61,9.66,9.69,9.76,9.9,10.07,10.14,10.07,9.88,9.72,9.54,9.3,8.99,8.76,8.71,8.81,9.05,9.28,9.53,9.75,10.03,10.3,10.54,10.71,10.86,11.0,11.11,11.22,11.36,11.54,11.75,11.92,12.01,12.1,12.23,12.38,12.47,12.54,12.63,12.74,12.79,12.78,12.75,12.76,12.78,12.76,12.63,12.51,12.5,12.6,12.78,12.93,13.06,13.2,13.35,13.53,13.66,13.7,13.6,13.51,13.43,13.37,13.3,13.28,13.38,13.58,13.87,14.16,14.48,14.78,15.02,15.21,15.37,15.55,15.73,15.87,15.96,16.07,16.25,16.46,16.61,16.72,16.8,16.87,16.73,16.43,15.87,15.29,14.61,13.97,13.35,12.83,12.52,12.41,12.61,12.87,13.23,13.57,14.03,14.51,15.01,15.44,15.68,15.78,15.79,15.85,15.9,15.96,16.07,16.2,16.38,16.61,16.9,17.2,17.47,17.71,17.87,17.93,17.86,17.69,17.34,16.94,16.65,16.59,16.73,16.88,17.02,17.09,17.13,17.23,17.46,17.67,17.8,17.9,18.07,18.28,18.46,18.65,18.92,19.17,19.32,19.42,19.46,19.45,19.33,19.2,19.05,18.97,18.92,18.91,18.92,18.94,19.0,19.11,19.27,19.42,19.49,19.5,19.51,19.56,19.69,19.87,20.08,20.21,20.25,20.29,20.34,20.37,20.28,20.16,20.09,20.09,20.09,20.08,20.13,20.26,20.46,20.77,21.2,21.68,22.11,22.37,22.51,22.56,22.54,22.43,22.22,22.06,21.98,21.97,21.97,21.94,21.94,22.06,22.3,22.61,22.86,23.02,23.13,23.27,23.47,23.67,23.8,23.82,23.8,23.76,23.66,23.49,23.36,23.36,23.46,23.61,23.73,23.88,24.06,24.3,24.54,24.77,24.98,25.16,25.26,25.27,25.24,25.19,25.17,25.2,25.25,25.37,25.54,25.7,25.79,25.84,25.94,26.13,26.34,26.46,26.44,26.34,26.33,26.4,26.51,26.59,26.63,26.67,26.76,26.88,26.98,27.06,27.16,27.32,27.49,27.63,27.71,27.8,27.95,28.18,28.44,28.7,28.96,29.21,29.37,29.43,29.42,29.39,29.32,29.22,29.19,29.27,29.46,29.67,29.8,29.78,29.72,29.75,29.86,29.94,29.86,29.7,29.59,29.59,29.64,29.65,29.63,29.63,29.67,29.7,29.67,29.63,29.65,29.73,29.88,30.0,30.04,30.02,29.99,29.98,29.97,29.98,30.04,30.15,30.3,30.45,30.65,30.84,31.0,31.05,30.98,30.85,30.72,30.59,30.4,30.19,30.04,30.1,30.27,30.49,30.67,30.85,31.08,31.39,31.68,31.89,32.0,32.06,32.15,32.2,32.1,31.91,31.83,31.93,32.09,32.27,32.41,32.59,32.79,33.05,33.34,33.63,33.85,33.98,34.1,34.22,34.35,34.39,34.35,34.3,34.27,34.32,34.5,34.78,35.0,35.16,35.3,35.46,35.59,35.57,35.44,35.36,35.33,35.26,35.05,34.77,34.45,34.14,33.83,33.57,33.33,33.08,32.97,33.07,33.35,33.52,33.72,34.08,34.51,34.78,34.81,34.85,35.01,35.19,35.2,35.15,35.27,35.64,35.93,36.04,36.11,36.17,36.23,36.27,36.37,36.45,36.43,36.43,36.57,36.76,36.88,37.02,37.2,37.38,37.56,37.85,38.18,38.3,38.19,37.94,37.75,37.66,37.58,37.4,37.03,36.77,36.81,36.93,36.86,36.68,36.58,36.63,36.77,36.92,37.09,37.19,37.32,37.56,37.88,38.11,38.25,38.41,38.66,38.89,39.07,39.31,39.64,39.96,40.15,40.3,40.5,40.88,41.27,41.62,41.85,42.05,42.22,42.34,42.44,42.59,42.79,42.97,43.05,43.0,42.92,42.84,42.77,42.59,42.29,41.91,41.71,41.67,41.7,41.77,41.89,42.04,42.14,42.13,42.04,41.97,41.99,42.14,42.26,42.25,42.12,42.12,42.28,42.49,42.72,42.96,43.28,43.67,44.13,44.56,44.98,45.37,45.73,46.08,46.34,46.56,46.76,46.96,47.1,47.16,47.18,47.26,47.4,47.62,47.89,48.19,48.46,48.71,48.92,48.97,48.87,48.62,48.44,48.31,48.25,48.27,48.34,48.4,48.33,48.17,47.97,47.77,47.49,47.19,46.9,46.76,46.89,47.29,48.01,48.73,49.36,49.85,50.2,50.45,50.45,50.31,50.15,50.07,49.93,49.66,49.39,49.27,49.29,49.39,49.54,49.75,49.95,50.12,50.32,50.62,50.93,51.29,51.68,52.11,52.52,52.9,53.29,53.54,53.55,53.4,53.2,53.03,52.89,52.76,52.62,52.51,52.43,52.37,52.34,52.31,52.28,52.29,52.41,52.58,52.67,52.61,52.54,52.56,52.67,52.83,52.97,53.06,53.1,53.07,53.1,53.2,53.3,53.32,53.3,53.23,53.12,52.97,52.85,52.75,52.71,52.76,52.9,53.08,53.27,53.47,53.72,54.02,54.36,54.67,54.92,55.1,55.18,55.25,55.29,55.27,55.15,54.99,54.86,54.77,54.73,54.74,54.75,54.73,54.71,54.7,54</t>
  </si>
  <si>
    <t>To_Avoid_Formula.66,54.49,54.29,54.17,54.11,54.08,54.09,54.27,54.52,54.75,54.89,55.05,55.28,55.46,55.5,55.49,55.5,55.56,55.67,55.85,56.13,56.45,56.75,56.93,57.02,57.05,57.0,56.91,56.85,56.81,56.77,56.73,56.73,56.74,56.66,56.61,56.77,57.09,57.31,57.4,57.47,57.62,57.72,57.73,57.72,57.72,57.7,57.67,57.62,57.49,57.24,56.97,56.77,56.61,56.38,56.12,55.98,56.0,56.17,56.38,56.63,56.85,56.93,56.9,56.98,57.24,57.53,57.84,58.13,58.46,58.79,59.12,59.45,59.74,59.96,60.16,60.43,60.64,60.69,60.64,60.62,60.72,60.92,61.19,61.63,62.27,63.09,63.67,63.95,64.01,64.04,64.16,64.14,63.84,63.5,63.33,63.22,63.19,63.26,63.45,63.6,63.71,63.83,63.9,63.78,63.57,63.4,63.18,62.82,62.45,62.25,62.27,62.42,62.59,62.88,63.24,63.62,63.92,64.16,64.42,64.68,64.94,65.16,65.41,65.59,65.68,65.77,65.93,66.12,66.24,66.36,66.53,66.74,66.87,66.95,67.07,67.18,67.22,67.17,67.15,67.19,67.21,67.14,67.04,66.94,66.83,66.69,66.59,66.56,66.53,66.55,66.69,66.87,66.99,67.06,67.21,67.5,67.76,67.92,68.06,68.25,68.43,68.53,68.56,68.58,68.62,68.65,68.7,68.82,69.03,69.29,69.52,69.68,69.82,69.91,69.91,69.89,69.93,70.0,70.02,70.05,70.11,70.13,70.02,69.85,69.71,69.63,69.53,69.36,69.21,69.13,69.13,69.11,69.13,69.22,69.29,69.27,69.29,69.42,69.64,69.93,70.3,70.67,70.95,71.12,71.31,71.6,71.87,72.01,72.09,72.22,72.32,72.32,72.26,72.28,72.41,72.5,72.51,72.48,72.45,72.42,72.45,72.61,72.81,73.01,73.19,73.4,73.56,73.65,73.71,73.75,73.66,73.48,73.33,73.27,73.15,72.88,72.52,72.4,72.55,72.82,73.15,73.47,73.75,73.98,74.25,74.56,74.78,74.88,75.01,75.25,75.45,75.43,75.26,75.11,75.06,75.04,74.96,74.86,74.79,74.76,74.76,74.86,75.09,75.33,75.55,75.77,76.04,76.34,76.65,76.91,77.03,76.98,76.88,76.75,76.61,76.43,76.24,76.17,76.26,76.43,76.61,76.72,76.76,76.81,76.79,76.68,76.49,76.4,76.55,76.83,76.99,77.08,77.24,77.46,77.7,78.01,78.33,78.55,78.69,78.77,78.76,78.63,78.45,78.32,78.22,78.03,77.73,77.49,77.4,77.41,77.5,77.62,77.76,77.87,77.98,78.11,78.31,78.44,78.57,78.83,79.19,79.45,79.63,79.88,80.37,80.84,81.23,81.59,82.02,82.44,82.7,82.82,82.95,83.17,83.33,83.38,83.35,83.35,83.31,83.19,83.07,83.02,82.97,82.87,82.78,82.72,82.64,82.54,82.5,82.54,82.54,82.46,82.37,82.35,82.3,82.16,82.03,82.0,82.06,82.13,82.15,82.16,82.25,82.44,82.62,82.74,82.86,83.0,83.13,83.21,83.31,83.45,83.63,83.76,83.87,83.96,84.03,</t>
  </si>
  <si>
    <t>To_Avoid_Formula0.63,0.64,0.64,0.65,0.66,0.66,0.67,0.68,0.69,0.69,0.7,0.71,0.71,0.72,0.72,0.72,0.73,0.73,0.74,0.74,0.75,0.75,0.76,0.77,0.77,0.78,0.79,0.8,0.8,0.81,0.82,0.82,0.83,0.84,0.84,0.85,0.86,0.86,0.87,0.88,0.89,0.9,0.91,0.92,0.93,0.94,0.95,0.97,0.98,0.99,1.01,1.02,1.04,1.05,1.07,1.08,1.1,1.11,1.13,1.14,1.16,1.17,1.19,1.2,1.21,1.23,1.24,1.25,1.27,1.28,1.29,1.3,1.31,1.32,1.33,1.34,1.35,1.36,1.37,1.38,1.39,1.4,1.41,1.42,1.42,1.43,1.44,1.45,1.45,1.46,1.46,1.47,1.47,1.47,1.47,1.47,1.47,1.47,1.46,1.46,1.46,1.45,1.45,1.45,1.44,1.44,1.44,1.44,1.43,1.43,1.44,1.44,1.44,1.44,1.45,1.45,1.46,1.47,1.47,1.48,1.49,1.5,1.51,1.52,1.53,1.54,1.56,1.57,1.58,1.59,1.6,1.62,1.63,1.64,1.66,1.67,1.69,1.7,1.72,1.73,1.75,1.77,1.78,1.8,1.82,1.84,1.86,1.87,1.89,1.91,1.93,1.95,1.97,1.99,2.01,2.03,2.05,2.07,2.08,2.1,2.11,2.13,2.14,2.15,2.16,2.17,2.18,2.19,2.2,2.21,2.22,2.23,2.24,2.25,2.25,2.26,2.27,2.27,2.28,2.29,2.29,2.3,2.31,2.32,2.33,2.33,2.34,2.35,2.36,2.37,2.38,2.39,2.4,2.42,2.43,2.44,2.45,2.47,2.48,2.5,2.51,2.53,2.54,2.56,2.57,2.59,2.6,2.62,2.63,2.65,2.67,2.68,2.7,2.72,2.74,2.76,2.78,2.8,2.82,2.84,2.86,2.88,2.9,2.92,2.94,2.95,2.97,2.99,3.01,3.03,3.05,3.07,3.09,3.11,3.14,3.16,3.18,3.2,3.22,3.23,3.25,3.27,3.29,3.31,3.33,3.35,3.37,3.39,3.4,3.42,3.43,3.45,3.47,3.48,3.5,3.51,3.53,3.55,3.57,3.58,3.6,3.62,3.64,3.65,3.67,3.69,3.71,3.72,3.74,3.76,3.77,3.79,3.81,3.83,3.85,3.88,3.9,3.92,3.94,3.96,3.97,3.99,4.0,4.02,4.03,4.05,4.06,4.07,4.09,4.11,4.12,4.14,4.15,4.16,4.18,4.19,4.21,4.22,4.24,4.25,4.27,4.29,4.3,4.32,4.34,4.36,4.38,4.4,4.41,4.43,4.44,4.46,4.47,4.48,4.49,4.5,4.52,4.53,4.54,4.55,4.56,4.57,4.58,4.59,4.6,4.6,4.61,4.61,4.62,4.63,4.64,4.64,4.65,4.66,4.67,4.68,4.69,4.7,4.71,4.71,4.72,4.73,4.74,4.75,4.76,4.78,4.79,4.8,4.81,4.82,4.83,4.84,4.85,4.85,4.86,4.87,4.88,4.89,4.9,4.91,4.92,4.94,4.95,4.97,4.99,5.0,5.02,5.04,5.06,5.08,5.1,5.12,5.14,5.16,5.18,5.21,5.23,5.26,5.28,5.31,5.34,5.36,5.39,5.41,5.44,5.47,5.5,5.52,5.55,5.57,5.6,5.62,5.64,5.66,5.68,5.7,5.72,5.74,5.76,5.77,5.79,5.81,5.83,5.84,5.86,5.88,5.9,5.91,5.93,5.94,5.96,5.97,5.99,6.0,6.01,6.02,6.02,6.03,6.04,6.05,6.06,6.06,6.07,6.08,6.09,6.1,6.11,6.12,6.12,6.13,6.14,6.14,6.15,6.16,6.16,6.17,6.17,6.18,6.18,6.19,6.19,6.2,6.21,6.21,6.22,6.23,6.24,6.25,6.26,6.26,6.27,6.28,6.29,6.3,6.31,6.31,6.32,6.33,6.34,6.34,6.35,6.36,6.37,6.38,6.39,6.4,6.41,6.42,6.44,6.45,6.46,6.47,6.48,6.49,6.49,6.5,6.51,6.52,6.53,6.53,6.54,6.55,6.56,6.58,6.59,6.6,6.61,6.63,6.64,6.65,6.67,6.69,6.7,6.72,6.73,6.75,6.77,6.79,6.8,6.82,6.84,6.86,6.87,6.89,6.91,6.93,6.95,6.97,7.0,7.02,7.04,7.06,7.08,7.1,7.12,7.14,7.16,7.18,7.21,7.23,7.25,7.27,7.29,7.31,7.33,7.35,7.37,7.39,7.41,7.43,7.45,7.47,7.49,7.51,7.52,7.54,7.56,7.58,7.6,7.61,7.63,7.64,7.66,7.67,7.69,7.7,7.72,7.73,7.75,7.76,7.78,7.79,7.81,7.82,7.84,7.86,7.87,7.89,7.9,7.92,7.93,7.94,7.96,7.97,7.98,7.99,8.0,8.01,8.01,8.02,8.03,8.04,8.05,8.06,8.07,8.08,8.08,8.09,8.09,8.1,8.1,8.11,8.11,8.11,8.12,8.12,8.12,8.12,8.13,8.13,8.13,8.13,8.14,8.14,8.14,8.14,8.15,8.15,8.15,8.16,8.16,8.16,8.16,8.16,8.16,8.16,8.16,8.16,8.16,8.16,8.16,8.16,8.16,8.17,8.17,8.18,8.18,8.19,8.2,8.21,8.22,8.23,8.24,8.25,8.26,8.27,8.28,8.29,8.3,8.32,8.33,8.34,8.36,8.37,8.38,8.4,8.41,8.43,8.45,8.46,8.48,8.5,8.52,8.53,8.55,8.57,8.58,8.6,8.62,8.63,8.65,8.67,8.69,8.71,8.73,8.75,8.78,8.8,8.82,8.84,8.86,8.88,8.9,8.92,8.93,8.95,8.96,8.97,8.99,9.0,9.02,9.03,9.05,9.06,9.08,9.09,9.11,9.12,9.13,9.15,9.16,9.18,9.2,9.21,9.22,9.24,9.25,9.26,9.27,9.28,9.29,9.3,9.31,9.31,9.32,9.33,9.34,9.36,9.37,9.38,9.38,9.39,9.4,9.4,9.4,9.41,9.41,9.41,9.42,9.42,9.43,9.44,9.44,9.45,9.46,9.47,9.47,9.48,9.48,9.49,9.49,9.49,9.5,9.5,9.51,9.51,9.52,9.53,9.54,9.55,9.55,9.56,9.57,9.57,9.58,9.59,9.6,9.61,9.61,9.62,9.63,9.64,9.66,9.67,9.68,9.68,9.69,9.7,9.71,9.72,9.73,9.74,9.75,9.76,9.77,9.78,9.79,9.8,9.81,9.82,9.83,9.84,9.85,9.86,9.87,9.89,9.9,9.92,9.93,9.95,9.96,9.98,10.0,10.01,10.03,10.04,10.05,10.07,10.08,10.09,10.11,10.13,10.14,10.16,10.18,10.2,10.22,10.24,10.26,10.28,10.3,10.32,10.34,10.36,10.38,10</t>
  </si>
  <si>
    <t>To_Avoid_Formula.4,10.42,10.44,10.47,10.49,10.51,10.53,10.55,10.57,10.59,10.62,10.64,10.66,10.69,10.71,10.73,10.76,10.78,10.8,10.82,10.84,10.86,10.88,10.9,10.91,10.93,10.95,10.97,10.98,11.0,11.02,11.03,11.05,11.06,11.08,11.09,11.11,11.12,11.14,11.15,11.17,11.18,11.2,11.21,11.22,11.24,11.25,11.26,11.28,11.29,11.3,11.31,11.33,11.34,11.36,11.37,11.39,11.4,11.41,11.42,11.43,11.44,11.45,11.46,11.47,11.48,11.49,11.51,11.52,11.54,11.55,11.57,11.59,11.6,11.62,11.64,11.65,11.67,11.69,11.71,11.73,11.75,11.76,11.79,11.8,11.82,11.84,11.85,11.86,11.88,11.89,11.9,11.92,11.93,11.95,11.96,11.98,12.0,12.01,12.03,12.04,12.06,12.07,12.08,12.1,12.11,12.12,12.14,12.16,12.17,12.19,12.21,12.22,12.24,12.26,12.27,12.28,12.3,12.31,12.32,12.34,12.35,12.37,12.38,12.4,12.41,12.43,12.44,12.46,12.47,12.49,12.5,12.51,12.52,12.54,12.55,12.57,12.58,12.6,12.62,12.64,12.65,12.67,12.69,12.7,12.72,12.73,12.75,12.77,12.78,12.8,12.82,12.84,12.86,12.88,12.9,12.92,12.94,12.95,12.97,12.99,13.01,13.03,13.05,13.08,13.1,13.12,13.14,13.16,13.17,13.19,13.2,13.22,13.23,13.25,13.26,13.28,13.29,13.31,13.32,13.34,13.35,13.36,13.38,13.39,13.4,13.41,13.42,13.43,13.43,13.44,13.45,13.45,13.45,13.46,13.46,13.47,13.47,13.48,13.49,13.49,13.5,13.5,13.51,13.51,13.52,13.53,13.54,13.55,13.57,13.58,13.59,13.61,13.62,13.63,13.64,13.65,13.65,13.66,13.67,13.68,13.69,13.7,13.71,13.72,13.73,13.74,13.75,13.76,13.78,13.8,13.81,13.83,13.85,13.87,13.89,13.91,13.93,13.95,13.97,14.0,14.02,14.04,14.06,14.08,14.1,14.12,14.14,14.16,14.17,14.19,14.2,14.21,14.22,14.23,14.23,14.23,14.22,14.22,14.21,14.2,14.2,14.19,</t>
  </si>
  <si>
    <t>To_Avoid_Formula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0.0,</t>
  </si>
  <si>
    <t>To_Avoid_Formula1.43,1.36,1.3,1.25,1.2,1.16,1.13,1.11,1.1,1.09,1.09,1.09,1.09,1.08,1.07,1.05,1.04,1.04,1.04,1.05,1.08,1.13,1.21,1.3,1.42,1.54,1.67,1.81,1.94,2.05,2.14,2.22,2.29,2.33,2.36,2.37,2.37,2.35,2.33,2.3,2.26,2.22,2.18,2.14,2.1,2.07,2.05,2.05,2.06,2.08,2.11,2.15,2.21,2.26,2.32,2.37,2.42,2.45,2.48,2.5,2.51,2.52,2.52,2.52,2.52,2.53,2.53,2.54,2.54,2.54,2.53,2.51,2.48,2.44,2.4,2.35,2.29,2.24,2.18,2.12,2.08,2.03,2.0,1.96,1.93,1.9,1.86,1.83,1.81,1.8,1.81,1.84,1.88,1.93,1.99,2.05,2.12,2.18,2.25,2.33,2.4,2.48,2.55,2.62,2.68,2.74,2.8,2.85,2.87,2.89,2.88,2.86,2.84,2.81,2.77,2.74,2.71,2.67,2.62,2.58,2.55,2.53,2.52,2.52,2.52,2.52,2.52,2.52,2.53,2.53,2.52,2.51,2.5,2.48,2.46,2.43,2.4,2.36,2.32,2.29,2.27,2.25,2.24,2.24,2.25,2.26,2.28,2.3,2.32,2.35,2.38,2.41,2.44,2.47,2.5,2.52,2.55,2.58,2.61,2.64,2.68,2.71,2.73,2.74,2.74,2.74,2.73,2.71,2.68,2.65,2.61,2.57,2.52,2.46,2.4,2.34,2.28,2.22,2.17,2.12,2.08,2.04,2.0,1.97,1.94,1.91,1.88,1.86,1.85,1.85,1.86,1.88,1.91,1.96,2.02,2.11,2.23,2.36,2.53,2.71,2.9,3.09,3.26,3.42,3.55,3.64,3.72,3.78,3.82,3.85,3.86,3.84,3.8,3.74,3.67,3.59,3.52,3.45,3.4,3.36,3.33,3.31,3.31,3.33,3.37,3.43,3.51,3.59,3.67,3.75,3.81,3.85,3.87,3.86,3.83,3.77,3.7,3.61,3.51,3.4,3.29,3.17,3.04,2.9,2.75,2.6,2.45,2.3,2.16,2.02,1.9,1.8,1.72,1.65,1.61,1.59,1.58,1.59,1.61,1.63,1.66,1.69,1.71,1.74,1.76,1.77,1.77,1.76,1.74,1.71,1.68,1.65,1.62,1.6,1.58,1.56,1.55,1.53,1.51,1.48,1.45,1.42,1.38,1.34,1.3,1.27,1.25,1.24,1.25,1.26,1.29,1.33,1.38,1.45,1.52,1.59,1.66,1.73,1.79,1.85,1.89,1.93,1.97,2.0,2.05,2.1,2.15,2.22,2.28,2.35,2.41,2.47,2.53,2.59,2.65,2.71,2.77,2.82,2.86,2.9,2.94,2.96,2.98,3.0,3.01,3.01,3.0,2.98,2.97,2.97,2.98,3.0,3.02,3.06,3.1,3.14,3.18,3.21,3.24,3.26,3.27,3.27,3.26,3.24,3.2,3.16,3.12,3.06,3.01,2.95,2.9,2.85,2.81,2.78,2.75,2.72,2.7,2.68,2.67,2.66,2.64,2.63,2.61,2.59,2.56,2.54,2.51,2.48,2.45,2.42,2.39,2.37,2.36,2.37,2.38,2.4,2.42,2.42,2.42,2.4,2.38,2.35,2.32,2.28,2.25,2.23,2.21,2.19,2.19,2.2,2.25,2.33,2.43,2.56,2.7,2.86,3.04,3.24,3.44,3.63,3.81,3.98,4.13,4.26,4.37,4.44,4.49,4.52,4.52,4.49,4.44,4.37,4.27,4.17,4.04,3.89,3.73,3.56,3.38,3.19,3.0,2.82,2.63,2.45,2.28,2.12,1.97,1.83,1.71,1.62,1.55,1.52,1.52,1.55,1.6,1.66,1.72,1.79,1.85,1.9,1.93,1.96,1.96,1.94,1.89,1.82,1.73,1.62,1.49,1.35,1.23,1.13,1.04,0.98,0.94,0.9,0.86,0.81,0.76,0.71,0.67,0.64,0.61,0.59,0.57,0.55,0.51,0.45,0.38,0.28,0.17,0.05,-0.08,-0.21,-0.34,-0.45,-0.53,-0.6,-0.65,-0.68,-0.69,-0.67,-0.65,-0.61,-0.57,-0.52,-0.48,-0.44,-0.42,-0.41,-0.43,-0.47,-0.52,-0.58,-0.65,-0.73,-0.8,-0.87,-0.93,-0.98,-1.02,-1.04,-1.04,-1.01,-0.96,-0.88,-0.78,-0.66,-0.53,-0.38,-0.22,-0.06,0.1,0.25,0.39,0.5,0.58,0.63,0.64,0.63,0.59,0.54,0.48,0.41,0.35,0.28,0.23,0.18,0.14,0.11,0.08,0.05,0.02,0.0,-0.03,-0.06,-0.09,-0.11,-0.15,-0.2,-0.26,-0.32,-0.38,-0.45,-0.53,-0.6,-0.66,-0.72,-0.77,-0.81,-0.84,-0.85,-0.84,-0.82,-0.8,-0.77,-0.74,-0.69,-0.64,-0.58,-0.51,-0.43,-0.34,-0.23,-0.13,-0.02,0.1,0.21,0.32,0.43,0.54,0.66,0.79,0.93,1.08,1.26,1.44,1.64,1.85,2.06,2.29,2.51,2.71,2.9,3.06,3.2,3.31,3.4,3.47,3.54,3.6,3.65,3.71,3.78,3.87,3.97,4.08,4.17,4.25,4.32,4.36,4.38,4.39,4.39,4.38,4.36,4.32,4.27,4.2,4.12,4.03,3.92,3.82,3.71,3.6,3.49,3.38,3.26,3.15,3.04,2.95,2.89,2.87,2.89,2.94,3.02,3.13,3.26,3.41,3.56,3.72,3.89,4.07,4.25,4.43,4.6,4.75,4.89,4.99,5.06,5.1,5.1,5.08,5.02,4.95,4.85,4.75,4.64,4.53,4.42,4.3,4.2,4.1,4.02,3.95,3.88,3.82,3.77,3.71,3.66,3.61,3.55,3.5,3.46,3.41,3.36,3.32,3.29,3.28,3.29,3.32,3.36,3.4,3.44,3.47,3.48,3.48,3.45,3.4,3.34,3.27,3.19,3.1,3.02,2.93,2.86,2.81,2.78,2.77,2.77,2.79,2.81,2.84,2.88,2.92,2.96,3.01,3.05,3.08,3.1,3.11,3.1,3.09,3.07,3.04,3.0,2.96,2.92,2.87,2.83,2.8,2.78,2.77,2.77,2.79,2.82,2.85,2.89,2.92,2.95,2.98,3.02,3.07,3.13,3.2,3.28,3.37,3.46,3.54,3.62,3.68,3.74,3.79,3.82,3.85,3.85,3.84,3.8,3.73,3.64,3.52,3.38,3.22,3.04,2.87,2.7,2.55,2.44,2.36,2.31,2.29,2.3,2.34,2.39,2.45,2.52,2.6,2.69,2.79,2.91,3.05,3.2,3.37,3.56,3.76,3.97,4.18,4.38,4.58,4.77,4.94,5.09,5.22,5.31,5.36,5.38,5.36,5.32,5.28,5.21,5.1,4.96,4.79,4.6,4.41,4.22,4.05</t>
  </si>
  <si>
    <t>To_Avoid_Formula,3.89,3.75,3.64,3.55,3.48,3.44,3.43,3.46,3.51,3.59,3.69,3.81,3.95,4.11,4.29,4.48,4.68,4.89,5.11,5.32,5.54,5.73,5.91,6.06,6.18,6.27,6.32,6.33,6.29,6.23,6.15,6.05,5.95,5.84,5.74,5.67,5.63,5.61,5.6,5.58,5.55,5.5,5.43,5.34,5.25,5.17,5.08,5.0,4.93,4.86,4.79,4.72,4.65,4.57,4.49,4.41,4.35,4.28,4.22,4.18,4.15,4.15,4.17,4.22,4.29,4.37,4.46,4.56,4.67,4.77,4.88,4.97,5.06,5.13,5.18,5.21,5.2,5.16,5.11,5.05,5.0,4.98,4.98,5.02,5.08,5.17,5.26,5.35,5.43,5.5,5.56,5.6,5.63,5.65,5.65,5.64,5.6,5.53,5.45,5.36,5.25,5.14,5.03,4.92,4.82,4.73,4.68,4.65,4.65,4.66,4.7,4.74,4.79,4.83,4.86,4.88,4.89,4.88,4.87,4.85,4.82,4.79,4.76,4.72,4.68,4.62,4.57,4.52,4.46,4.41,4.36,4.31,4.28,4.27,4.3,4.35,4.42,4.5,4.59,4.68,4.76,4.82,4.88,4.94,5.0,5.06,5.12,5.15,5.18,5.18,5.18,5.16,5.12,5.07,5.0,4.92,4.84,4.77,4.71,4.67,4.63,4.6,4.56,4.51,4.46,4.4,4.33,4.26,4.19,4.13,4.08,4.04,4.04,4.08,4.14,4.22,4.32,4.41,4.49,4.57,4.64,4.71,4.78,4.83,4.86,4.88,4.89,4.91,4.93,4.95,4.98,5.0,5.04,5.07,5.11,5.16,5.2,5.24,5.28,5.31,5.34,5.37,5.4,5.43,5.46,5.48,5.48,5.47,5.44,5.4,5.35,5.31,5.29,5.29,5.3,5.32,5.34,5.37,5.41,5.45,5.51,5.57,5.63,5.68,5.72,5.76,5.8,5.85,5.9,5.95,5.98,6.0,5.98,5.92,5.83,5.74,5.65,5.56,5.48,5.39,5.31,5.21,5.12,5.04,4.99,4.96,4.97,5.01,5.09,5.19,5.31,5.44,5.58,5.71,5.84,5.96,6.07,6.16,6.24,6.31,6.36,6.41,6.44,6.46,6.47,6.46,6.45,6.43,6.4,6.37,6.32,</t>
  </si>
  <si>
    <t>To_Avoid_Formula-0.13,-0.36,-0.51,-0.72,-1.03,-1.23,-1.2,-1.05,-0.98,-0.92,-0.77,-0.63,-0.52,-0.5,-0.53,-0.77,-0.86,-0.89,-0.96,-1.17,-1.27,-1.16,-1.08,-1.13,-1.18,-1.03,-0.84,-0.74,-0.85,-0.95,-0.95,-0.88,-0.87,-0.88,-0.83,-0.7,-0.62,-0.65,-0.7,-0.82,-0.92,-0.89,-0.71,-0.59,-0.61,-0.68,-0.62,-0.58,-0.69,-0.89,-1.02,-1.08,-1.26,-1.5,-1.67,-1.72,-1.71,-1.66,-1.48,-1.19,-0.96,-0.76,-0.56,-0.42,-0.39,-0.44,-0.4,-0.28,-0.21,-0.22,-0.22,-0.16,-0.15,-0.18,-0.17,-0.05,0.03,0.02,-0.05,-0.05,-0.07,-0.14,-0.25,-0.3,-0.32,-0.3,-0.24,-0.21,-0.21,-0.22,-0.25,-0.32,-0.43,-0.57,-0.69,-0.83,-0.91,-0.96,-0.96,-1.0,-0.98,-0.95,-1.01,-1.11,-1.14,-1.1,-1.13,-1.22,-1.22,-1.14,-1.12,-1.21,-1.28,-1.25,-1.21,-1.21,-1.19,-1.06,-0.84,-0.62,-0.31,0.05,0.42,0.67,0.83,1.04,1.22,1.32,1.29,1.33,1.34,1.32,1.26,1.27,1.3,1.28,1.26,1.27,1.29,1.19,1.05,0.89,0.78,0.65,0.61,0.58,0.68,0.78,0.94,1.1,1.25,1.35,1.45,1.62,1.69,1.67,1.48,1.38,1.18,0.95,0.65,0.53,0.53,0.58,0.76,1.0,1.33,1.6,1.92,2.21,2.59,2.91,3.14,3.26,3.36,3.43,3.41,3.42,3.43,3.44,3.38,3.37,3.36,3.34,3.19,3.01,2.7,2.3,1.71,1.06,0.29,-0.51,-1.16,-1.66,-1.97,-2.26,-2.36,-2.52,-2.67,-2.81,-2.64,-2.45,-2.34,-2.28,-2.06,-1.74,-1.54,-1.37,-1.22,-1.04,-0.95,-0.79,-0.66,-0.58,-0.69,-0.72,-0.74,-0.74,-0.79,-0.8,-0.74,-0.71,-0.77,-0.82,-0.73,-0.68,-0.71,-0.84,-0.89,-0.89,-0.83,-0.77,-0.64,-0.58,-0.56,-0.53,-0.46,-0.39,-0.5,-0.65,-0.67,-0.6,-0.6,-0.67,-0.67,-0.57,-0.53,-0.54,-0.46,-0.3,-0.18,-0.17,-0.18,-0.16,-0.18,-0.27,-0.39,-0.44,-0.46,-0.46,-0.42,-0.31,-0.2,-0.1,0.06,0.31,0.53,0.62,0.67,0.78,0.92,1.0,1.02,0.93,0.8,0.6,0.33,-0.04,-0.36,-0.65,-0.85,-1.0,-1.2,-1.37,-1.48,-1.53,-1.63,-1.66,-1.7,-1.78,-1.93,-2.0,-2.05,-2.13,-2.2,-2.16,-2.08,-2.0,-1.84,-1.6,-1.41,-1.34,-1.16,-0.84,-0.47,-0.25,-0.11,-0.01,0.15,0.26,0.41,0.51,0.55,0.46,0.38,0.33,0.2,-0.06,-0.29,-0.32,-0.32,-0.35,-0.51,-0.59,-0.62,-0.65,-0.72,-0.76,-0.72,-0.68,-0.74,-0.81,-0.82,-0.85,-0.9,-0.9,-0.77,-0.54,-0.29,-0.04,0.26,0.44,0.51,0.66,0.9,1.11,1.11,1.1,1.17,1.29,1.34,1.36,1.41,1.47,1.52,1.55,1.59,1.57,1.53,1.52,1.67,1.84,1.98,2.07,2.18,2.34,2.41,2.4,2.36,2.4,2.39,2.31,2.17,2.06,1.88,1.61,1.22,0.72,0.26,-0.13,-0.48,-0.82,-1.08,-1.15,-1.17,-1.12,-1.06,-0.93,-0.82,-0.69,-0.53,-0.22,-0.04,0.01,0.17,0.38,0.45,0.37,0.48,0.74,1.03,1.21,1.41,1.52,1.58,1.62,1.73,1.76,1.67,1.57,1.52,1.47,1.27,1.0,0.79,0.66,0.54,0.39,0.29,0.29,0.25,0.14,-0.01,-0.13,-0.3,-0.58,-0.94,-1.24,-1.55,-1.81,-2.03,-2.16,-2.38,-2.67,-2.99,-3.27,-3.67,-4.21,-4.66,-4.88,-4.8,-4.85,-4.87,-4.69,-4.23,-3.77,-3.44,-3.15,-2.62,-2.05,-1.67,-1.21,-0.64,0.19,0.84,1.35,1.89,2.35,2.74,3.13,3.6,3.94,4.24,4.47,4.84,5.09,5.19,5.13,5.09,4.95,4.7,4.41,4.03,3.6,2.98,2.32,1.64,0.99,0.42,-0.06,-0.61,-1.12,-1.46,-1.68,-1.93,-2.24,-2.35,-2.43,-2.52,-2.52,-2.37,-2.23,-2.18,-1.99,-1.64,-1.36,-1.32,-1.2,-0.93,-0.68,-0.61,-0.54,-0.32,-0.02,0.14,0.25,0.5,0.83,1.11,1.31,1.58,1.86,2.05,2.14,2.24,2.38,2.46,2.41,2.33,2.15,1.92,1.62,1.34,1.0,0.56,0.07,-0.3,-0.6,-0.92,-1.19,-1.37,-1.46,-1.52,-1.61,-1.66,-1.63,-1.55,-1.42,-1.24,-1.16,-1.2,-1.16,-0.97,-0.75,-0.69,-0.68,-0.64,-0.55,-0.49,-0.43,-0.34,-0.25,-0.18,-0.14,-0.12,-0.17,-0.28,-0.39,-0.49,-0.59,-0.71,-0.8,-0.81,-0.77,-0.7,-0.65,-0.64,-0.67,-0.76,-0.95,-1.28,-1.78,-2.22,-2.53,-2.72,-2.83,-2.9,-2.87,-2.83,-2.83,-2.84,-2.8,-2.84,-2.93,-3.02,-3.0,-2.94,-2.83,-2.52,-2.1,-1.66,-1.27,-0.85,-0.37,-0.02,0.15,0.36,0.66,0.92,1.1,1.27,1.49,1.7,1.85,2.04,2.25,2.4,2.4,2.4,2.49,2.57,2.58,2.57,2.69,2.81,2.9,2.97,3.03,2.98,2.83,2.62,2.42,2.26,2.04,1.77,1.57,1.39,1.18,0.96,0.84,0.74,0.58,0.44,0.38,0.37,0.27,0.12,0.05,0.11,0.28,0.42,0.52,0.55,0.53,0.57,0.69,0.85,0.92,0.93,0.9,0.9,0.83,0.72,0.61,0.56,0.54,0.49,0.44,0.33,0.22,0.18,0.18,0.2,0.22,0.25,0.25,0.13,-0.04,-0.19,-0.36,-0.64,-0.94,-1.17,-1.29,-1.36,-1.34,-1.24,-1.16,-1.09,-0.98,-0.88,-0.91,-1.05,-1.11,-1.0,-0.86,-0.8,-0.71,-0.51,-0.34,-0.34,-0.33,-0.25,-0.18,-0.27,-0.48,-0.67,-0.8,-0.95,-1.06,-1.01,-0.91,-0.81,-0.81,-0.75,-0.69,-0.74,-0.82,-0.81,-0.6,-0.46,-0.41,-</t>
  </si>
  <si>
    <t>To_Avoid_Formula0.3,-0.08,0.11,0.19,0.42,0.82,1.19,1.32,1.37,1.38,1.31,1.14,0.91,0.73,0.5,0.31,0.21,0.13,0.0,-0.15,-0.21,-0.21,-0.21,-0.26,-0.28,-0.18,-0.02,0.09,0.2,0.3,0.28,0.12,0.04,0.1,0.18,0.23,0.27,0.31,0.26,0.15,0.03,-0.07,-0.29,-0.52,-0.71,-0.83,-1.0,-1.23,-1.38,-1.46,-1.5,-1.53,-1.4,-1.12,-0.76,-0.53,-0.37,-0.26,-0.1,0.28,0.54,0.49,0.32,0.33,0.51,0.68,0.81,0.93,1.05,1.11,1.12,1.16,1.05,0.82,0.58,0.36,0.09,-0.17,-0.35,-0.45,-0.56,-0.76,-0.84,-0.79,-0.68,-0.62,-0.56,-0.4,-0.24,-0.05,0.04,0.14,0.2,0.15,0.06,0.02,0.06,0.04,0.01,0.03,0.16,0.27,0.3,0.35,0.47,0.57,0.57,0.56,0.61,0.65,0.58,0.46,0.38,0.36,0.33,0.37,0.49,0.62,0.68,0.81,1.02,1.17,1.21,1.22,1.31,1.32,1.2,1.06,0.99,0.95,0.88,0.82,0.78,0.74,0.68,0.6,0.52,0.44,0.34,0.21,0.03,-0.21,-0.47,-0.7,-0.91,-1.1,-1.28,-1.44,-1.62,-1.73,-1.77,-1.76,-1.8,-1.79,-1.69,-1.58,-1.56,-1.6,-1.53,-1.37,-1.22,-1.07,-0.86,-0.67,-0.57,-0.45,-0.23,-0.05,0.08,0.17,0.33,0.39,0.33,0.23,0.24,0.25,0.15,0.01,-0.06,-0.1,-0.2,-0.3,-0.3,-0.2,-0.16,-0.16,-0.16,-0.19,-0.35,-0.52,-0.57,-0.55,-0.56,-0.58,-0.48,-0.31,-0.15,-0.05,0.02,0.04,0.03,0.05,0.12,0.15,0.06,-0.11,-0.12,0.0,0.1,0.16,0.24,0.4,0.56,0.67,0.78,0.83,0.79,0.79,0.88,0.94,0.9,0.78,0.68,0.71,0.79,0.81,0.79,0.77,0.77,0.69,0.59,0.57,0.51,0.41,0.21,0.07,-0.07,-0.2,-0.34,-0.55,-0.87,-1.18,-1.44,-1.65,-1.87,-2.02,-2.06,-1.95,-1.75,-1.41,-1.1,-0.86,-0.7,-0.59,-0.49,-0.46,-0.38,-0.21,-0.04,0.02,0.03,0.09,0.15,0.16,0.21,0.3,0.35,0.36,0.4,0.49,0.53,0.53,0.56,0.6,0.61,0.52,0.44,0.43,0.48,0.52,0.53,0.55,0.54,0.5,0.5,0.52,0.44,0.29,0.25,0.33,0.37,0.34,0.34,0.52,0.71,0.87,0.95,1.03,1.11,1.12,1.05,0.95,0.95,0.94,0.93,0.9,0.96,1.0,0.96,0.92,1.0,1.1,1.11,1.1,1.13,1.08,0.94,0.71,0.53,0.31,-0.01,-0.33,-0.55,-0.79,-1.07,-1.3,-1.47,-1.58,-1.69,-1.77,-1.82,-1.86,-1.85,-1.82,-1.75,-1.7,-1.65,-1.58,-1.62,-1.67,-1.62,-1.47,-1.39,-1.36,-1.25,-1.08,</t>
  </si>
  <si>
    <t>To_Avoid_Formula0.06,-0.07,-0.11,-0.18,-0.36,-0.47,-0.43,-0.3,-0.26,-0.21,-0.05,0.12,0.28,0.38,0.49,0.46,0.51,0.57,0.55,0.28,0.08,0.09,0.11,0.02,-0.14,-0.14,-0.09,-0.08,-0.19,-0.21,-0.17,-0.07,0.01,0.12,0.24,0.41,0.53,0.61,0.69,0.69,0.66,0.68,0.82,0.92,0.92,0.86,0.89,0.93,0.86,0.72,0.64,0.61,0.52,0.39,0.3,0.27,0.23,0.21,0.25,0.33,0.36,0.35,0.38,0.41,0.37,0.31,0.34,0.45,0.5,0.48,0.48,0.55,0.59,0.56,0.54,0.61,0.71,0.78,0.84,0.94,1.03,1.1,1.14,1.19,1.17,1.12,1.04,0.95,0.81,0.68,0.51,0.3,0.06,-0.17,-0.37,-0.6,-0.76,-0.89,-0.99,-1.15,-1.26,-1.35,-1.48,-1.66,-1.8,-1.87,-1.99,-2.15,-2.25,-2.27,-2.32,-2.45,-2.57,-2.6,-2.64,-2.7,-2.69,-2.57,-2.43,-2.31,-2.15,-1.89,-1.61,-1.42,-1.32,-1.17,-1.02,-0.89,-0.82,-0.69,-0.6,-0.55,-0.54,-0.47,-0.46,-0.54,-0.65,-0.73,-0.81,-0.99,-1.17,-1.37,-1.5,-1.65,-1.72,-1.75,-1.64,-1.53,-1.38,-1.23,-1.05,-0.9,-0.72,-0.46,-0.2,0.06,0.26,0.54,0.75,0.89,0.92,1.05,1.19,1.29,1.35,1.46,1.65,1.81,1.97,2.13,2.39,2.67,2.97,3.24,3.54,3.81,4.0,4.2,4.4,4.58,4.68,4.81,4.92,5.02,5.0,4.98,4.87,4.69,4.37,4.01,3.58,3.1,2.66,2.23,1.87,1.51,1.33,1.13,0.93,0.72,0.74,0.8,0.82,0.82,0.94,1.17,1.3,1.39,1.44,1.54,1.61,1.78,1.95,2.1,2.11,2.19,2.29,2.37,2.37,2.4,2.47,2.51,2.44,2.35,2.38,2.38,2.33,2.22,2.16,2.14,2.14,2.13,2.16,2.18,2.2,2.22,2.29,2.36,2.32,2.23,2.23,2.3,2.29,2.21,2.17,2.2,2.12,1.95,1.81,1.75,1.69,1.61,1.57,1.6,1.62,1.61,1.61,1.64,1.67,1.66,1.69,1.81,1.92,1.95,2.0,2.11,2.24,2.3,2.35,2.44,2.55,2.6,2.63,2.6,2.55,2.43,2.25,2.0,1.74,1.44,1.16,0.9,0.59,0.3,0.04,-0.2,-0.48,-0.69,-0.91,-1.14,-1.41,-1.57,-1.7,-1.86,-2.03,-2.11,-2.17,-2.26,-2.29,-2.24,-2.19,-2.22,-2.17,-2.01,-1.81,-1.68,-1.56,-1.44,-1.29,-1.24,-1.16,-1.1,-1.09,-1.2,-1.32,-1.45,-1.64,-1.96,-2.27,-2.41,-2.53,-2.67,-2.91,-3.07,-3.22,-3.41,-3.65,-3.86,-3.99,-4.12,-4.29,-4.42,-4.46,-4.53,-4.58,-4.59,-4.5,-4.35,-4.24,-4.11,-3.89,-3.69,-3.59,-3.43,-3.23,-3.02,-2.93,-2.83,-2.66,-2.5,-2.43,-2.37,-2.26,-2.14,-2.05,-1.98,-1.85,-1.78,-1.77,-1.76,-1.61,-1.41,-1.18,-0.99,-0.74,-0.46,-0.26,-0.15,-0.08,0.05,0.1,0.09,0.0,-0.05,-0.16,-0.32,-0.54,-0.87,-1.19,-1.46,-1.68,-1.89,-2.09,-2.21,-2.33,-2.4,-2.43,-2.39,-2.39,-2.39,-2.34,-2.09,-1.9,-1.81,-1.62,-1.35,-1.15,-1.04,-0.81,-0.5,-0.19,0.03,0.28,0.46,0.57,0.64,0.78,0.85,0.85,0.88,0.96,1.03,0.96,0.85,0.81,0.87,0.91,0.88,0.82,0.82,0.81,0.76,0.68,0.6,0.49,0.34,0.13,-0.06,-0.31,-0.5,-0.59,-0.59,-0.67,-0.86,-1.1,-1.34,-1.75,-2.32,-2.91,-3.39,-3.67,-4.03,-4.37,-4.59,-4.54,-4.39,-4.24,-4.12,-3.81,-3.44,-3.16,-2.74,-2.28,-1.66,-1.13,-0.61,-0.03,0.5,1.0,1.51,2.1,2.61,3.12,3.58,4.13,4.56,4.88,5.04,5.21,5.28,5.24,5.11,4.86,4.64,4.33,4.02,3.62,3.17,2.76,2.46,2.16,1.8,1.44,1.16,0.9,0.64,0.52,0.34,0.1,-0.06,-0.06,-0.04,-0.13,-0.12,0.02,0.16,0.11,0.13,0.27,0.42,0.42,0.39,0.48,0.67,0.8,0.92,1.14,1.39,1.59,1.77,2.07,2.43,2.72,2.94,3.2,3.47,3.67,3.77,3.86,3.93,3.94,3.87,3.79,3.7,3.54,3.33,3.13,2.89,2.58,2.28,2.05,1.88,1.75,1.65,1.62,1.65,1.69,1.71,1.8,1.87,1.86,1.88,1.96,2.06,1.99,1.88,1.77,1.67,1.52,1.39,1.32,1.26,1.21,1.13,1.1,1.01,0.87,0.72,0.61,0.54,0.46,0.36,0.3,0.27,0.24,0.18,0.11,-0.01,-0.16,-0.34,-0.6,-0.99,-1.39,-1.7,-1.95,-2.18,-2.4,-2.52,-2.57,-2.62,-2.67,-2.69,-2.75,-2.88,-3.01,-3.13,-3.35,-3.64,-3.88,-3.98,-3.97,-3.93,-3.77,-3.46,-3.14,-2.92,-2.65,-2.32,-2.0,-1.68,-1.38,-1.09,-0.87,-0.74,-0.59,-0.44,-0.32,-0.33,-0.35,-0.32,-0.3,-0.36,-0.44,-0.4,-0.33,-0.26,-0.21,-0.07,0.07,0.19,0.25,0.31,0.37,0.35,0.29,0.26,0.23,0.13,0.02,-0.02,-0.03,-0.13,-0.27,-0.36,-0.36,-0.38,-0.45,-0.49,-0.45,-0.31,-0.18,-0.06,0.02,0.07,0.17,0.32,0.51,0.66,0.76,0.87,1.0,1.09,1.11,1.12,1.15,1.17,1.11,1.03,0.89,0.74,0.64,0.56,0.49,0.43,0.43,0.43,0.36,0.24,0.14,0.06,-0.1,-0.3,-0.44,-0.51,-0.57,-0.56,-0.48,-0.39,-0.32,-0.21,-0.09,-0.05,-0.1,-0.13,-0.01,0.11,0.14,0.13,0.19,0.25,0.19,0.13,0.11,0.12,0.03,-0.16,-0.34,-0.52,-0.72,-0.94,-1.05,-1.11,-1.16,-1.23,-1.21,-1.15,-1.17,-1.2,-1.17,-0.94,-0.78,-0.7,-0.59,-0.35,-0.1,0.02,0.2,0.49,0.82,1.0,1.11,1.14,1.12,1.04,0.91,0.8,0.64,0.53,0.49,0.51,0.54,0.53,0.57,0.65</t>
  </si>
  <si>
    <t>To_Avoid_Formula,0.75,0.82,0.84,0.9,0.96,0.96,0.95,0.95,0.91,0.78,0.67,0.62,0.57,0.49,0.43,0.34,0.18,-0.04,-0.27,-0.45,-0.73,-1.02,-1.3,-1.49,-1.66,-1.85,-1.99,-2.13,-2.28,-2.45,-2.55,-2.58,-2.57,-2.57,-2.47,-2.3,-2.06,-1.64,-1.25,-1.03,-0.93,-0.74,-0.43,-0.15,0.04,0.17,0.32,0.45,0.52,0.65,0.72,0.7,0.64,0.59,0.55,0.51,0.44,0.34,0.14,-0.15,-0.39,-0.53,-0.61,-0.69,-0.73,-0.68,-0.61,-0.5,-0.47,-0.42,-0.38,-0.41,-0.48,-0.53,-0.52,-0.53,-0.55,-0.55,-0.44,-0.32,-0.25,-0.17,-0.02,0.16,0.28,0.37,0.48,0.6,0.66,0.67,0.72,0.81,0.91,1.06,1.25,1.44,1.56,1.7,1.88,2.07,2.17,2.21,2.26,2.25,2.17,2.07,2.01,2.0,1.99,2.02,2.08,2.13,2.14,2.14,2.09,1.99,1.86,1.7,1.53,1.29,1.05,0.88,0.7,0.52,0.32,0.15,-0.05,-0.21,-0.29,-0.26,-0.26,-0.22,-0.13,-0.03,0.02,-0.01,0.03,0.12,0.22,0.3,0.41,0.51,0.59,0.67,0.79,0.85,0.83,0.74,0.73,0.69,0.58,0.42,0.31,0.24,0.1,-0.04,-0.14,-0.2,-0.27,-0.33,-0.33,-0.27,-0.26,-0.25,-0.22,-0.23,-0.36,-0.56,-0.7,-0.78,-0.9,-1.02,-1.02,-0.92,-0.8,-0.71,-0.64,-0.55,-0.45,-0.35,-0.23,-0.14,-0.09,-0.1,-0.07,-0.04,-0.09,-0.2,-0.27,-0.23,-0.16,-0.14,-0.13,-0.13,-0.15,-0.15,-0.11,-0.06,-0.02,0.02,0.07,0.18,0.33,0.45,0.54,0.61,0.68,0.65,0.56,0.47,0.34,0.18,-0.08,-0.31,-0.55,-0.8,-1.02,-1.26,-1.53,-1.79,-1.99,-2.17,-2.35,-2.47,-2.56,-2.57,-2.53,-2.35,-2.13,-1.94,-1.83,-1.73,-1.59,-1.49,-1.39,-1.31,-1.28,-1.29,-1.33,-1.33,-1.37,-1.46,-1.53,-1.56,-1.57,-1.58,-1.52,-1.37,-1.21,-1.07,-0.93,-0.78,-0.63,-0.54,-0.47,-0.41,-0.35,-0.33,-0.35,-0.38,-0.41,-0.46,-0.5,-0.53,-0.63,-0.8,-0.93,-0.99,-1.03,-1.09,-1.15,-1.13,-1.08,-1.01,-0.98,-0.99,-0.96,-0.93,-0.9,-0.9,-0.85,-0.79,-0.66,-0.53,-0.31,-0.09,0.08,0.25,0.5,0.77,0.97,1.16,1.35,1.48,1.51,1.42,1.33,1.2,1.01,0.8,0.64,0.46,0.26,0.1,-0.07,-0.24,-0.41,-0.54,-0.64,-0.77,-0.91,-1.01,-1.05,-1.1,-1.15,-1.19,-1.31,-1.45,-1.52,-1.49,-1.51,-1.56,-1.53,-1.41,</t>
  </si>
  <si>
    <t>To_Avoid_Formula-1.57,-1.67,-1.66,-1.65,-1.74,-1.79,-1.74,-1.65,-1.66,-1.65,-1.51,-1.34,-1.18,-1.05,-0.85,-0.75,-0.61,-0.52,-0.55,-0.91,-1.21,-1.32,-1.33,-1.47,-1.7,-1.81,-1.88,-1.92,-1.98,-1.88,-1.74,-1.56,-1.38,-1.12,-0.9,-0.68,-0.51,-0.34,-0.14,-0.01,0.01,0.01,0.11,0.18,0.18,0.1,0.1,0.13,0.09,0.01,-0.01,0.02,0.04,0.07,0.12,0.16,0.14,0.1,0.07,0.01,-0.12,-0.29,-0.37,-0.4,-0.45,-0.49,-0.4,-0.26,-0.19,-0.19,-0.15,-0.02,0.07,0.08,0.06,0.11,0.24,0.4,0.59,0.81,1.0,1.17,1.35,1.47,1.44,1.29,1.06,0.82,0.56,0.33,0.05,-0.26,-0.55,-0.79,-0.98,-1.17,-1.27,-1.34,-1.39,-1.5,-1.58,-1.61,-1.63,-1.71,-1.75,-1.74,-1.73,-1.77,-1.74,-1.64,-1.55,-1.52,-1.46,-1.35,-1.25,-1.16,-0.95,-0.65,-0.4,-0.24,-0.09,0.18,0.46,0.64,0.71,0.82,0.95,1.09,1.23,1.42,1.55,1.62,1.64,1.69,1.63,1.43,1.16,0.94,0.71,0.42,0.17,-0.05,-0.19,-0.35,-0.42,-0.43,-0.27,-0.13,0.0,0.12,0.29,0.45,0.64,0.9,1.25,1.65,2.09,2.58,3.0,3.29,3.45,3.62,3.68,3.59,3.31,3.07,2.87,2.65,2.4,2.17,2.03,1.96,2.0,2.1,2.25,2.34,2.35,2.37,2.35,2.31,2.16,2.02,1.85,1.68,1.41,1.16,0.89,0.6,0.26,-0.07,-0.36,-0.69,-1.01,-1.42,-1.86,-2.26,-2.46,-2.64,-2.78,-2.97,-2.96,-2.9,-2.84,-2.79,-2.65,-2.42,-2.28,-2.18,-2.15,-2.06,-1.96,-1.73,-1.47,-1.24,-1.09,-0.87,-0.64,-0.47,-0.41,-0.35,-0.25,-0.2,-0.28,-0.38,-0.4,-0.43,-0.46,-0.53,-0.54,-0.54,-0.54,-0.58,-0.59,-0.57,-0.5,-0.43,-0.32,-0.2,-0.15,-0.12,-0.04,0.06,0.08,0.04,0.02,0.02,-0.12,-0.38,-0.65,-0.85,-1.01,-1.09,-1.06,-0.91,-0.75,-0.59,-0.38,-0.17,-0.03,0.04,0.14,0.34,0.49,0.5,0.48,0.5,0.55,0.59,0.63,0.7,0.77,0.77,0.79,0.81,0.8,0.75,0.67,0.55,0.4,0.14,-0.12,-0.38,-0.66,-0.92,-1.15,-1.37,-1.62,-1.78,-1.92,-2.05,-2.18,-2.14,-2.05,-1.99,-1.96,-1.85,-1.76,-1.73,-1.65,-1.49,-1.31,-1.19,-1.03,-0.8,-0.55,-0.34,-0.08,0.21,0.46,0.56,0.67,0.77,0.83,0.77,0.67,0.56,0.41,0.13,-0.13,-0.24,-0.33,-0.41,-0.56,-0.64,-0.73,-0.88,-1.09,-1.25,-1.33,-1.4,-1.46,-1.42,-1.26,-1.13,-0.98,-0.78,-0.52,-0.29,-0.15,0.0,0.27,0.57,0.78,0.98,1.18,1.39,1.55,1.74,1.95,2.09,2.11,2.13,2.21,2.27,2.28,2.28,2.35,2.36,2.28,2.17,2.17,2.22,2.34,2.44,2.59,2.76,2.82,2.78,2.68,2.61,2.44,2.22,1.92,1.66,1.37,1.11,0.84,0.51,0.2,-0.05,-0.22,-0.38,-0.54,-0.72,-0.96,-1.15,-1.26,-1.31,-1.4,-1.53,-1.59,-1.4,-1.22,-1.13,-0.96,-0.69,-0.44,-0.25,0.0,0.23,0.41,0.49,0.62,0.65,0.61,0.51,0.46,0.36,0.22,0.18,0.19,0.19,0.04,-0.09,-0.11,-0.03,0.02,-0.05,-0.2,-0.33,-0.44,-0.54,-0.67,-0.79,-0.91,-1.0,-1.08,-1.18,-1.35,-1.44,-1.36,-1.17,-1.05,-1.05,-1.11,-1.21,-1.46,-1.88,-2.35,-2.81,-3.12,-3.43,-3.73,-3.95,-3.92,-3.71,-3.38,-3.09,-2.7,-2.25,-1.83,-1.27,-0.77,-0.26,0.19,0.7,1.27,1.77,2.2,2.64,3.11,3.48,3.88,4.2,4.52,4.67,4.75,4.66,4.55,4.35,4.05,3.62,3.08,2.69,2.34,2.07,1.68,1.21,0.79,0.54,0.38,0.11,-0.29,-0.65,-0.87,-1.02,-1.08,-1.27,-1.54,-1.72,-1.75,-1.72,-1.8,-1.83,-1.77,-1.65,-1.68,-1.64,-1.53,-1.4,-1.39,-1.43,-1.39,-1.25,-1.11,-0.94,-0.71,-0.55,-0.44,-0.34,-0.04,0.3,0.59,0.81,1.07,1.31,1.44,1.47,1.55,1.66,1.72,1.69,1.64,1.62,1.6,1.54,1.41,1.15,0.81,0.47,0.19,-0.03,-0.18,-0.24,-0.19,-0.09,-0.05,-0.07,-0.02,0.08,0.14,0.17,0.18,0.18,0.03,-0.18,-0.41,-0.63,-0.93,-1.16,-1.32,-1.43,-1.51,-1.59,-1.59,-1.61,-1.67,-1.73,-1.71,-1.62,-1.53,-1.48,-1.42,-1.38,-1.36,-1.38,-1.39,-1.44,-1.48,-1.47,-1.48,-1.54,-1.64,-1.69,-1.71,-1.75,-1.81,-1.76,-1.58,-1.36,-1.15,-0.92,-0.7,-0.56,-0.45,-0.4,-0.59,-0.97,-1.43,-1.7,-1.81,-1.79,-1.58,-1.19,-0.67,-0.22,0.27,0.75,1.21,1.72,2.17,2.51,2.68,2.72,2.75,2.75,2.73,2.58,2.42,2.27,2.11,1.86,1.59,1.44,1.33,1.25,1.15,1.22,1.39,1.61,1.78,1.91,2.02,2.02,1.98,1.96,1.91,1.78,1.63,1.54,1.49,1.32,1.06,0.85,0.77,0.74,0.67,0.58,0.53,0.55,0.57,0.6,0.63,0.65,0.67,0.73,0.81,0.88,0.93,1.0,1.11,1.17,1.15,1.11,1.06,0.94,0.72,0.46,0.16,-0.14,-0.4,-0.65,-0.89,-1.09,-1.19,-1.23,-1.3,-1.4,-1.46,-1.48,-1.53,-1.59,-1.61,-1.58,-1.57,-1.51,-1.39,-1.26,-1.14,-1.0,-0.83,-0.69,-0.65,-0.61,-0.48,-0.35,-0.35,-0.46,-0.53,-0.58,-0.69,-0.81,-0.9,-0.94,-1.01,-1.14,-1.27,-1.4,-1.59,-1.8,-1.94,-2.05,-2.11,-2.13,-2.01,-1.82,-1.68,-1.54,-1.36,-1.01,-0.74,-0.57,-0.39,-0.1,0.2</t>
  </si>
  <si>
    <t>To_Avoid_Formula3,0.41,0.53,0.68,0.91,1.06,1.13,1.09,1.03,0.95,0.83,0.73,0.6,0.51,0.52,0.62,0.77,0.88,1.0,1.12,1.28,1.41,1.44,1.41,1.3,1.14,0.95,0.8,0.69,0.54,0.38,0.18,0.0,-0.22,-0.38,-0.58,-0.84,-1.13,-1.42,-1.61,-1.85,-2.08,-2.32,-2.42,-2.42,-2.38,-2.31,-2.3,-2.36,-2.45,-2.55,-2.65,-2.79,-2.79,-2.55,-2.13,-1.64,-1.05,-0.45,0.08,0.48,0.87,1.32,1.67,1.86,1.92,2.04,2.12,2.15,2.25,2.38,2.45,2.45,2.47,2.55,2.63,2.58,2.38,2.03,1.61,1.19,0.85,0.59,0.38,0.25,0.21,0.2,0.23,0.2,0.18,0.18,0.16,0.11,0.04,0.02,0.02,0.0,-0.02,0.05,0.16,0.25,0.32,0.46,0.66,0.83,0.94,1.03,1.14,1.21,1.25,1.32,1.43,1.54,1.67,1.8,1.92,1.93,1.9,1.89,1.92,1.88,1.75,1.56,1.35,1.12,0.9,0.7,0.56,0.47,0.45,0.47,0.47,0.43,0.37,0.23,0.01,-0.26,-0.52,-0.75,-1.02,-1.24,-1.36,-1.46,-1.59,-1.74,-1.85,-1.97,-2.06,-2.05,-1.87,-1.69,-1.51,-1.32,-1.12,-0.94,-0.86,-0.77,-0.66,-0.53,-0.45,-0.39,-0.32,-0.23,-0.16,-0.12,-0.17,-0.32,-0.56,-0.72,-0.84,-0.96,-1.14,-1.3,-1.4,-1.49,-1.55,-1.6,-1.57,-1.51,-1.42,-1.31,-1.2,-1.12,-1.01,-0.85,-0.75,-0.78,-0.89,-1.0,-1.08,-1.17,-1.25,-1.22,-1.07,-0.87,-0.68,-0.51,-0.28,-0.01,0.24,0.44,0.63,0.84,1.02,1.1,1.04,0.85,0.6,0.39,0.33,0.34,0.28,0.19,0.14,0.15,0.16,0.14,0.17,0.3,0.48,0.65,0.81,1.0,1.17,1.3,1.39,1.46,1.41,1.24,1.02,0.77,0.52,0.18,-0.13,-0.46,-0.76,-1.01,-1.19,-1.3,-1.38,-1.39,-1.37,-1.34,-1.25,-1.2,-1.16,-1.09,-0.9,-0.65,-0.4,-0.24,-0.07,0.18,0.42,0.58,0.59,0.5,0.43,0.38,0.32,0.22,0.06,-0.12,-0.23,-0.27,-0.27,-0.17,0.05,0.33,0.61,0.83,1.03,1.26,1.47,1.6,1.64,1.64,1.54,1.4,1.25,1.11,0.97,0.83,0.68,0.49,0.25,0.0,-0.22,-0.35,-0.45,-0.58,-0.73,-0.84,-0.86,-0.91,-1.01,-1.07,-1.03,-0.93,-0.87,-0.79,-0.69,-0.47,-0.21,0.1,0.41,0.69,0.95,1.23,1.52,1.76,1.94,2.11,2.21,2.22,2.07,1.87,1.68,1.46,1.23,1.02,0.82,0.64,0.5,0.31,0.08,-0.15,-0.3,-0.42,-0.59,-0.81,-0.97,-1.05,-1.11,-1.19,-1.24,-1.35,-1.47,-1.53,-1.52,-1.53,-1.54,-1.47,-1.3,</t>
  </si>
  <si>
    <t>To_Avoid_Formula1.7,1.52,1.37,1.23,1.15,1.13,1.19,1.29,1.35,1.34,1.18,1.0,0.82,0.66,0.53,0.31,0.14,0.09,0.19,0.51,0.83,1.07,1.11,1.15,1.27,1.57,1.92,2.19,2.35,2.49,2.82,3.08,3.17,3.09,2.89,2.69,2.45,2.21,1.87,1.43,0.97,0.64,0.44,0.42,0.47,0.5,0.55,0.63,0.74,0.71,0.6,0.5,0.41,0.28,0.21,0.13,0.01,-0.09,-0.05,0.21,0.49,0.77,1.03,1.28,1.52,1.65,1.77,2.01,2.37,2.69,2.89,2.95,2.91,2.79,2.58,2.36,2.0,1.55,1.08,0.72,0.43,0.11,-0.3,-0.65,-0.82,-0.8,-0.61,-0.41,-0.23,-0.15,-0.04,0.16,0.47,0.84,1.14,1.46,1.81,2.23,2.59,2.83,2.94,2.87,2.72,2.57,2.48,2.36,2.17,2.0,1.92,1.88,1.79,1.67,1.53,1.41,1.25,1.0,0.72,0.5,0.4,0.37,0.4,0.46,0.52,0.57,0.61,0.74,0.88,0.95,0.84,0.72,0.68,0.74,0.79,0.78,0.78,0.8,0.94,1.1,1.28,1.43,1.5,1.55,1.67,1.95,2.23,2.44,2.59,2.77,2.98,3.07,3.03,2.85,2.64,2.39,1.95,1.41,0.66,-0.08,-0.94,-1.76,-2.52,-3.13,-3.55,-3.85,-3.84,-3.74,-3.49,-3.23,-2.84,-2.23,-1.42,-0.43,0.4,1.17,1.82,2.5,3.06,3.45,3.66,3.59,3.51,3.38,3.33,3.17,2.97,2.71,2.43,2.25,2.09,1.9,1.49,1.05,0.69,0.52,0.53,0.5,0.41,0.18,-0.07,-0.24,-0.26,-0.2,-0.14,0.03,0.38,0.93,1.51,2.0,2.34,2.44,2.44,2.4,2.37,2.32,2.1,1.74,1.38,1.17,1.02,0.83,0.64,0.49,0.35,0.18,0.1,0.1,0.07,0.04,0.06,0.23,0.49,0.81,1.11,1.28,1.34,1.37,1.4,1.37,1.17,0.88,0.67,0.6,0.6,0.57,0.56,0.57,0.59,0.69,0.99,1.44,1.82,2.02,2.14,2.28,2.39,2.34,2.14,1.96,1.9,1.85,1.71,1.47,1.17,0.86,0.62,0.5,0.5,0.51,0.58,0.73,1.04,1.45,1.74,1.83,1.83,1.79,1.73,1.55,1.3,1.06,0.85,0.75,0.72,0.75,0.79,0.84,0.87,0.97,1.16,1.36,1.5,1.6,1.75,1.83,1.81,1.73,1.64,1.64,1.66,1.64,1.49,1.3,1.17,1.15,1.18,1.19,1.17,1.1,1.14,1.23,1.32,1.33,1.26,1.13,1.06,1.09,1.14,1.12,1.03,0.98,1.03,1.19,1.37,1.47,1.55,1.67,1.86,2.07,2.29,2.46,2.5,2.45,2.36,2.24,2.01,1.73,1.56,1.56,1.66,1.72,1.62,1.34,1.03,0.79,0.65,0.57,0.43,0.28,0.2,0.26,0.42,0.46,0.36,0.17,0.0,-0.1,-0.12,-0.1,-0.11,-0.13,-0.06,0.14,0.34,0.43,0.4,0.34,0.32,0.36,0.41,0.47,0.6,0.79,1.02,1.19,1.27,1.17,0.98,0.81,0.7,0.6,0.42,0.22,0.06,0.06,0.13,0.2,0.21,0.2,0.25,0.39,0.63,0.91,1.15,1.33,1.56,1.8,1.92,1.87,1.73,1.65,1.6,1.6,1.57,1.5,1.4,1.37,1.45,1.63,1.8,1.83,1.9,2.11,2.43,2.55,2.43,2.21,2.01,1.91,1.91,1.99,1.95,1.81,1.67,1.61,1.61,1.47,1.22,1.01,0.94,0.91,0.75,0.5,0.13,-0.36,-0.95,-1.43,-1.83,-2.22,-2.49,-2.52,-2.22,-1.91,-1.64,-1.25,-0.76,-0.27,0.04,0.4,0.88,1.36,1.63,1.82,2.19,2.67,2.87,2.68,2.58,2.45,2.15,1.76,1.59,1.64,1.59,1.42,1.38,1.56,1.73,1.75,1.56,1.45,1.52,1.74,2.01,2.08,1.92,1.57,1.31,1.23,1.15,0.83,0.26,-0.11,-0.21,-0.27,-0.52,-0.89,-1.28,-1.54,-1.53,-1.27,-0.85,-0.56,-0.34,-0.02,0.49,1.09,1.47,1.6,1.73,2.02,2.4,2.73,3.01,3.19,3.23,3.21,3.31,3.56,3.71,3.73,3.74,3.8,3.81,3.68,3.55,3.52,3.48,3.33,3.09,2.84,2.62,2.34,1.9,1.32,0.67,0.06,-0.33,-0.55,-0.64,-0.67,-0.7,-0.75,-0.83,-0.92,-0.96,-0.95,-0.85,-0.63,-0.32,-0.04,0.21,0.4,0.61,0.8,0.94,1.07,1.24,1.53,2.0,2.53,3.01,3.38,3.59,3.82,4.1,4.44,4.65,4.68,4.61,4.45,4.22,3.97,3.73,3.49,3.33,3.21,3.09,2.99,2.84,2.63,2.3,1.86,1.47,1.21,1.09,1.09,1.08,1.0,0.71,0.28,-0.22,-0.69,-1.23,-1.73,-2.06,-2.11,-1.73,-1.14,-0.29,0.48,1.09,1.51,1.8,2.12,2.28,2.34,2.39,2.58,2.74,2.76,2.64,2.37,1.99,1.37,0.81,0.39,0.1,-0.08,-0.13,0.17,0.62,1.14,1.62,2.18,2.86,3.51,4.03,4.25,4.16,3.86,3.45,3.08,2.77,2.45,2.0,1.58,1.13,0.69,0.22,-0.21,-0.62,-1.01,-1.13,-0.97,-0.73,-0.59,-0.49,-0.33,-0.09,0.21,0.45,0.64,0.72,0.74,0.79,0.91,1.01,0.92,0.72,0.56,0.51,0.43,0.3,0.08,-0.12,-0.21,-0.17,-0.01,0.19,0.36,0.52,0.72,1.03,1.37,1.69,1.98,2.22,2.4,2.54,2.57,2.38,2.09,1.78,1.5,1.27,1.02,0.73,0.37,0.04,-0.22,-0.44,-0.7,-0.96,-1.12,-1.16,-1.07,-0.9,-0.6,-0.24,0.02,0.16,0.31,0.55,0.75,0.81,0.83,1.01,1.27,1.5,1.74,2.05,2.36,2.48,2.4,2.27,2.16,1.94,1.63,1.39,1.31,1.28,1.23,1.17,1.06,0.81,0.47,0.31,0.34,0.39,0.38,0.42,0.63,0.81,0.88,0.91,0.95,0.97,0.94,0.89,0.84,0.63,0.2,-0.32,-0.71,-1.01,-1.36,-1.64,-1.72,-1.55,-1.34,-1.09,-0.84,-0.74,-0.72,-0.52,0.0,0.56,1.07,1.52,2.08,2.67,3.14,3.45,3.56,3.59,3.54,3.57,3.71,3.79,3.66,3.38,3.19,3.08,3.07,3.17,3.49,3.97,4.22,4.22,4.05,3.88,3.73,3.5,3.15,2.86,2.</t>
  </si>
  <si>
    <t>To_Avoid_Formula71,2.5,2.27,2.07,1.82,1.33,0.63,0.16,-0.06,-0.23,-0.47,-0.77,-0.96,-1.01,-1.05,-1.08,-0.94,-0.77,-0.67,-0.57,-0.36,-0.09,0.09,0.26,0.64,1.11,1.54,1.98,2.58,3.14,3.43,3.5,3.51,3.53,3.36,3.12,2.91,2.81,2.71,2.53,2.38,2.24,2.06,1.76,1.55,1.51,1.44,1.21,0.92,0.69,0.46,0.15,-0.14,-0.31,-0.42,-0.52,-0.5,-0.34,-0.17,-0.09,0.02,0.29,0.62,0.88,1.12,1.42,1.74,1.94,2.0,2.05,2.07,1.97,1.83,1.83,1.97,2.08,2.02,1.91,1.9,1.85,1.66,1.46,1.4,1.44,1.44,1.43,1.46,1.43,1.2,0.82,0.41,0.11,-0.14,-0.47,-0.69,-0.77,-0.76,-0.83,-0.87,-0.8,-0.76,-0.84,-0.84,-0.59,-0.21,0.22,0.67,1.14,1.59,1.91,2.18,2.47,2.76,2.88,2.87,2.93,3.05,3.03,2.84,2.64,2.48,2.2,1.84,1.54,1.33,1.11,0.85,0.74,0.81,0.92,0.97,1.08,1.24,1.39,1.43,1.34,1.16,0.97,0.85,0.81,0.73,0.42,-0.09,-0.41,-0.46,-0.37,-0.25,-0.08,0.1,0.27,0.5,0.89,1.3,1.55,1.74,2.1,2.57,2.92,2.86,2.56,2.24,1.9,1.49,1.11,0.82,0.51,0.2,0.08,0.21,0.32,0.29,0.33,0.6,1.08,1.54,1.85,1.99,2.02,2.02,1.96,1.85,1.67,1.38,1.08,0.93,0.88,0.84,0.68,0.43,0.16,-0.12,-0.35,-0.49,-0.48,-0.2,0.22,0.56,0.84,1.07,1.2,1.28,1.4,1.61,1.78,1.88,1.97,2.08,2.14,2.05,1.77,1.38,1.04,0.65,0.25,-0.07,-0.29,-0.52,-0.71,-0.79,-0.82,-0.79,-0.65,-0.33,-0.01,0.24,0.61,1.16,1.72,2.14,2.49,2.96,3.34,3.61,3.83,4.15,4.47,4.59,4.52,4.51,4.6,4.5,4.19,3.9,3.72,3.43,2.82,2.23,1.79,1.38,0.85,0.33,0.02,-0.19,-0.41,-0.67,-0.79,-0.83,-0.89,-0.98,-0.96,-0.89,-0.91,-0.99,-0.97,-0.81,-0.64,-0.57,-0.48,-0.28,-0.06,0.07,0.2,0.4,0.63,0.78,0.91,1.14,1.42,1.63,1.7,1.74,1.81,1.86,</t>
  </si>
  <si>
    <t>To_Avoid_Formula54.16,54.16,54.16,54.16,54.16,54.16,54.16,54.16,54.16,54.16,54.16,54.16,54.16,54.17,54.17,54.17,54.17,54.17,54.17,54.17,54.17,54.17,54.17,54.17,54.17,54.17,54.17,54.17,54.17,54.17,54.17,54.17,54.17,54.18,54.18,54.18,54.18,54.18,54.18,54.18,54.18,54.18,54.18,54.18,54.18,54.18,54.18,54.18,54.18,54.18,54.18,54.18,54.19,54.19,54.19,54.19,54.19,54.19,54.19,54.19,54.19,54.19,54.19,54.19,54.19,54.19,54.19,54.19,54.19,54.19,54.19,54.19,54.19,54.2,54.2,54.2,54.2,54.2,54.2,54.2,54.2,54.2,54.2,54.2,54.2,54.2,54.2,54.2,54.2,54.2,54.2,54.2,54.2,54.2,54.21,54.21,54.21,54.21,54.21,54.21,54.21,54.21,54.21,54.21,54.21,54.21,54.21,54.21,54.21,54.21,54.21,54.21,54.21,54.21,54.21,54.21,54.22,54.22,54.22,54.22,54.22,54.22,54.22,54.22,54.22,54.22,54.22,54.22,54.22,54.22,54.22,54.22,54.22,54.22,54.22,54.22,54.22,54.23,54.23,54.23,54.23,54.23,54.23,54.23,54.23,54.23,54.23,54.23,54.23,54.23,54.23,54.23,54.23,54.23,54.23,54.23,54.23,54.23,54.23,54.24,54.24,54.24,54.24,54.24,54.24,54.24,54.24,54.24,54.24,54.24,54.24,54.24,54.24,54.24,54.24,54.24,54.24,54.24,54.24,54.24,54.24,54.25,54.25,54.25,54.25,54.25,54.25,54.25,54.25,54.25,54.25,54.25,54.25,54.25,54.25,54.25,54.25,54.25,54.25,54.25,54.25,54.25,54.26,54.26,54.26,54.26,54.26,54.26,54.26,54.26,54.26,54.26,54.26,54.26,54.26,54.26,54.26,54.26,54.26,54.26,54.26,54.26,54.26,54.27,54.27,54.27,54.27,54.27,54.27,54.27,54.27,54.27,54.27,54.27,54.27,54.27,54.27,54.27,54.27,54.27,54.27,54.27,54.27,54.28,54.28,54.28,54.28,54.28,54.28,54.28,54.28,54.28,54.28,54.28,54.28,54.28,54.28,54.28,54.28,54.28,54.28,54.28,54.28,54.28,54.29,54.29,54.29,54.29,54.29,54.29,54.29,54.29,54.29,54.29,54.29,54.29,54.29,54.29,54.29,54.29,54.29,54.29,54.29,54.29,54.3,54.3,54.3,54.3,54.3,54.3,54.3,54.3,54.3,54.3,54.3,54.3,54.3,54.3,54.3,54.3,54.3,54.3,54.3,54.3,54.31,54.31,54.31,54.31,54.31,54.31,54.31,54.31,54.31,54.31,54.31,54.31,54.31,54.31,54.31,54.31,54.31,54.31,54.32,54.32,54.32,54.32,54.32,54.32,54.32,54.32,54.32,54.32,54.32,54.32,54.32,54.32,54.32,54.32,54.32,54.32,54.32,54.32,54.33,54.33,54.33,54.33,54.33,54.33,54.33,54.33,54.33,54.33,54.33,54.33,54.33,54.33,54.33,54.33,54.33,54.33,54.33,54.34,54.34,54.34,54.34,54.34,54.34,54.34,54.34,54.34,54.34,54.34,54.34,54.34,54.34,54.34,54.34,54.34,54.34,54.35,54.35,54.35,54.35,54.35,54.35,54.35,54.35,54.35,54.35,54.35,54.35,54.35,54.35,54.35,54.35,54.35,54.35,54.36,54.36,54.36,54.36,54.36,54.36,54.36,54.36,54.36,54.36,54.36,54.36,54.36,54.36,54.36,54.36,54.36,54.36,54.36,54.37,54.37,54.37,54.37,54.37,54.37,54.37,54.37,54.37,54.37,54.37,54.37,54.37,54.37,54.37,54.37,54.37,54.37,54.37,54.38,54.38,54.38,54.38,54.38,54.38,54.38,54.38,54.38,54.38,54.38,54.38,54.38,54.38,54.38,54.38,54.38,54.39,54.39,54.39,54.39,54.39,54.39,54.39,54.39,54.39,54.39,54.39,54.39,54.39,54.39,54.39,54.39,54.39,54.39,54.39,54.4,54.4,54.4,54.4,54.4,54.4,54.4,54.4,54.4,54.4,54.4,54.4,54.4,54.4,54.4,54.4,54.4,54.4,54.4,54.41,54.41,54.41,54.41,54.41,54.41,54.41,54.41,54.41,54.41,54.41,54.41,54.41,54.41,54.41,54.41,54.41,54.41,54.42,54.42,54.42,54.42,54.42,54.42,54.42,54.42,54.42,54.42,54.42,54.42,54.42,54.42,54.42,54.42,54.42,54.42,54.42,54.43,54.43,54.43,54.43,54.43,54.43,54.43,54.43,54.43,54.43,54.43,54.43,54.43,54.43,54.43,54.43,54.43,54.43,54.43,54.44,54.44,54.44,54.44,54.44,54.44,54.44,54.44,54.44,54.44,54.44,54.44,54.44,54.44,54.44,54.44,54.44,54.44,54.44,54.44,54.45,54.45,54.45,54.45,54.45,54.45,54.45,54.45,54.45,54.45,54.45,54.45,54.45,54.45,54.45,54.45,54.45,54.45,54.46,54.46,54.46,54.46,54.46,54.46,54.46,54.46,54.46,54.46,54.46,54.46,54.46,54.46,54.46,54.46,54.46,54.46,54.46,54.46,54.47,54.47,54.47,54.47,54.47,54.47,54.47,54.47,54.47,54.47,54.47,54.47,54.47,54.47,54.47,54.47,54.47,54.47,54.47,54.48,54.48,54.48,54.48,54.48,54.48,54.48,54.48,54.48,54.48,54.48,54.48,54.48,54.48,54.48,54.48,54.48,54.48,54.48,54.48,54.49,54.49,54.49,54.49,54.49,54.49,54.49,54.49,54.49,54.49,54.49,54.49,54.49,54.49,54.49,54.49,54.49,54.49,54.49,54.49,54</t>
  </si>
  <si>
    <t>To_Avoid_Formula.5,54.5,54.5,54.5,54.5,54.5,54.5,54.5,54.5,54.5,54.5,54.5,54.5,54.5,54.5,54.5,54.5,54.5,54.5,54.5,54.5,54.51,54.51,54.51,54.51,54.51,54.51,54.51,54.51,54.51,54.51,54.51,54.51,54.51,54.51,54.51,54.51,54.51,54.51,54.51,54.51,54.52,54.52,54.52,54.52,54.52,54.52,54.52,54.52,54.52,54.52,54.52,54.52,54.52,54.52,54.52,54.52,54.52,54.52,54.52,54.52,54.52,54.52,54.53,54.53,54.53,54.53,54.53,54.53,54.53,54.53,54.53,54.53,54.53,54.53,54.53,54.53,54.53,54.53,54.53,54.53,54.53,54.53,54.53,54.54,54.54,54.54,54.54,54.54,54.54,54.54,54.54,54.54,54.54,54.54,54.54,54.54,54.54,54.54,54.54,54.54,54.54,54.54,54.54,54.54,54.54,54.55,54.55,54.55,54.55,54.55,54.55,54.55,54.55,54.55,54.55,54.55,54.55,54.55,54.55,54.55,54.55,54.55,54.55,54.55,54.55,54.55,54.55,54.55,54.56,54.56,54.56,54.56,54.56,54.56,54.56,54.56,54.56,54.56,54.56,54.56,54.56,54.56,54.56,54.56,54.56,54.56,54.56,54.56,54.56,54.56,54.56,54.56,54.57,54.57,54.57,54.57,54.57,54.57,54.57,54.57,54.57,54.57,54.57,54.57,54.57,54.57,54.57,54.57,54.57,54.57,54.57,54.57,54.57,54.57,54.57,54.57,54.58,54.58,54.58,54.58,54.58,54.58,54.58,54.58,54.58,54.58,54.58,54.58,54.58,54.58,54.58,54.58,54.58,54.58,54.58,54.58,54.58,54.58,54.58,54.58,54.58,54.59,54.59,54.59,54.59,54.59,54.59,54.59,54.59,54.59,54.59,54.59,54.59,54.59,54.59,54.59,54.59,54.59,54.59,54.59,54.59,54.59,54.59,54.59,54.59,54.59,54.59,54.6,54.6,54.6,54.6,54.6,54.6,54.6,54.6,54.6,54.6,54.6,54.6,54.6,54.6,54.6,54.6,54.6,54.6,54.6,54.6,54.6,54.6,54.6,54.6,54.6,54.61,54.61,54.61,54.61,54.61,54.61,54.61,54.61,54.61,54.61,54.61,54.61,54.61,54.61,54.61,54.61,54.61,54.61,54.61,54.61,54.61,54.61,54.61,54.61,54.61,54.62,54.62,54.62,54.62,54.62,54.62,54.62,54.62,54.62,54.62,54.62,54.62,54.62,54.62,54.62,54.62,54.62,54.62,54.62,54.62,54.62,54.62,54.62,54.62,54.62,54.63,54.63,54.63,54.63,54.63,54.63,54.63,54.63,54.63,54.63,54.63,54.63,54.63,54.63,54.63,54.63,54.63,54.63,54.63,54.63,54.63,54.63,54.63,54.63,54.64,54.64,54.64,54.64,54.64,54.64,54.64,54.64,54.64,54.64,54.64,54.64,54.64,54.64,54.64,54.64,54.64,54.64,54.64,54.64,54.64,54.64,54.64,54.65,54.65,54.65,54.65,54.65,54.65,54.65,54.65,54.65,54.65,54.65,54.65,54.65,54.65,54.65,54.65,54.65,54.65,54.65,54.65,54.65,54.65,54.66,54.66,54.66,54.66,54.66,54.66,54.66,54.66,54.66,54.66,54.66,54.66,54.66,54.66,54.66,54.66,54.66,54.66,54.66,54.66,54.66,54.66,54.67,</t>
  </si>
  <si>
    <t>ELR: ECM1    Track Id: 2100    Start Eighth: 138/0    End Eighth: 140/0    Date(DD/MM/YYYY): 31/08/2026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</si>
</sst>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7" x14ac:knownFonts="1">
    <font>
      <sz val="10"/>
      <name val="Arial"/>
    </font>
    <font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0"/>
      <name val="Courier New"/>
      <family val="3"/>
    </font>
    <font>
      <sz val="10"/>
      <color rgb="FF000000"/>
      <name val="Arial"/>
      <family val="2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5" fontId="0" fillId="0" borderId="0" xfId="0" applyNumberFormat="1"/>
    <xf numFmtId="0" fontId="2" fillId="0" borderId="0" xfId="0" applyFont="1"/>
    <xf numFmtId="2" fontId="0" fillId="0" borderId="0" xfId="0" applyNumberFormat="1"/>
    <xf numFmtId="0" fontId="3" fillId="0" borderId="0" xfId="0" applyFont="1"/>
    <xf numFmtId="49" fontId="0" fillId="0" borderId="0" xfId="0" applyNumberFormat="1"/>
    <xf numFmtId="49" fontId="0" fillId="0" borderId="0" xfId="0" applyNumberFormat="1" applyAlignment="1">
      <alignment wrapText="1"/>
    </xf>
    <xf numFmtId="14" fontId="3" fillId="0" borderId="0" xfId="0" applyNumberFormat="1" applyFont="1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/>
    <xf numFmtId="47" fontId="0" fillId="0" borderId="0" xfId="0" applyNumberFormat="1"/>
    <xf numFmtId="16" fontId="0" fillId="0" borderId="0" xfId="0" applyNumberFormat="1"/>
    <xf numFmtId="1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List" dx="22" fmlaLink="Config!$A$22" fmlaRange="Config!get_elr" sel="409" val="403"/>
</file>

<file path=xl/ctrlProps/ctrlProp2.xml><?xml version="1.0" encoding="utf-8"?>
<formControlPr xmlns="http://schemas.microsoft.com/office/spreadsheetml/2009/9/main" objectType="List" dx="22" fmlaLink="Config!$A$24" fmlaRange="Config!get_track_id" sel="26" val="21"/>
</file>

<file path=xl/ctrlProps/ctrlProp3.xml><?xml version="1.0" encoding="utf-8"?>
<formControlPr xmlns="http://schemas.microsoft.com/office/spreadsheetml/2009/9/main" objectType="List" dx="22" fmlaLink="Config!$B$32" fmlaRange="Config!get_dates" sel="331" val="325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495300</xdr:colOff>
      <xdr:row>4</xdr:row>
      <xdr:rowOff>28575</xdr:rowOff>
    </xdr:from>
    <xdr:to>
      <xdr:col>9</xdr:col>
      <xdr:colOff>714375</xdr:colOff>
      <xdr:row>22</xdr:row>
      <xdr:rowOff>38100</xdr:rowOff>
    </xdr:to>
    <xdr:sp macro="" textlink="">
      <xdr:nvSpPr>
        <xdr:cNvPr id="1028" name="Rectangle 4">
          <a:extLs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SpPr>
          <a:spLocks noChangeArrowheads="1"/>
        </xdr:cNvSpPr>
      </xdr:nvSpPr>
      <xdr:spPr bwMode="auto">
        <a:xfrm>
          <a:off x="495300" y="742950"/>
          <a:ext cx="6362700" cy="29241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196850</xdr:colOff>
          <xdr:row>7</xdr:row>
          <xdr:rowOff>114300</xdr:rowOff>
        </xdr:from>
        <xdr:to>
          <xdr:col>2</xdr:col>
          <xdr:colOff>654050</xdr:colOff>
          <xdr:row>13</xdr:row>
          <xdr:rowOff>44450</xdr:rowOff>
        </xdr:to>
        <xdr:sp macro="" textlink="">
          <xdr:nvSpPr>
            <xdr:cNvPr id="1025" name="List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292100</xdr:colOff>
          <xdr:row>7</xdr:row>
          <xdr:rowOff>114300</xdr:rowOff>
        </xdr:from>
        <xdr:to>
          <xdr:col>4</xdr:col>
          <xdr:colOff>520700</xdr:colOff>
          <xdr:row>13</xdr:row>
          <xdr:rowOff>44450</xdr:rowOff>
        </xdr:to>
        <xdr:sp macro="" textlink="">
          <xdr:nvSpPr>
            <xdr:cNvPr id="1026" name="List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6350</xdr:colOff>
          <xdr:row>7</xdr:row>
          <xdr:rowOff>76200</xdr:rowOff>
        </xdr:from>
        <xdr:to>
          <xdr:col>9</xdr:col>
          <xdr:colOff>387350</xdr:colOff>
          <xdr:row>13</xdr:row>
          <xdr:rowOff>6350</xdr:rowOff>
        </xdr:to>
        <xdr:sp macro="" textlink="">
          <xdr:nvSpPr>
            <xdr:cNvPr id="1027" name="List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330200</xdr:colOff>
          <xdr:row>15</xdr:row>
          <xdr:rowOff>6350</xdr:rowOff>
        </xdr:from>
        <xdr:to>
          <xdr:col>9</xdr:col>
          <xdr:colOff>273050</xdr:colOff>
          <xdr:row>16</xdr:row>
          <xdr:rowOff>82550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18</xdr:row>
          <xdr:rowOff>25400</xdr:rowOff>
        </xdr:from>
        <xdr:to>
          <xdr:col>7</xdr:col>
          <xdr:colOff>266700</xdr:colOff>
          <xdr:row>19</xdr:row>
          <xdr:rowOff>146050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DTF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260350</xdr:colOff>
          <xdr:row>11</xdr:row>
          <xdr:rowOff>114300</xdr:rowOff>
        </xdr:from>
        <xdr:to>
          <xdr:col>7</xdr:col>
          <xdr:colOff>19050</xdr:colOff>
          <xdr:row>13</xdr:row>
          <xdr:rowOff>0</xdr:rowOff>
        </xdr:to>
        <xdr:sp macro="" textlink="">
          <xdr:nvSpPr>
            <xdr:cNvPr id="1031" name="Text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260350</xdr:colOff>
          <xdr:row>7</xdr:row>
          <xdr:rowOff>101600</xdr:rowOff>
        </xdr:from>
        <xdr:to>
          <xdr:col>7</xdr:col>
          <xdr:colOff>19050</xdr:colOff>
          <xdr:row>8</xdr:row>
          <xdr:rowOff>146050</xdr:rowOff>
        </xdr:to>
        <xdr:sp macro="" textlink="">
          <xdr:nvSpPr>
            <xdr:cNvPr id="1032" name="TextBox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196850</xdr:colOff>
          <xdr:row>15</xdr:row>
          <xdr:rowOff>31750</xdr:rowOff>
        </xdr:from>
        <xdr:to>
          <xdr:col>7</xdr:col>
          <xdr:colOff>990600</xdr:colOff>
          <xdr:row>16</xdr:row>
          <xdr:rowOff>95250</xdr:rowOff>
        </xdr:to>
        <xdr:sp macro="" textlink="">
          <xdr:nvSpPr>
            <xdr:cNvPr id="1033" name="TextBox3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6</xdr:row>
          <xdr:rowOff>0</xdr:rowOff>
        </xdr:from>
        <xdr:to>
          <xdr:col>7</xdr:col>
          <xdr:colOff>31750</xdr:colOff>
          <xdr:row>7</xdr:row>
          <xdr:rowOff>0</xdr:rowOff>
        </xdr:to>
        <xdr:sp macro="" textlink="">
          <xdr:nvSpPr>
            <xdr:cNvPr id="1036" name="Label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Start Eighth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10</xdr:row>
          <xdr:rowOff>31750</xdr:rowOff>
        </xdr:from>
        <xdr:to>
          <xdr:col>7</xdr:col>
          <xdr:colOff>44450</xdr:colOff>
          <xdr:row>11</xdr:row>
          <xdr:rowOff>31750</xdr:rowOff>
        </xdr:to>
        <xdr:sp macro="" textlink="">
          <xdr:nvSpPr>
            <xdr:cNvPr id="1037" name="Label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End Eighth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5</xdr:row>
          <xdr:rowOff>146050</xdr:rowOff>
        </xdr:from>
        <xdr:to>
          <xdr:col>9</xdr:col>
          <xdr:colOff>412750</xdr:colOff>
          <xdr:row>6</xdr:row>
          <xdr:rowOff>146050</xdr:rowOff>
        </xdr:to>
        <xdr:sp macro="" textlink="">
          <xdr:nvSpPr>
            <xdr:cNvPr id="1038" name="Label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196850</xdr:colOff>
          <xdr:row>9</xdr:row>
          <xdr:rowOff>44450</xdr:rowOff>
        </xdr:from>
        <xdr:to>
          <xdr:col>7</xdr:col>
          <xdr:colOff>996950</xdr:colOff>
          <xdr:row>10</xdr:row>
          <xdr:rowOff>120650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276225</xdr:colOff>
      <xdr:row>2</xdr:row>
      <xdr:rowOff>76200</xdr:rowOff>
    </xdr:from>
    <xdr:to>
      <xdr:col>13</xdr:col>
      <xdr:colOff>552450</xdr:colOff>
      <xdr:row>4</xdr:row>
      <xdr:rowOff>114300</xdr:rowOff>
    </xdr:to>
    <xdr:sp macro="" textlink="">
      <xdr:nvSpPr>
        <xdr:cNvPr id="3073" name="Text Box 1">
          <a:extLst>
            <a:ext uri="{FF2B5EF4-FFF2-40B4-BE49-F238E27FC236}">
              <a16:creationId xmlns:a16="http://schemas.microsoft.com/office/drawing/2014/main" id="{00000000-0008-0000-0300-0000010C0000}"/>
            </a:ext>
          </a:extLst>
        </xdr:cNvPr>
        <xdr:cNvSpPr txBox="1">
          <a:spLocks noChangeArrowheads="1"/>
        </xdr:cNvSpPr>
      </xdr:nvSpPr>
      <xdr:spPr bwMode="auto">
        <a:xfrm>
          <a:off x="276225" y="400050"/>
          <a:ext cx="8201025" cy="361950"/>
        </a:xfrm>
        <a:prstGeom prst="rect">
          <a:avLst/>
        </a:prstGeom>
        <a:solidFill>
          <a:srgbClr val="C0C0C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36576" rIns="45720" bIns="0" anchor="t" upright="1"/>
        <a:lstStyle/>
        <a:p>
          <a:pPr algn="ctr" rtl="0">
            <a:defRPr sz="1000"/>
          </a:pPr>
          <a:r>
            <a:rPr lang="en-GB" sz="1800" b="1" i="0" u="none" strike="noStrike" baseline="0">
              <a:solidFill>
                <a:srgbClr val="000000"/>
              </a:solidFill>
              <a:latin typeface="Arial"/>
              <a:cs typeface="Arial"/>
            </a:rPr>
            <a:t>Authentication Failed.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t_elr" backgroundRefresh="0" growShrinkType="overwriteClear" connectionId="3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t_dates" backgroundRefresh="0" growShrinkType="overwriteClear" connectionId="1" xr16:uid="{00000000-0016-0000-0000-000002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t_track_id" backgroundRefresh="0" growShrinkType="overwriteClear" connectionId="2" xr16:uid="{00000000-0016-0000-0000-000001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EBQUERY?username=mike&amp;wb=ascii_data_pump&amp;ws=ascii_data_pump_qry" backgroundRefresh="0" growShrinkType="overwriteClear" connectionId="4" xr16:uid="{00000000-0016-0000-0200-000003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4" Type="http://schemas.openxmlformats.org/officeDocument/2006/relationships/queryTable" Target="../queryTables/query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18" Type="http://schemas.openxmlformats.org/officeDocument/2006/relationships/ctrlProp" Target="../ctrlProps/ctrlProp9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17" Type="http://schemas.openxmlformats.org/officeDocument/2006/relationships/ctrlProp" Target="../ctrlProps/ctrlProp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6.xml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1545"/>
  <sheetViews>
    <sheetView zoomScale="91" zoomScaleNormal="91" workbookViewId="0">
      <selection activeCell="F2" sqref="F2"/>
    </sheetView>
  </sheetViews>
  <sheetFormatPr defaultRowHeight="12.5" x14ac:dyDescent="0.25"/>
  <cols>
    <col min="1" max="1" width="25.1796875" bestFit="1" customWidth="1"/>
    <col min="2" max="2" width="15.7265625" bestFit="1" customWidth="1"/>
    <col min="3" max="3" width="10.7265625" bestFit="1" customWidth="1"/>
    <col min="4" max="4" width="7.1796875" customWidth="1"/>
    <col min="5" max="5" width="4.90625" bestFit="1" customWidth="1"/>
    <col min="6" max="6" width="9.90625" style="9" bestFit="1" customWidth="1"/>
    <col min="7" max="15" width="3.453125" customWidth="1"/>
    <col min="16" max="16" width="7" bestFit="1" customWidth="1"/>
    <col min="27" max="27" width="5" bestFit="1" customWidth="1"/>
  </cols>
  <sheetData>
    <row r="1" spans="1:27" ht="13" x14ac:dyDescent="0.3">
      <c r="D1" s="4" t="s">
        <v>0</v>
      </c>
      <c r="E1" s="4" t="s">
        <v>1</v>
      </c>
      <c r="F1" s="7" t="s">
        <v>2</v>
      </c>
    </row>
    <row r="2" spans="1:27" x14ac:dyDescent="0.25">
      <c r="D2" t="s">
        <v>3</v>
      </c>
      <c r="E2">
        <v>1100</v>
      </c>
      <c r="F2" s="9">
        <v>38783</v>
      </c>
      <c r="J2" s="9"/>
    </row>
    <row r="3" spans="1:27" x14ac:dyDescent="0.25">
      <c r="B3" s="1"/>
      <c r="D3" t="s">
        <v>4</v>
      </c>
      <c r="E3">
        <v>1152</v>
      </c>
      <c r="F3" s="9">
        <v>38797</v>
      </c>
      <c r="J3" s="9"/>
    </row>
    <row r="4" spans="1:27" x14ac:dyDescent="0.25">
      <c r="B4" s="1"/>
      <c r="D4" t="s">
        <v>5</v>
      </c>
      <c r="E4">
        <v>1200</v>
      </c>
      <c r="F4" s="9">
        <v>38860</v>
      </c>
      <c r="J4" s="9"/>
    </row>
    <row r="5" spans="1:27" x14ac:dyDescent="0.25">
      <c r="A5" s="1">
        <f>B5+A6</f>
        <v>0</v>
      </c>
      <c r="B5" s="1"/>
      <c r="D5" t="s">
        <v>6</v>
      </c>
      <c r="E5">
        <v>1201</v>
      </c>
      <c r="F5" s="9">
        <v>38881</v>
      </c>
    </row>
    <row r="6" spans="1:27" x14ac:dyDescent="0.25">
      <c r="B6" s="1"/>
      <c r="D6" t="s">
        <v>7</v>
      </c>
      <c r="E6">
        <v>1252</v>
      </c>
      <c r="F6" s="9">
        <v>39189</v>
      </c>
    </row>
    <row r="7" spans="1:27" x14ac:dyDescent="0.25">
      <c r="B7" s="1"/>
      <c r="D7" t="s">
        <v>8</v>
      </c>
      <c r="E7">
        <v>1300</v>
      </c>
      <c r="F7" s="9">
        <v>39293</v>
      </c>
    </row>
    <row r="8" spans="1:27" x14ac:dyDescent="0.25">
      <c r="B8" s="1"/>
      <c r="D8" t="s">
        <v>9</v>
      </c>
      <c r="E8">
        <v>1500</v>
      </c>
      <c r="F8" s="9">
        <v>39322</v>
      </c>
    </row>
    <row r="9" spans="1:27" x14ac:dyDescent="0.25">
      <c r="B9" s="1"/>
      <c r="D9" t="s">
        <v>10</v>
      </c>
      <c r="E9">
        <v>1700</v>
      </c>
      <c r="F9" s="9">
        <v>39370</v>
      </c>
    </row>
    <row r="10" spans="1:27" x14ac:dyDescent="0.25">
      <c r="D10" t="s">
        <v>11</v>
      </c>
      <c r="E10">
        <v>1800</v>
      </c>
      <c r="F10" s="9">
        <v>39384</v>
      </c>
    </row>
    <row r="11" spans="1:27" x14ac:dyDescent="0.25">
      <c r="D11" t="s">
        <v>12</v>
      </c>
      <c r="E11">
        <v>1801</v>
      </c>
      <c r="F11" s="9">
        <v>39412</v>
      </c>
      <c r="AA11">
        <v>1.56</v>
      </c>
    </row>
    <row r="12" spans="1:27" x14ac:dyDescent="0.25">
      <c r="D12" t="s">
        <v>13</v>
      </c>
      <c r="E12">
        <v>1802</v>
      </c>
      <c r="F12" s="9">
        <v>39559</v>
      </c>
    </row>
    <row r="13" spans="1:27" x14ac:dyDescent="0.25">
      <c r="D13" t="s">
        <v>14</v>
      </c>
      <c r="E13">
        <v>1808</v>
      </c>
      <c r="F13" s="9">
        <v>39568</v>
      </c>
    </row>
    <row r="14" spans="1:27" x14ac:dyDescent="0.25">
      <c r="D14" t="s">
        <v>15</v>
      </c>
      <c r="E14">
        <v>1900</v>
      </c>
      <c r="F14" s="9">
        <v>39601</v>
      </c>
      <c r="AA14">
        <f>ROUNDDOWN(1.44444444444444,0)</f>
        <v>1</v>
      </c>
    </row>
    <row r="15" spans="1:27" x14ac:dyDescent="0.25">
      <c r="D15" t="s">
        <v>16</v>
      </c>
      <c r="E15">
        <v>1901</v>
      </c>
      <c r="F15" s="9">
        <v>39636</v>
      </c>
    </row>
    <row r="16" spans="1:27" x14ac:dyDescent="0.25">
      <c r="D16" t="s">
        <v>17</v>
      </c>
      <c r="E16">
        <v>1902</v>
      </c>
      <c r="F16" s="9">
        <v>39664</v>
      </c>
    </row>
    <row r="17" spans="1:16" x14ac:dyDescent="0.25">
      <c r="D17" t="s">
        <v>18</v>
      </c>
      <c r="E17">
        <v>1903</v>
      </c>
      <c r="F17" s="9">
        <v>39741</v>
      </c>
    </row>
    <row r="18" spans="1:16" x14ac:dyDescent="0.25">
      <c r="D18" t="s">
        <v>19</v>
      </c>
      <c r="E18">
        <v>1904</v>
      </c>
      <c r="F18" s="9">
        <v>39755</v>
      </c>
    </row>
    <row r="19" spans="1:16" x14ac:dyDescent="0.25">
      <c r="D19" t="s">
        <v>20</v>
      </c>
      <c r="E19">
        <v>1905</v>
      </c>
      <c r="F19" s="9">
        <v>39853</v>
      </c>
    </row>
    <row r="20" spans="1:16" ht="13" x14ac:dyDescent="0.3">
      <c r="A20" s="4" t="s">
        <v>21</v>
      </c>
      <c r="D20" t="s">
        <v>22</v>
      </c>
      <c r="E20">
        <v>1909</v>
      </c>
      <c r="F20" s="9">
        <v>39881</v>
      </c>
    </row>
    <row r="21" spans="1:16" ht="13" x14ac:dyDescent="0.3">
      <c r="A21" s="4" t="s">
        <v>23</v>
      </c>
      <c r="B21" s="4" t="s">
        <v>0</v>
      </c>
      <c r="D21" t="s">
        <v>24</v>
      </c>
      <c r="E21">
        <v>1919</v>
      </c>
      <c r="F21" s="9">
        <v>39917</v>
      </c>
    </row>
    <row r="22" spans="1:16" x14ac:dyDescent="0.25">
      <c r="A22">
        <v>409</v>
      </c>
      <c r="B22" t="str">
        <f>INDEX(get_elr,A22,1)</f>
        <v>ECM1</v>
      </c>
      <c r="D22" t="s">
        <v>25</v>
      </c>
      <c r="E22">
        <v>1920</v>
      </c>
      <c r="F22" s="9">
        <v>39944</v>
      </c>
    </row>
    <row r="23" spans="1:16" ht="13" x14ac:dyDescent="0.3">
      <c r="A23" s="4" t="s">
        <v>26</v>
      </c>
      <c r="B23" s="4" t="s">
        <v>27</v>
      </c>
      <c r="D23" t="s">
        <v>28</v>
      </c>
      <c r="E23">
        <v>1921</v>
      </c>
      <c r="F23" s="9">
        <v>39972</v>
      </c>
    </row>
    <row r="24" spans="1:16" x14ac:dyDescent="0.25">
      <c r="A24">
        <v>26</v>
      </c>
      <c r="B24">
        <f>INDEX(get_track_id,A24,1)</f>
        <v>2100</v>
      </c>
      <c r="D24" t="s">
        <v>29</v>
      </c>
      <c r="E24">
        <v>1922</v>
      </c>
      <c r="F24" s="9">
        <v>40007</v>
      </c>
    </row>
    <row r="25" spans="1:16" ht="13" x14ac:dyDescent="0.3">
      <c r="A25" s="4" t="s">
        <v>30</v>
      </c>
      <c r="B25" s="4" t="s">
        <v>31</v>
      </c>
      <c r="C25" s="4" t="s">
        <v>32</v>
      </c>
      <c r="D25" t="s">
        <v>33</v>
      </c>
      <c r="E25">
        <v>1998</v>
      </c>
      <c r="F25" s="9">
        <v>40035</v>
      </c>
    </row>
    <row r="26" spans="1:16" ht="13" x14ac:dyDescent="0.3">
      <c r="A26" s="4"/>
      <c r="B26" s="14" t="s">
        <v>1596</v>
      </c>
      <c r="C26" s="13" t="s">
        <v>1597</v>
      </c>
      <c r="D26" t="s">
        <v>34</v>
      </c>
      <c r="E26">
        <v>1999</v>
      </c>
      <c r="F26" s="9">
        <v>40112</v>
      </c>
    </row>
    <row r="27" spans="1:16" ht="13" x14ac:dyDescent="0.3">
      <c r="A27" s="4" t="s">
        <v>35</v>
      </c>
      <c r="B27">
        <f>TRUNC(MID(B26,1,(FIND("/",B26)-1)))</f>
        <v>138</v>
      </c>
      <c r="C27">
        <f>TRUNC(MID(C26,1,(FIND("/",C26)-1)))</f>
        <v>140</v>
      </c>
      <c r="D27" t="s">
        <v>36</v>
      </c>
      <c r="E27">
        <v>2100</v>
      </c>
      <c r="F27" s="9">
        <v>40126</v>
      </c>
    </row>
    <row r="28" spans="1:16" ht="13" x14ac:dyDescent="0.3">
      <c r="A28" s="4" t="s">
        <v>37</v>
      </c>
      <c r="B28">
        <f>IF(ISNUMBER(B27),B27*1760)</f>
        <v>242880</v>
      </c>
      <c r="C28">
        <f>IF(ISNUMBER(C27),C27*1760)</f>
        <v>246400</v>
      </c>
      <c r="D28" t="s">
        <v>38</v>
      </c>
      <c r="E28">
        <v>2101</v>
      </c>
      <c r="F28" s="9">
        <v>40203</v>
      </c>
    </row>
    <row r="29" spans="1:16" ht="13" x14ac:dyDescent="0.3">
      <c r="A29" s="4" t="s">
        <v>39</v>
      </c>
      <c r="B29">
        <f>IF(ISNUMBER(TRUNC(MID(B26,(FIND("/",B26)+1),2))),TRUNC(MID(B26,(FIND("/",B26)+1),2)))</f>
        <v>0</v>
      </c>
      <c r="C29">
        <f>IF(ISNUMBER(TRUNC(MID(C26,(FIND("/",C26)+1),2))),TRUNC(MID(C26,(FIND("/",C26)+1),2)))</f>
        <v>0</v>
      </c>
      <c r="D29" t="s">
        <v>40</v>
      </c>
      <c r="E29">
        <v>2200</v>
      </c>
      <c r="F29" s="9">
        <v>40518</v>
      </c>
    </row>
    <row r="30" spans="1:16" ht="13" x14ac:dyDescent="0.3">
      <c r="A30" s="4" t="s">
        <v>37</v>
      </c>
      <c r="B30">
        <f>IF(ISNUMBER(B29),B29*220)</f>
        <v>0</v>
      </c>
      <c r="C30">
        <f>IF(ISNUMBER(C29),C29*220)</f>
        <v>0</v>
      </c>
      <c r="D30" t="s">
        <v>41</v>
      </c>
      <c r="E30">
        <v>2202</v>
      </c>
      <c r="F30" s="9">
        <v>40560</v>
      </c>
    </row>
    <row r="31" spans="1:16" ht="13" x14ac:dyDescent="0.3">
      <c r="A31" s="4" t="s">
        <v>42</v>
      </c>
      <c r="B31">
        <f>B30+B28</f>
        <v>242880</v>
      </c>
      <c r="C31">
        <f>C30+C28</f>
        <v>246400</v>
      </c>
      <c r="D31" t="s">
        <v>43</v>
      </c>
      <c r="E31">
        <v>2252</v>
      </c>
      <c r="F31" s="9">
        <v>40574</v>
      </c>
    </row>
    <row r="32" spans="1:16" ht="13" x14ac:dyDescent="0.3">
      <c r="A32" s="4" t="s">
        <v>44</v>
      </c>
      <c r="B32">
        <v>331</v>
      </c>
      <c r="C32" s="8">
        <f>INDEX(get_dates,B32,1)</f>
        <v>46265</v>
      </c>
      <c r="D32" t="s">
        <v>45</v>
      </c>
      <c r="E32">
        <v>2253</v>
      </c>
      <c r="F32" s="9">
        <v>40616</v>
      </c>
      <c r="P32">
        <f>50380/1760</f>
        <v>28.625</v>
      </c>
    </row>
    <row r="33" spans="1:16" ht="13" x14ac:dyDescent="0.3">
      <c r="A33" s="4" t="s">
        <v>46</v>
      </c>
      <c r="B33" s="4" t="s">
        <v>47</v>
      </c>
      <c r="D33" t="s">
        <v>48</v>
      </c>
      <c r="E33">
        <v>2300</v>
      </c>
      <c r="F33" s="9">
        <v>40651</v>
      </c>
      <c r="P33">
        <f>50600/1760</f>
        <v>28.75</v>
      </c>
    </row>
    <row r="34" spans="1:16" x14ac:dyDescent="0.25">
      <c r="A34">
        <v>2</v>
      </c>
      <c r="B34">
        <v>0</v>
      </c>
      <c r="D34" t="s">
        <v>49</v>
      </c>
      <c r="E34">
        <v>2500</v>
      </c>
      <c r="F34" s="9">
        <v>40674</v>
      </c>
    </row>
    <row r="35" spans="1:16" x14ac:dyDescent="0.25">
      <c r="D35" t="s">
        <v>50</v>
      </c>
      <c r="E35">
        <v>2700</v>
      </c>
      <c r="F35" s="9">
        <v>40679</v>
      </c>
    </row>
    <row r="36" spans="1:16" ht="13" x14ac:dyDescent="0.3">
      <c r="A36" s="4" t="s">
        <v>44</v>
      </c>
      <c r="C36" s="8" t="str">
        <f>TEXT(C32,"DD/MM/YYYY")</f>
        <v>31/08/2026</v>
      </c>
      <c r="D36" t="s">
        <v>51</v>
      </c>
      <c r="E36">
        <v>2801</v>
      </c>
      <c r="F36" s="9">
        <v>40707</v>
      </c>
    </row>
    <row r="37" spans="1:16" x14ac:dyDescent="0.25">
      <c r="D37" t="s">
        <v>52</v>
      </c>
      <c r="E37">
        <v>2802</v>
      </c>
      <c r="F37" s="9">
        <v>40742</v>
      </c>
    </row>
    <row r="38" spans="1:16" x14ac:dyDescent="0.25">
      <c r="D38" t="s">
        <v>53</v>
      </c>
      <c r="E38">
        <v>2803</v>
      </c>
      <c r="F38" s="9">
        <v>40756</v>
      </c>
    </row>
    <row r="39" spans="1:16" x14ac:dyDescent="0.25">
      <c r="D39" t="s">
        <v>54</v>
      </c>
      <c r="E39">
        <v>2808</v>
      </c>
      <c r="F39" s="9">
        <v>40770</v>
      </c>
    </row>
    <row r="40" spans="1:16" x14ac:dyDescent="0.25">
      <c r="D40" t="s">
        <v>55</v>
      </c>
      <c r="E40">
        <v>2900</v>
      </c>
      <c r="F40" s="9">
        <v>40798</v>
      </c>
    </row>
    <row r="41" spans="1:16" x14ac:dyDescent="0.25">
      <c r="D41" t="s">
        <v>56</v>
      </c>
      <c r="E41">
        <v>2901</v>
      </c>
      <c r="F41" s="9">
        <v>40833</v>
      </c>
    </row>
    <row r="42" spans="1:16" x14ac:dyDescent="0.25">
      <c r="D42" t="s">
        <v>57</v>
      </c>
      <c r="E42">
        <v>2902</v>
      </c>
      <c r="F42" s="9">
        <v>40847</v>
      </c>
    </row>
    <row r="43" spans="1:16" x14ac:dyDescent="0.25">
      <c r="D43" t="s">
        <v>58</v>
      </c>
      <c r="E43">
        <v>2903</v>
      </c>
      <c r="F43" s="9">
        <v>40861</v>
      </c>
    </row>
    <row r="44" spans="1:16" x14ac:dyDescent="0.25">
      <c r="D44" t="s">
        <v>59</v>
      </c>
      <c r="E44">
        <v>2904</v>
      </c>
      <c r="F44" s="9">
        <v>40889</v>
      </c>
    </row>
    <row r="45" spans="1:16" x14ac:dyDescent="0.25">
      <c r="D45" t="s">
        <v>60</v>
      </c>
      <c r="E45">
        <v>2905</v>
      </c>
      <c r="F45" s="9">
        <v>40924</v>
      </c>
    </row>
    <row r="46" spans="1:16" x14ac:dyDescent="0.25">
      <c r="D46" t="s">
        <v>61</v>
      </c>
      <c r="E46">
        <v>2906</v>
      </c>
      <c r="F46" s="9">
        <v>40938</v>
      </c>
    </row>
    <row r="47" spans="1:16" x14ac:dyDescent="0.25">
      <c r="D47" t="s">
        <v>62</v>
      </c>
      <c r="E47">
        <v>2910</v>
      </c>
      <c r="F47" s="9">
        <v>40952</v>
      </c>
    </row>
    <row r="48" spans="1:16" x14ac:dyDescent="0.25">
      <c r="D48" t="s">
        <v>63</v>
      </c>
      <c r="E48">
        <v>2915</v>
      </c>
      <c r="F48" s="9">
        <v>40980</v>
      </c>
    </row>
    <row r="49" spans="4:6" x14ac:dyDescent="0.25">
      <c r="D49" t="s">
        <v>64</v>
      </c>
      <c r="E49">
        <v>3200</v>
      </c>
      <c r="F49" s="9">
        <v>41029</v>
      </c>
    </row>
    <row r="50" spans="4:6" x14ac:dyDescent="0.25">
      <c r="D50" t="s">
        <v>65</v>
      </c>
      <c r="E50">
        <v>3201</v>
      </c>
      <c r="F50" s="9">
        <v>41043</v>
      </c>
    </row>
    <row r="51" spans="4:6" x14ac:dyDescent="0.25">
      <c r="D51" t="s">
        <v>66</v>
      </c>
      <c r="E51">
        <v>3202</v>
      </c>
      <c r="F51" s="9">
        <v>41071</v>
      </c>
    </row>
    <row r="52" spans="4:6" x14ac:dyDescent="0.25">
      <c r="D52" t="s">
        <v>67</v>
      </c>
      <c r="E52">
        <v>3300</v>
      </c>
      <c r="F52" s="9">
        <v>41106</v>
      </c>
    </row>
    <row r="53" spans="4:6" x14ac:dyDescent="0.25">
      <c r="D53" t="s">
        <v>68</v>
      </c>
      <c r="E53">
        <v>3301</v>
      </c>
      <c r="F53" s="9">
        <v>41134</v>
      </c>
    </row>
    <row r="54" spans="4:6" x14ac:dyDescent="0.25">
      <c r="D54" t="s">
        <v>69</v>
      </c>
      <c r="E54">
        <v>3302</v>
      </c>
      <c r="F54" s="9">
        <v>41162</v>
      </c>
    </row>
    <row r="55" spans="4:6" x14ac:dyDescent="0.25">
      <c r="D55" t="s">
        <v>70</v>
      </c>
      <c r="E55">
        <v>3500</v>
      </c>
      <c r="F55" s="9">
        <v>41197</v>
      </c>
    </row>
    <row r="56" spans="4:6" x14ac:dyDescent="0.25">
      <c r="D56" t="s">
        <v>71</v>
      </c>
      <c r="E56">
        <v>3601</v>
      </c>
      <c r="F56" s="9">
        <v>41225</v>
      </c>
    </row>
    <row r="57" spans="4:6" x14ac:dyDescent="0.25">
      <c r="D57" t="s">
        <v>72</v>
      </c>
      <c r="E57">
        <v>3602</v>
      </c>
      <c r="F57" s="9">
        <v>41253</v>
      </c>
    </row>
    <row r="58" spans="4:6" x14ac:dyDescent="0.25">
      <c r="D58" t="s">
        <v>73</v>
      </c>
      <c r="E58">
        <v>3603</v>
      </c>
      <c r="F58" s="9">
        <v>41288</v>
      </c>
    </row>
    <row r="59" spans="4:6" x14ac:dyDescent="0.25">
      <c r="D59" t="s">
        <v>74</v>
      </c>
      <c r="E59">
        <v>3604</v>
      </c>
      <c r="F59" s="9">
        <v>41302</v>
      </c>
    </row>
    <row r="60" spans="4:6" x14ac:dyDescent="0.25">
      <c r="D60" t="s">
        <v>75</v>
      </c>
      <c r="E60">
        <v>3605</v>
      </c>
      <c r="F60" s="9">
        <v>41316</v>
      </c>
    </row>
    <row r="61" spans="4:6" x14ac:dyDescent="0.25">
      <c r="D61" t="s">
        <v>76</v>
      </c>
      <c r="E61">
        <v>3606</v>
      </c>
      <c r="F61" s="9">
        <v>41344</v>
      </c>
    </row>
    <row r="62" spans="4:6" x14ac:dyDescent="0.25">
      <c r="D62" t="s">
        <v>77</v>
      </c>
      <c r="E62">
        <v>3607</v>
      </c>
      <c r="F62" s="9">
        <v>41379</v>
      </c>
    </row>
    <row r="63" spans="4:6" x14ac:dyDescent="0.25">
      <c r="D63" t="s">
        <v>78</v>
      </c>
      <c r="E63">
        <v>3608</v>
      </c>
      <c r="F63" s="9">
        <v>41393</v>
      </c>
    </row>
    <row r="64" spans="4:6" x14ac:dyDescent="0.25">
      <c r="D64" t="s">
        <v>79</v>
      </c>
      <c r="E64">
        <v>3609</v>
      </c>
      <c r="F64" s="9">
        <v>41407</v>
      </c>
    </row>
    <row r="65" spans="4:6" x14ac:dyDescent="0.25">
      <c r="D65" t="s">
        <v>80</v>
      </c>
      <c r="E65">
        <v>3610</v>
      </c>
      <c r="F65" s="9">
        <v>41421</v>
      </c>
    </row>
    <row r="66" spans="4:6" x14ac:dyDescent="0.25">
      <c r="D66" t="s">
        <v>81</v>
      </c>
      <c r="E66">
        <v>3611</v>
      </c>
      <c r="F66" s="9">
        <v>41435</v>
      </c>
    </row>
    <row r="67" spans="4:6" x14ac:dyDescent="0.25">
      <c r="D67" t="s">
        <v>82</v>
      </c>
      <c r="E67">
        <v>3700</v>
      </c>
      <c r="F67" s="9">
        <v>41470</v>
      </c>
    </row>
    <row r="68" spans="4:6" x14ac:dyDescent="0.25">
      <c r="D68" t="s">
        <v>83</v>
      </c>
      <c r="E68">
        <v>3701</v>
      </c>
      <c r="F68" s="9">
        <v>41484</v>
      </c>
    </row>
    <row r="69" spans="4:6" x14ac:dyDescent="0.25">
      <c r="D69" t="s">
        <v>84</v>
      </c>
      <c r="E69">
        <v>3702</v>
      </c>
      <c r="F69" s="9">
        <v>41498</v>
      </c>
    </row>
    <row r="70" spans="4:6" x14ac:dyDescent="0.25">
      <c r="D70" t="s">
        <v>85</v>
      </c>
      <c r="E70">
        <v>3703</v>
      </c>
      <c r="F70" s="9">
        <v>41526</v>
      </c>
    </row>
    <row r="71" spans="4:6" x14ac:dyDescent="0.25">
      <c r="D71" t="s">
        <v>86</v>
      </c>
      <c r="E71">
        <v>3704</v>
      </c>
      <c r="F71" s="9">
        <v>41561</v>
      </c>
    </row>
    <row r="72" spans="4:6" x14ac:dyDescent="0.25">
      <c r="D72" t="s">
        <v>87</v>
      </c>
      <c r="E72">
        <v>3705</v>
      </c>
      <c r="F72" s="9">
        <v>41575</v>
      </c>
    </row>
    <row r="73" spans="4:6" x14ac:dyDescent="0.25">
      <c r="D73" t="s">
        <v>88</v>
      </c>
      <c r="E73">
        <v>3715</v>
      </c>
      <c r="F73" s="9">
        <v>41589</v>
      </c>
    </row>
    <row r="74" spans="4:6" x14ac:dyDescent="0.25">
      <c r="D74" t="s">
        <v>89</v>
      </c>
      <c r="E74">
        <v>3716</v>
      </c>
      <c r="F74" s="9">
        <v>41617</v>
      </c>
    </row>
    <row r="75" spans="4:6" x14ac:dyDescent="0.25">
      <c r="D75" t="s">
        <v>90</v>
      </c>
      <c r="E75">
        <v>3718</v>
      </c>
      <c r="F75" s="9">
        <v>41624</v>
      </c>
    </row>
    <row r="76" spans="4:6" x14ac:dyDescent="0.25">
      <c r="D76" t="s">
        <v>91</v>
      </c>
      <c r="E76">
        <v>3722</v>
      </c>
      <c r="F76" s="9">
        <v>41666</v>
      </c>
    </row>
    <row r="77" spans="4:6" x14ac:dyDescent="0.25">
      <c r="D77" t="s">
        <v>92</v>
      </c>
      <c r="E77">
        <v>3742</v>
      </c>
      <c r="F77" s="9">
        <v>41680</v>
      </c>
    </row>
    <row r="78" spans="4:6" x14ac:dyDescent="0.25">
      <c r="D78" t="s">
        <v>93</v>
      </c>
      <c r="E78">
        <v>3795</v>
      </c>
      <c r="F78" s="9">
        <v>41708</v>
      </c>
    </row>
    <row r="79" spans="4:6" x14ac:dyDescent="0.25">
      <c r="D79" t="s">
        <v>94</v>
      </c>
      <c r="E79">
        <v>3800</v>
      </c>
      <c r="F79" s="9">
        <v>41743</v>
      </c>
    </row>
    <row r="80" spans="4:6" x14ac:dyDescent="0.25">
      <c r="D80" t="s">
        <v>95</v>
      </c>
      <c r="E80">
        <v>3801</v>
      </c>
      <c r="F80" s="9">
        <v>41757</v>
      </c>
    </row>
    <row r="81" spans="4:6" x14ac:dyDescent="0.25">
      <c r="D81" t="s">
        <v>96</v>
      </c>
      <c r="E81">
        <v>3802</v>
      </c>
      <c r="F81" s="9">
        <v>41771</v>
      </c>
    </row>
    <row r="82" spans="4:6" x14ac:dyDescent="0.25">
      <c r="D82" t="s">
        <v>97</v>
      </c>
      <c r="E82">
        <v>3900</v>
      </c>
      <c r="F82" s="9">
        <v>41799</v>
      </c>
    </row>
    <row r="83" spans="4:6" x14ac:dyDescent="0.25">
      <c r="D83" t="s">
        <v>98</v>
      </c>
      <c r="E83">
        <v>3901</v>
      </c>
      <c r="F83" s="9">
        <v>41834</v>
      </c>
    </row>
    <row r="84" spans="4:6" x14ac:dyDescent="0.25">
      <c r="D84" t="s">
        <v>99</v>
      </c>
      <c r="E84">
        <v>3902</v>
      </c>
      <c r="F84" s="9">
        <v>41848</v>
      </c>
    </row>
    <row r="85" spans="4:6" x14ac:dyDescent="0.25">
      <c r="D85" t="s">
        <v>100</v>
      </c>
      <c r="F85" s="9">
        <v>41852</v>
      </c>
    </row>
    <row r="86" spans="4:6" x14ac:dyDescent="0.25">
      <c r="D86" t="s">
        <v>101</v>
      </c>
      <c r="F86" s="9">
        <v>41862</v>
      </c>
    </row>
    <row r="87" spans="4:6" x14ac:dyDescent="0.25">
      <c r="D87" t="s">
        <v>102</v>
      </c>
      <c r="F87" s="9">
        <v>41925</v>
      </c>
    </row>
    <row r="88" spans="4:6" x14ac:dyDescent="0.25">
      <c r="D88" t="s">
        <v>103</v>
      </c>
      <c r="F88" s="9">
        <v>41939</v>
      </c>
    </row>
    <row r="89" spans="4:6" x14ac:dyDescent="0.25">
      <c r="D89" t="s">
        <v>104</v>
      </c>
      <c r="F89" s="9">
        <v>41953</v>
      </c>
    </row>
    <row r="90" spans="4:6" x14ac:dyDescent="0.25">
      <c r="D90" t="s">
        <v>105</v>
      </c>
      <c r="F90" s="9">
        <v>41981</v>
      </c>
    </row>
    <row r="91" spans="4:6" x14ac:dyDescent="0.25">
      <c r="D91" t="s">
        <v>106</v>
      </c>
      <c r="F91" s="9">
        <v>41995</v>
      </c>
    </row>
    <row r="92" spans="4:6" x14ac:dyDescent="0.25">
      <c r="D92" t="s">
        <v>107</v>
      </c>
      <c r="F92" s="9">
        <v>42016</v>
      </c>
    </row>
    <row r="93" spans="4:6" x14ac:dyDescent="0.25">
      <c r="D93" t="s">
        <v>108</v>
      </c>
      <c r="F93" s="9">
        <v>42030</v>
      </c>
    </row>
    <row r="94" spans="4:6" x14ac:dyDescent="0.25">
      <c r="D94" t="s">
        <v>109</v>
      </c>
      <c r="F94" s="9">
        <v>42051</v>
      </c>
    </row>
    <row r="95" spans="4:6" x14ac:dyDescent="0.25">
      <c r="D95" t="s">
        <v>110</v>
      </c>
      <c r="F95" s="9">
        <v>42058</v>
      </c>
    </row>
    <row r="96" spans="4:6" x14ac:dyDescent="0.25">
      <c r="D96" t="s">
        <v>111</v>
      </c>
      <c r="F96" s="9">
        <v>42086</v>
      </c>
    </row>
    <row r="97" spans="4:6" x14ac:dyDescent="0.25">
      <c r="D97" t="s">
        <v>112</v>
      </c>
      <c r="F97" s="9">
        <v>42121</v>
      </c>
    </row>
    <row r="98" spans="4:6" x14ac:dyDescent="0.25">
      <c r="D98" t="s">
        <v>113</v>
      </c>
      <c r="F98" s="9">
        <v>42163</v>
      </c>
    </row>
    <row r="99" spans="4:6" x14ac:dyDescent="0.25">
      <c r="D99" t="s">
        <v>114</v>
      </c>
      <c r="F99" s="9">
        <v>42170</v>
      </c>
    </row>
    <row r="100" spans="4:6" x14ac:dyDescent="0.25">
      <c r="D100" t="s">
        <v>115</v>
      </c>
      <c r="F100" s="9">
        <v>42198</v>
      </c>
    </row>
    <row r="101" spans="4:6" x14ac:dyDescent="0.25">
      <c r="D101" t="s">
        <v>116</v>
      </c>
      <c r="F101" s="9">
        <v>42201</v>
      </c>
    </row>
    <row r="102" spans="4:6" x14ac:dyDescent="0.25">
      <c r="D102" t="s">
        <v>117</v>
      </c>
      <c r="F102" s="9">
        <v>42226</v>
      </c>
    </row>
    <row r="103" spans="4:6" x14ac:dyDescent="0.25">
      <c r="D103" t="s">
        <v>118</v>
      </c>
      <c r="F103" s="9">
        <v>42254</v>
      </c>
    </row>
    <row r="104" spans="4:6" x14ac:dyDescent="0.25">
      <c r="D104" t="s">
        <v>119</v>
      </c>
      <c r="F104" s="9">
        <v>42261</v>
      </c>
    </row>
    <row r="105" spans="4:6" x14ac:dyDescent="0.25">
      <c r="D105" t="s">
        <v>120</v>
      </c>
      <c r="F105" s="9">
        <v>42282</v>
      </c>
    </row>
    <row r="106" spans="4:6" x14ac:dyDescent="0.25">
      <c r="D106" t="s">
        <v>121</v>
      </c>
      <c r="F106" s="9">
        <v>42289</v>
      </c>
    </row>
    <row r="107" spans="4:6" x14ac:dyDescent="0.25">
      <c r="D107" t="s">
        <v>122</v>
      </c>
      <c r="F107" s="9">
        <v>42310</v>
      </c>
    </row>
    <row r="108" spans="4:6" x14ac:dyDescent="0.25">
      <c r="D108" t="s">
        <v>123</v>
      </c>
      <c r="F108" s="9">
        <v>42317</v>
      </c>
    </row>
    <row r="109" spans="4:6" x14ac:dyDescent="0.25">
      <c r="D109" t="s">
        <v>124</v>
      </c>
      <c r="F109" s="9">
        <v>42338</v>
      </c>
    </row>
    <row r="110" spans="4:6" x14ac:dyDescent="0.25">
      <c r="D110" t="s">
        <v>125</v>
      </c>
      <c r="F110" s="9">
        <v>42345</v>
      </c>
    </row>
    <row r="111" spans="4:6" x14ac:dyDescent="0.25">
      <c r="D111" t="s">
        <v>126</v>
      </c>
      <c r="F111" s="9">
        <v>42380</v>
      </c>
    </row>
    <row r="112" spans="4:6" x14ac:dyDescent="0.25">
      <c r="D112" t="s">
        <v>127</v>
      </c>
      <c r="F112" s="9">
        <v>42394</v>
      </c>
    </row>
    <row r="113" spans="4:6" x14ac:dyDescent="0.25">
      <c r="D113" t="s">
        <v>128</v>
      </c>
      <c r="F113" s="9">
        <v>42408</v>
      </c>
    </row>
    <row r="114" spans="4:6" x14ac:dyDescent="0.25">
      <c r="D114" t="s">
        <v>129</v>
      </c>
      <c r="F114" s="9">
        <v>42422</v>
      </c>
    </row>
    <row r="115" spans="4:6" x14ac:dyDescent="0.25">
      <c r="D115" t="s">
        <v>130</v>
      </c>
      <c r="F115" s="9">
        <v>42436</v>
      </c>
    </row>
    <row r="116" spans="4:6" x14ac:dyDescent="0.25">
      <c r="D116" t="s">
        <v>131</v>
      </c>
      <c r="F116" s="9">
        <v>42450</v>
      </c>
    </row>
    <row r="117" spans="4:6" x14ac:dyDescent="0.25">
      <c r="D117" t="s">
        <v>132</v>
      </c>
      <c r="F117" s="9">
        <v>42464</v>
      </c>
    </row>
    <row r="118" spans="4:6" x14ac:dyDescent="0.25">
      <c r="D118" t="s">
        <v>133</v>
      </c>
      <c r="F118" s="9">
        <v>42478</v>
      </c>
    </row>
    <row r="119" spans="4:6" x14ac:dyDescent="0.25">
      <c r="D119" t="s">
        <v>134</v>
      </c>
      <c r="F119" s="9">
        <v>42492</v>
      </c>
    </row>
    <row r="120" spans="4:6" x14ac:dyDescent="0.25">
      <c r="D120" t="s">
        <v>135</v>
      </c>
      <c r="F120" s="9">
        <v>42506</v>
      </c>
    </row>
    <row r="121" spans="4:6" x14ac:dyDescent="0.25">
      <c r="D121" t="s">
        <v>136</v>
      </c>
      <c r="F121" s="9">
        <v>42520</v>
      </c>
    </row>
    <row r="122" spans="4:6" x14ac:dyDescent="0.25">
      <c r="D122" t="s">
        <v>137</v>
      </c>
      <c r="F122" s="9">
        <v>42534</v>
      </c>
    </row>
    <row r="123" spans="4:6" x14ac:dyDescent="0.25">
      <c r="D123" t="s">
        <v>138</v>
      </c>
      <c r="F123" s="9">
        <v>42562</v>
      </c>
    </row>
    <row r="124" spans="4:6" x14ac:dyDescent="0.25">
      <c r="D124" t="s">
        <v>139</v>
      </c>
      <c r="F124" s="9">
        <v>42576</v>
      </c>
    </row>
    <row r="125" spans="4:6" x14ac:dyDescent="0.25">
      <c r="D125" t="s">
        <v>140</v>
      </c>
      <c r="F125" s="9">
        <v>42590</v>
      </c>
    </row>
    <row r="126" spans="4:6" x14ac:dyDescent="0.25">
      <c r="D126" t="s">
        <v>141</v>
      </c>
      <c r="F126" s="9">
        <v>42604</v>
      </c>
    </row>
    <row r="127" spans="4:6" x14ac:dyDescent="0.25">
      <c r="D127" t="s">
        <v>142</v>
      </c>
      <c r="F127" s="9">
        <v>42632</v>
      </c>
    </row>
    <row r="128" spans="4:6" x14ac:dyDescent="0.25">
      <c r="D128" t="s">
        <v>143</v>
      </c>
      <c r="F128" s="9">
        <v>42660</v>
      </c>
    </row>
    <row r="129" spans="4:6" x14ac:dyDescent="0.25">
      <c r="D129" t="s">
        <v>144</v>
      </c>
      <c r="F129" s="9">
        <v>42674</v>
      </c>
    </row>
    <row r="130" spans="4:6" x14ac:dyDescent="0.25">
      <c r="D130" t="s">
        <v>145</v>
      </c>
      <c r="F130" s="9">
        <v>42702</v>
      </c>
    </row>
    <row r="131" spans="4:6" x14ac:dyDescent="0.25">
      <c r="D131" t="s">
        <v>146</v>
      </c>
      <c r="F131" s="9">
        <v>42716</v>
      </c>
    </row>
    <row r="132" spans="4:6" x14ac:dyDescent="0.25">
      <c r="D132" t="s">
        <v>147</v>
      </c>
      <c r="F132" s="9">
        <v>42744</v>
      </c>
    </row>
    <row r="133" spans="4:6" x14ac:dyDescent="0.25">
      <c r="D133" t="s">
        <v>148</v>
      </c>
      <c r="F133" s="9">
        <v>42758</v>
      </c>
    </row>
    <row r="134" spans="4:6" x14ac:dyDescent="0.25">
      <c r="D134" t="s">
        <v>149</v>
      </c>
      <c r="F134" s="9">
        <v>42772</v>
      </c>
    </row>
    <row r="135" spans="4:6" x14ac:dyDescent="0.25">
      <c r="D135" t="s">
        <v>150</v>
      </c>
      <c r="F135" s="9">
        <v>42786</v>
      </c>
    </row>
    <row r="136" spans="4:6" x14ac:dyDescent="0.25">
      <c r="D136" t="s">
        <v>151</v>
      </c>
      <c r="F136" s="9">
        <v>42800</v>
      </c>
    </row>
    <row r="137" spans="4:6" x14ac:dyDescent="0.25">
      <c r="D137" t="s">
        <v>152</v>
      </c>
      <c r="F137" s="9">
        <v>42814</v>
      </c>
    </row>
    <row r="138" spans="4:6" x14ac:dyDescent="0.25">
      <c r="D138" t="s">
        <v>153</v>
      </c>
      <c r="F138" s="9">
        <v>42828</v>
      </c>
    </row>
    <row r="139" spans="4:6" x14ac:dyDescent="0.25">
      <c r="D139" t="s">
        <v>154</v>
      </c>
      <c r="F139" s="9">
        <v>42870</v>
      </c>
    </row>
    <row r="140" spans="4:6" x14ac:dyDescent="0.25">
      <c r="D140" t="s">
        <v>155</v>
      </c>
      <c r="F140" s="9">
        <v>42884</v>
      </c>
    </row>
    <row r="141" spans="4:6" x14ac:dyDescent="0.25">
      <c r="D141" t="s">
        <v>156</v>
      </c>
      <c r="F141" s="9">
        <v>42926</v>
      </c>
    </row>
    <row r="142" spans="4:6" x14ac:dyDescent="0.25">
      <c r="D142" t="s">
        <v>157</v>
      </c>
      <c r="F142" s="9">
        <v>42940</v>
      </c>
    </row>
    <row r="143" spans="4:6" x14ac:dyDescent="0.25">
      <c r="D143" t="s">
        <v>158</v>
      </c>
      <c r="F143" s="9">
        <v>42954</v>
      </c>
    </row>
    <row r="144" spans="4:6" x14ac:dyDescent="0.25">
      <c r="D144" t="s">
        <v>159</v>
      </c>
      <c r="F144" s="9">
        <v>42996</v>
      </c>
    </row>
    <row r="145" spans="4:6" x14ac:dyDescent="0.25">
      <c r="D145" t="s">
        <v>160</v>
      </c>
      <c r="F145" s="9">
        <v>43011</v>
      </c>
    </row>
    <row r="146" spans="4:6" x14ac:dyDescent="0.25">
      <c r="D146" t="s">
        <v>161</v>
      </c>
      <c r="F146" s="9">
        <v>43038</v>
      </c>
    </row>
    <row r="147" spans="4:6" x14ac:dyDescent="0.25">
      <c r="D147" t="s">
        <v>162</v>
      </c>
      <c r="F147" s="9">
        <v>43052</v>
      </c>
    </row>
    <row r="148" spans="4:6" x14ac:dyDescent="0.25">
      <c r="D148" t="s">
        <v>163</v>
      </c>
      <c r="F148" s="9">
        <v>43066</v>
      </c>
    </row>
    <row r="149" spans="4:6" x14ac:dyDescent="0.25">
      <c r="D149" t="s">
        <v>164</v>
      </c>
      <c r="F149" s="9">
        <v>43108</v>
      </c>
    </row>
    <row r="150" spans="4:6" x14ac:dyDescent="0.25">
      <c r="D150" t="s">
        <v>165</v>
      </c>
      <c r="F150" s="9">
        <v>43122</v>
      </c>
    </row>
    <row r="151" spans="4:6" x14ac:dyDescent="0.25">
      <c r="D151" t="s">
        <v>166</v>
      </c>
      <c r="F151" s="9">
        <v>43136</v>
      </c>
    </row>
    <row r="152" spans="4:6" x14ac:dyDescent="0.25">
      <c r="D152" t="s">
        <v>167</v>
      </c>
      <c r="F152" s="9">
        <v>43150</v>
      </c>
    </row>
    <row r="153" spans="4:6" x14ac:dyDescent="0.25">
      <c r="D153" t="s">
        <v>168</v>
      </c>
      <c r="F153" s="9">
        <v>43164</v>
      </c>
    </row>
    <row r="154" spans="4:6" x14ac:dyDescent="0.25">
      <c r="D154" t="s">
        <v>169</v>
      </c>
      <c r="F154" s="9">
        <v>43178</v>
      </c>
    </row>
    <row r="155" spans="4:6" x14ac:dyDescent="0.25">
      <c r="D155" t="s">
        <v>170</v>
      </c>
      <c r="F155" s="9">
        <v>43206</v>
      </c>
    </row>
    <row r="156" spans="4:6" x14ac:dyDescent="0.25">
      <c r="D156" t="s">
        <v>171</v>
      </c>
      <c r="F156" s="9">
        <v>43248</v>
      </c>
    </row>
    <row r="157" spans="4:6" x14ac:dyDescent="0.25">
      <c r="D157" t="s">
        <v>172</v>
      </c>
      <c r="F157" s="9">
        <v>43263</v>
      </c>
    </row>
    <row r="158" spans="4:6" x14ac:dyDescent="0.25">
      <c r="D158" t="s">
        <v>173</v>
      </c>
      <c r="F158" s="9">
        <v>43276</v>
      </c>
    </row>
    <row r="159" spans="4:6" x14ac:dyDescent="0.25">
      <c r="D159" t="s">
        <v>174</v>
      </c>
      <c r="F159" s="9">
        <v>43290</v>
      </c>
    </row>
    <row r="160" spans="4:6" x14ac:dyDescent="0.25">
      <c r="D160" t="s">
        <v>175</v>
      </c>
      <c r="F160" s="9">
        <v>43304</v>
      </c>
    </row>
    <row r="161" spans="4:6" x14ac:dyDescent="0.25">
      <c r="D161" t="s">
        <v>176</v>
      </c>
      <c r="F161" s="9">
        <v>43319</v>
      </c>
    </row>
    <row r="162" spans="4:6" x14ac:dyDescent="0.25">
      <c r="D162" t="s">
        <v>177</v>
      </c>
      <c r="F162" s="9">
        <v>43332</v>
      </c>
    </row>
    <row r="163" spans="4:6" x14ac:dyDescent="0.25">
      <c r="D163" t="s">
        <v>178</v>
      </c>
      <c r="F163" s="9">
        <v>43374</v>
      </c>
    </row>
    <row r="164" spans="4:6" x14ac:dyDescent="0.25">
      <c r="D164" t="s">
        <v>179</v>
      </c>
      <c r="F164" s="9">
        <v>43388</v>
      </c>
    </row>
    <row r="165" spans="4:6" x14ac:dyDescent="0.25">
      <c r="D165" t="s">
        <v>180</v>
      </c>
      <c r="F165" s="9">
        <v>43402</v>
      </c>
    </row>
    <row r="166" spans="4:6" x14ac:dyDescent="0.25">
      <c r="D166" t="s">
        <v>181</v>
      </c>
      <c r="F166" s="9">
        <v>43416</v>
      </c>
    </row>
    <row r="167" spans="4:6" x14ac:dyDescent="0.25">
      <c r="D167" t="s">
        <v>182</v>
      </c>
      <c r="F167" s="9">
        <v>43444</v>
      </c>
    </row>
    <row r="168" spans="4:6" x14ac:dyDescent="0.25">
      <c r="D168" t="s">
        <v>183</v>
      </c>
      <c r="F168" s="9">
        <v>43479</v>
      </c>
    </row>
    <row r="169" spans="4:6" x14ac:dyDescent="0.25">
      <c r="D169" t="s">
        <v>184</v>
      </c>
      <c r="F169" s="9">
        <v>43494</v>
      </c>
    </row>
    <row r="170" spans="4:6" x14ac:dyDescent="0.25">
      <c r="D170" t="s">
        <v>185</v>
      </c>
      <c r="F170" s="9">
        <v>43507</v>
      </c>
    </row>
    <row r="171" spans="4:6" x14ac:dyDescent="0.25">
      <c r="D171" t="s">
        <v>186</v>
      </c>
      <c r="F171" s="9">
        <v>43535</v>
      </c>
    </row>
    <row r="172" spans="4:6" x14ac:dyDescent="0.25">
      <c r="D172" t="s">
        <v>187</v>
      </c>
      <c r="F172" s="9">
        <v>43549</v>
      </c>
    </row>
    <row r="173" spans="4:6" x14ac:dyDescent="0.25">
      <c r="D173" t="s">
        <v>188</v>
      </c>
      <c r="F173" s="9">
        <v>43563</v>
      </c>
    </row>
    <row r="174" spans="4:6" x14ac:dyDescent="0.25">
      <c r="D174" t="s">
        <v>189</v>
      </c>
      <c r="F174" s="9">
        <v>43577</v>
      </c>
    </row>
    <row r="175" spans="4:6" x14ac:dyDescent="0.25">
      <c r="D175" t="s">
        <v>190</v>
      </c>
      <c r="F175" s="9">
        <v>43591</v>
      </c>
    </row>
    <row r="176" spans="4:6" x14ac:dyDescent="0.25">
      <c r="D176" t="s">
        <v>191</v>
      </c>
      <c r="F176" s="9">
        <v>43605</v>
      </c>
    </row>
    <row r="177" spans="4:6" x14ac:dyDescent="0.25">
      <c r="D177" t="s">
        <v>192</v>
      </c>
      <c r="F177" s="9">
        <v>43619</v>
      </c>
    </row>
    <row r="178" spans="4:6" x14ac:dyDescent="0.25">
      <c r="D178" t="s">
        <v>193</v>
      </c>
      <c r="F178" s="9">
        <v>43647</v>
      </c>
    </row>
    <row r="179" spans="4:6" x14ac:dyDescent="0.25">
      <c r="D179" t="s">
        <v>194</v>
      </c>
      <c r="F179" s="9">
        <v>43675</v>
      </c>
    </row>
    <row r="180" spans="4:6" x14ac:dyDescent="0.25">
      <c r="D180" t="s">
        <v>195</v>
      </c>
      <c r="F180" s="9">
        <v>43689</v>
      </c>
    </row>
    <row r="181" spans="4:6" x14ac:dyDescent="0.25">
      <c r="D181" t="s">
        <v>196</v>
      </c>
      <c r="F181" s="9">
        <v>43717</v>
      </c>
    </row>
    <row r="182" spans="4:6" x14ac:dyDescent="0.25">
      <c r="D182" t="s">
        <v>197</v>
      </c>
      <c r="F182" s="9">
        <v>43731</v>
      </c>
    </row>
    <row r="183" spans="4:6" x14ac:dyDescent="0.25">
      <c r="D183" t="s">
        <v>198</v>
      </c>
      <c r="F183" s="9">
        <v>43779</v>
      </c>
    </row>
    <row r="184" spans="4:6" x14ac:dyDescent="0.25">
      <c r="D184" t="s">
        <v>199</v>
      </c>
      <c r="F184" s="9">
        <v>43787</v>
      </c>
    </row>
    <row r="185" spans="4:6" x14ac:dyDescent="0.25">
      <c r="D185" t="s">
        <v>200</v>
      </c>
      <c r="F185" s="9">
        <v>43819</v>
      </c>
    </row>
    <row r="186" spans="4:6" x14ac:dyDescent="0.25">
      <c r="D186" t="s">
        <v>201</v>
      </c>
      <c r="F186" s="9">
        <v>43843</v>
      </c>
    </row>
    <row r="187" spans="4:6" x14ac:dyDescent="0.25">
      <c r="D187" t="s">
        <v>202</v>
      </c>
      <c r="F187" s="9">
        <v>43857</v>
      </c>
    </row>
    <row r="188" spans="4:6" x14ac:dyDescent="0.25">
      <c r="D188" t="s">
        <v>203</v>
      </c>
      <c r="F188" s="9">
        <v>43871</v>
      </c>
    </row>
    <row r="189" spans="4:6" x14ac:dyDescent="0.25">
      <c r="D189" t="s">
        <v>204</v>
      </c>
      <c r="F189" s="9">
        <v>43885</v>
      </c>
    </row>
    <row r="190" spans="4:6" x14ac:dyDescent="0.25">
      <c r="D190" t="s">
        <v>205</v>
      </c>
      <c r="F190" s="9">
        <v>43899</v>
      </c>
    </row>
    <row r="191" spans="4:6" x14ac:dyDescent="0.25">
      <c r="D191" t="s">
        <v>206</v>
      </c>
      <c r="F191" s="9">
        <v>43913</v>
      </c>
    </row>
    <row r="192" spans="4:6" x14ac:dyDescent="0.25">
      <c r="D192" t="s">
        <v>207</v>
      </c>
      <c r="F192" s="9">
        <v>43927</v>
      </c>
    </row>
    <row r="193" spans="4:6" x14ac:dyDescent="0.25">
      <c r="D193" t="s">
        <v>208</v>
      </c>
      <c r="F193" s="9">
        <v>43941</v>
      </c>
    </row>
    <row r="194" spans="4:6" x14ac:dyDescent="0.25">
      <c r="D194" t="s">
        <v>209</v>
      </c>
      <c r="F194" s="9">
        <v>43955</v>
      </c>
    </row>
    <row r="195" spans="4:6" x14ac:dyDescent="0.25">
      <c r="D195" t="s">
        <v>210</v>
      </c>
      <c r="F195" s="9">
        <v>43969</v>
      </c>
    </row>
    <row r="196" spans="4:6" x14ac:dyDescent="0.25">
      <c r="D196" t="s">
        <v>211</v>
      </c>
      <c r="F196" s="9">
        <v>43987</v>
      </c>
    </row>
    <row r="197" spans="4:6" x14ac:dyDescent="0.25">
      <c r="D197" t="s">
        <v>212</v>
      </c>
      <c r="F197" s="9">
        <v>43997</v>
      </c>
    </row>
    <row r="198" spans="4:6" x14ac:dyDescent="0.25">
      <c r="D198" t="s">
        <v>213</v>
      </c>
      <c r="F198" s="9">
        <v>44011</v>
      </c>
    </row>
    <row r="199" spans="4:6" x14ac:dyDescent="0.25">
      <c r="D199" t="s">
        <v>214</v>
      </c>
      <c r="F199" s="9">
        <v>44025</v>
      </c>
    </row>
    <row r="200" spans="4:6" x14ac:dyDescent="0.25">
      <c r="D200" t="s">
        <v>215</v>
      </c>
      <c r="F200" s="9">
        <v>44039</v>
      </c>
    </row>
    <row r="201" spans="4:6" x14ac:dyDescent="0.25">
      <c r="D201" t="s">
        <v>216</v>
      </c>
      <c r="F201" s="9">
        <v>44053</v>
      </c>
    </row>
    <row r="202" spans="4:6" x14ac:dyDescent="0.25">
      <c r="D202" t="s">
        <v>217</v>
      </c>
      <c r="F202" s="9">
        <v>44067</v>
      </c>
    </row>
    <row r="203" spans="4:6" x14ac:dyDescent="0.25">
      <c r="D203" t="s">
        <v>218</v>
      </c>
      <c r="F203" s="9">
        <v>44081</v>
      </c>
    </row>
    <row r="204" spans="4:6" x14ac:dyDescent="0.25">
      <c r="D204" t="s">
        <v>219</v>
      </c>
      <c r="F204" s="9">
        <v>44095</v>
      </c>
    </row>
    <row r="205" spans="4:6" x14ac:dyDescent="0.25">
      <c r="D205" t="s">
        <v>220</v>
      </c>
      <c r="F205" s="9">
        <v>44109</v>
      </c>
    </row>
    <row r="206" spans="4:6" x14ac:dyDescent="0.25">
      <c r="D206" t="s">
        <v>221</v>
      </c>
      <c r="F206" s="9">
        <v>44123</v>
      </c>
    </row>
    <row r="207" spans="4:6" x14ac:dyDescent="0.25">
      <c r="D207" t="s">
        <v>222</v>
      </c>
      <c r="F207" s="9">
        <v>44179</v>
      </c>
    </row>
    <row r="208" spans="4:6" x14ac:dyDescent="0.25">
      <c r="D208" t="s">
        <v>223</v>
      </c>
      <c r="F208" s="9">
        <v>44232</v>
      </c>
    </row>
    <row r="209" spans="4:6" x14ac:dyDescent="0.25">
      <c r="D209" t="s">
        <v>224</v>
      </c>
      <c r="F209" s="9">
        <v>44235</v>
      </c>
    </row>
    <row r="210" spans="4:6" x14ac:dyDescent="0.25">
      <c r="D210" t="s">
        <v>225</v>
      </c>
      <c r="F210" s="9">
        <v>44263</v>
      </c>
    </row>
    <row r="211" spans="4:6" x14ac:dyDescent="0.25">
      <c r="D211" t="s">
        <v>226</v>
      </c>
      <c r="F211" s="9">
        <v>44277</v>
      </c>
    </row>
    <row r="212" spans="4:6" x14ac:dyDescent="0.25">
      <c r="D212" t="s">
        <v>227</v>
      </c>
      <c r="F212" s="9">
        <v>44305</v>
      </c>
    </row>
    <row r="213" spans="4:6" x14ac:dyDescent="0.25">
      <c r="D213" t="s">
        <v>228</v>
      </c>
      <c r="F213" s="9">
        <v>44319</v>
      </c>
    </row>
    <row r="214" spans="4:6" x14ac:dyDescent="0.25">
      <c r="D214" t="s">
        <v>229</v>
      </c>
      <c r="F214" s="9">
        <v>44333</v>
      </c>
    </row>
    <row r="215" spans="4:6" x14ac:dyDescent="0.25">
      <c r="D215" t="s">
        <v>230</v>
      </c>
      <c r="F215" s="9">
        <v>44347</v>
      </c>
    </row>
    <row r="216" spans="4:6" x14ac:dyDescent="0.25">
      <c r="D216" t="s">
        <v>231</v>
      </c>
      <c r="F216" s="9">
        <v>44361</v>
      </c>
    </row>
    <row r="217" spans="4:6" x14ac:dyDescent="0.25">
      <c r="D217" t="s">
        <v>232</v>
      </c>
      <c r="F217" s="9">
        <v>44375</v>
      </c>
    </row>
    <row r="218" spans="4:6" x14ac:dyDescent="0.25">
      <c r="D218" t="s">
        <v>233</v>
      </c>
      <c r="F218" s="9">
        <v>44389</v>
      </c>
    </row>
    <row r="219" spans="4:6" x14ac:dyDescent="0.25">
      <c r="D219" t="s">
        <v>234</v>
      </c>
      <c r="F219" s="9">
        <v>44403</v>
      </c>
    </row>
    <row r="220" spans="4:6" x14ac:dyDescent="0.25">
      <c r="D220" t="s">
        <v>235</v>
      </c>
      <c r="F220" s="9">
        <v>44417</v>
      </c>
    </row>
    <row r="221" spans="4:6" x14ac:dyDescent="0.25">
      <c r="D221" t="s">
        <v>236</v>
      </c>
      <c r="F221" s="9">
        <v>44431</v>
      </c>
    </row>
    <row r="222" spans="4:6" x14ac:dyDescent="0.25">
      <c r="D222" t="s">
        <v>237</v>
      </c>
      <c r="F222" s="9">
        <v>44459</v>
      </c>
    </row>
    <row r="223" spans="4:6" x14ac:dyDescent="0.25">
      <c r="D223" t="s">
        <v>238</v>
      </c>
      <c r="F223" s="9">
        <v>44487</v>
      </c>
    </row>
    <row r="224" spans="4:6" x14ac:dyDescent="0.25">
      <c r="D224" t="s">
        <v>239</v>
      </c>
      <c r="F224" s="9">
        <v>44494</v>
      </c>
    </row>
    <row r="225" spans="4:6" x14ac:dyDescent="0.25">
      <c r="D225" t="s">
        <v>240</v>
      </c>
      <c r="F225" s="9">
        <v>44515</v>
      </c>
    </row>
    <row r="226" spans="4:6" x14ac:dyDescent="0.25">
      <c r="D226" t="s">
        <v>241</v>
      </c>
      <c r="F226" s="9">
        <v>44529</v>
      </c>
    </row>
    <row r="227" spans="4:6" x14ac:dyDescent="0.25">
      <c r="D227" t="s">
        <v>242</v>
      </c>
      <c r="F227" s="9">
        <v>44543</v>
      </c>
    </row>
    <row r="228" spans="4:6" x14ac:dyDescent="0.25">
      <c r="D228" t="s">
        <v>243</v>
      </c>
      <c r="F228" s="9">
        <v>44571</v>
      </c>
    </row>
    <row r="229" spans="4:6" x14ac:dyDescent="0.25">
      <c r="D229" t="s">
        <v>244</v>
      </c>
      <c r="F229" s="9">
        <v>44585</v>
      </c>
    </row>
    <row r="230" spans="4:6" x14ac:dyDescent="0.25">
      <c r="D230" t="s">
        <v>245</v>
      </c>
      <c r="F230" s="9">
        <v>44599</v>
      </c>
    </row>
    <row r="231" spans="4:6" x14ac:dyDescent="0.25">
      <c r="D231" t="s">
        <v>246</v>
      </c>
      <c r="F231" s="9">
        <v>44627</v>
      </c>
    </row>
    <row r="232" spans="4:6" x14ac:dyDescent="0.25">
      <c r="D232" t="s">
        <v>247</v>
      </c>
      <c r="F232" s="9">
        <v>44641</v>
      </c>
    </row>
    <row r="233" spans="4:6" x14ac:dyDescent="0.25">
      <c r="D233" t="s">
        <v>248</v>
      </c>
      <c r="F233" s="9">
        <v>44683</v>
      </c>
    </row>
    <row r="234" spans="4:6" x14ac:dyDescent="0.25">
      <c r="D234" t="s">
        <v>249</v>
      </c>
      <c r="F234" s="9">
        <v>44697</v>
      </c>
    </row>
    <row r="235" spans="4:6" x14ac:dyDescent="0.25">
      <c r="D235" t="s">
        <v>250</v>
      </c>
      <c r="F235" s="9">
        <v>44711</v>
      </c>
    </row>
    <row r="236" spans="4:6" x14ac:dyDescent="0.25">
      <c r="D236" t="s">
        <v>251</v>
      </c>
      <c r="F236" s="9">
        <v>44725</v>
      </c>
    </row>
    <row r="237" spans="4:6" x14ac:dyDescent="0.25">
      <c r="D237" t="s">
        <v>252</v>
      </c>
      <c r="F237" s="9">
        <v>44739</v>
      </c>
    </row>
    <row r="238" spans="4:6" x14ac:dyDescent="0.25">
      <c r="D238" t="s">
        <v>253</v>
      </c>
      <c r="F238" s="9">
        <v>44753</v>
      </c>
    </row>
    <row r="239" spans="4:6" x14ac:dyDescent="0.25">
      <c r="D239" t="s">
        <v>254</v>
      </c>
      <c r="F239" s="9">
        <v>44767</v>
      </c>
    </row>
    <row r="240" spans="4:6" x14ac:dyDescent="0.25">
      <c r="D240" t="s">
        <v>255</v>
      </c>
      <c r="F240" s="9">
        <v>44781</v>
      </c>
    </row>
    <row r="241" spans="4:6" x14ac:dyDescent="0.25">
      <c r="D241" t="s">
        <v>256</v>
      </c>
      <c r="F241" s="9">
        <v>44795</v>
      </c>
    </row>
    <row r="242" spans="4:6" x14ac:dyDescent="0.25">
      <c r="D242" t="s">
        <v>257</v>
      </c>
      <c r="F242" s="9">
        <v>44809</v>
      </c>
    </row>
    <row r="243" spans="4:6" x14ac:dyDescent="0.25">
      <c r="D243" t="s">
        <v>258</v>
      </c>
      <c r="F243" s="9">
        <v>44823</v>
      </c>
    </row>
    <row r="244" spans="4:6" x14ac:dyDescent="0.25">
      <c r="D244" t="s">
        <v>259</v>
      </c>
      <c r="F244" s="9">
        <v>44837</v>
      </c>
    </row>
    <row r="245" spans="4:6" x14ac:dyDescent="0.25">
      <c r="D245" t="s">
        <v>260</v>
      </c>
      <c r="F245" s="9">
        <v>44865</v>
      </c>
    </row>
    <row r="246" spans="4:6" x14ac:dyDescent="0.25">
      <c r="D246" t="s">
        <v>261</v>
      </c>
      <c r="F246" s="9">
        <v>44879</v>
      </c>
    </row>
    <row r="247" spans="4:6" x14ac:dyDescent="0.25">
      <c r="D247" t="s">
        <v>262</v>
      </c>
      <c r="F247" s="9">
        <v>44893</v>
      </c>
    </row>
    <row r="248" spans="4:6" x14ac:dyDescent="0.25">
      <c r="D248" t="s">
        <v>263</v>
      </c>
      <c r="F248" s="9">
        <v>44907</v>
      </c>
    </row>
    <row r="249" spans="4:6" x14ac:dyDescent="0.25">
      <c r="D249" t="s">
        <v>264</v>
      </c>
      <c r="F249" s="9">
        <v>44935</v>
      </c>
    </row>
    <row r="250" spans="4:6" x14ac:dyDescent="0.25">
      <c r="D250" t="s">
        <v>265</v>
      </c>
      <c r="F250" s="9">
        <v>44991</v>
      </c>
    </row>
    <row r="251" spans="4:6" x14ac:dyDescent="0.25">
      <c r="D251" t="s">
        <v>266</v>
      </c>
      <c r="F251" s="9">
        <v>45005</v>
      </c>
    </row>
    <row r="252" spans="4:6" x14ac:dyDescent="0.25">
      <c r="D252" t="s">
        <v>267</v>
      </c>
      <c r="F252" s="9">
        <v>45019</v>
      </c>
    </row>
    <row r="253" spans="4:6" x14ac:dyDescent="0.25">
      <c r="D253" t="s">
        <v>268</v>
      </c>
      <c r="F253" s="9">
        <v>45033</v>
      </c>
    </row>
    <row r="254" spans="4:6" x14ac:dyDescent="0.25">
      <c r="D254" t="s">
        <v>269</v>
      </c>
      <c r="F254" s="9">
        <v>45047</v>
      </c>
    </row>
    <row r="255" spans="4:6" x14ac:dyDescent="0.25">
      <c r="D255" t="s">
        <v>270</v>
      </c>
      <c r="F255" s="9">
        <v>45061</v>
      </c>
    </row>
    <row r="256" spans="4:6" x14ac:dyDescent="0.25">
      <c r="D256" t="s">
        <v>271</v>
      </c>
      <c r="F256" s="9">
        <v>45075</v>
      </c>
    </row>
    <row r="257" spans="4:6" x14ac:dyDescent="0.25">
      <c r="D257" t="s">
        <v>272</v>
      </c>
      <c r="F257" s="9">
        <v>45089</v>
      </c>
    </row>
    <row r="258" spans="4:6" x14ac:dyDescent="0.25">
      <c r="D258" t="s">
        <v>273</v>
      </c>
      <c r="F258" s="9">
        <v>45103</v>
      </c>
    </row>
    <row r="259" spans="4:6" x14ac:dyDescent="0.25">
      <c r="D259" t="s">
        <v>274</v>
      </c>
      <c r="F259" s="9">
        <v>45117</v>
      </c>
    </row>
    <row r="260" spans="4:6" x14ac:dyDescent="0.25">
      <c r="D260" t="s">
        <v>275</v>
      </c>
      <c r="F260" s="9">
        <v>45131</v>
      </c>
    </row>
    <row r="261" spans="4:6" x14ac:dyDescent="0.25">
      <c r="D261" t="s">
        <v>276</v>
      </c>
      <c r="F261" s="9">
        <v>45145</v>
      </c>
    </row>
    <row r="262" spans="4:6" x14ac:dyDescent="0.25">
      <c r="D262" t="s">
        <v>277</v>
      </c>
      <c r="F262" s="9">
        <v>45159</v>
      </c>
    </row>
    <row r="263" spans="4:6" x14ac:dyDescent="0.25">
      <c r="D263" t="s">
        <v>278</v>
      </c>
      <c r="F263" s="9">
        <v>45173</v>
      </c>
    </row>
    <row r="264" spans="4:6" x14ac:dyDescent="0.25">
      <c r="D264" t="s">
        <v>279</v>
      </c>
      <c r="F264" s="9">
        <v>45187</v>
      </c>
    </row>
    <row r="265" spans="4:6" x14ac:dyDescent="0.25">
      <c r="D265" t="s">
        <v>280</v>
      </c>
      <c r="F265" s="9">
        <v>45201</v>
      </c>
    </row>
    <row r="266" spans="4:6" x14ac:dyDescent="0.25">
      <c r="D266" t="s">
        <v>281</v>
      </c>
      <c r="F266" s="9">
        <v>45215</v>
      </c>
    </row>
    <row r="267" spans="4:6" x14ac:dyDescent="0.25">
      <c r="D267" t="s">
        <v>282</v>
      </c>
      <c r="F267" s="9">
        <v>45229</v>
      </c>
    </row>
    <row r="268" spans="4:6" x14ac:dyDescent="0.25">
      <c r="D268" t="s">
        <v>283</v>
      </c>
      <c r="F268" s="9">
        <v>45243</v>
      </c>
    </row>
    <row r="269" spans="4:6" x14ac:dyDescent="0.25">
      <c r="D269" t="s">
        <v>284</v>
      </c>
      <c r="F269" s="9">
        <v>45257</v>
      </c>
    </row>
    <row r="270" spans="4:6" x14ac:dyDescent="0.25">
      <c r="D270" t="s">
        <v>285</v>
      </c>
      <c r="F270" s="9">
        <v>45271</v>
      </c>
    </row>
    <row r="271" spans="4:6" x14ac:dyDescent="0.25">
      <c r="D271" t="s">
        <v>286</v>
      </c>
      <c r="F271" s="9">
        <v>45278</v>
      </c>
    </row>
    <row r="272" spans="4:6" x14ac:dyDescent="0.25">
      <c r="D272" t="s">
        <v>287</v>
      </c>
      <c r="F272" s="9">
        <v>45306</v>
      </c>
    </row>
    <row r="273" spans="4:6" x14ac:dyDescent="0.25">
      <c r="D273" t="s">
        <v>288</v>
      </c>
      <c r="F273" s="9">
        <v>45313</v>
      </c>
    </row>
    <row r="274" spans="4:6" x14ac:dyDescent="0.25">
      <c r="D274" t="s">
        <v>289</v>
      </c>
      <c r="F274" s="9">
        <v>45341</v>
      </c>
    </row>
    <row r="275" spans="4:6" x14ac:dyDescent="0.25">
      <c r="D275" t="s">
        <v>290</v>
      </c>
      <c r="F275" s="9">
        <v>45355</v>
      </c>
    </row>
    <row r="276" spans="4:6" x14ac:dyDescent="0.25">
      <c r="D276" t="s">
        <v>291</v>
      </c>
      <c r="F276" s="9">
        <v>45369</v>
      </c>
    </row>
    <row r="277" spans="4:6" x14ac:dyDescent="0.25">
      <c r="D277" t="s">
        <v>292</v>
      </c>
      <c r="F277" s="9">
        <v>45383</v>
      </c>
    </row>
    <row r="278" spans="4:6" x14ac:dyDescent="0.25">
      <c r="D278" t="s">
        <v>293</v>
      </c>
      <c r="F278" s="9">
        <v>45397</v>
      </c>
    </row>
    <row r="279" spans="4:6" x14ac:dyDescent="0.25">
      <c r="D279" t="s">
        <v>294</v>
      </c>
      <c r="F279" s="9">
        <v>45411</v>
      </c>
    </row>
    <row r="280" spans="4:6" x14ac:dyDescent="0.25">
      <c r="D280" t="s">
        <v>295</v>
      </c>
      <c r="F280" s="9">
        <v>45439</v>
      </c>
    </row>
    <row r="281" spans="4:6" x14ac:dyDescent="0.25">
      <c r="D281" t="s">
        <v>296</v>
      </c>
      <c r="F281" s="9">
        <v>45453</v>
      </c>
    </row>
    <row r="282" spans="4:6" x14ac:dyDescent="0.25">
      <c r="D282" t="s">
        <v>297</v>
      </c>
      <c r="F282" s="9">
        <v>45467</v>
      </c>
    </row>
    <row r="283" spans="4:6" x14ac:dyDescent="0.25">
      <c r="D283" t="s">
        <v>298</v>
      </c>
      <c r="F283" s="9">
        <v>45481</v>
      </c>
    </row>
    <row r="284" spans="4:6" x14ac:dyDescent="0.25">
      <c r="D284" t="s">
        <v>299</v>
      </c>
      <c r="F284" s="9">
        <v>45495</v>
      </c>
    </row>
    <row r="285" spans="4:6" x14ac:dyDescent="0.25">
      <c r="D285" t="s">
        <v>300</v>
      </c>
      <c r="F285" s="9">
        <v>45509</v>
      </c>
    </row>
    <row r="286" spans="4:6" x14ac:dyDescent="0.25">
      <c r="D286" t="s">
        <v>301</v>
      </c>
      <c r="F286" s="9">
        <v>45523</v>
      </c>
    </row>
    <row r="287" spans="4:6" x14ac:dyDescent="0.25">
      <c r="D287" t="s">
        <v>302</v>
      </c>
      <c r="F287" s="9">
        <v>45537</v>
      </c>
    </row>
    <row r="288" spans="4:6" x14ac:dyDescent="0.25">
      <c r="D288" t="s">
        <v>303</v>
      </c>
      <c r="F288" s="9">
        <v>45551</v>
      </c>
    </row>
    <row r="289" spans="4:6" x14ac:dyDescent="0.25">
      <c r="D289" t="s">
        <v>304</v>
      </c>
      <c r="F289" s="9">
        <v>45565</v>
      </c>
    </row>
    <row r="290" spans="4:6" x14ac:dyDescent="0.25">
      <c r="D290" t="s">
        <v>305</v>
      </c>
      <c r="F290" s="9">
        <v>45579</v>
      </c>
    </row>
    <row r="291" spans="4:6" x14ac:dyDescent="0.25">
      <c r="D291" t="s">
        <v>306</v>
      </c>
      <c r="F291" s="9">
        <v>45593</v>
      </c>
    </row>
    <row r="292" spans="4:6" x14ac:dyDescent="0.25">
      <c r="D292" t="s">
        <v>307</v>
      </c>
      <c r="F292" s="9">
        <v>45607</v>
      </c>
    </row>
    <row r="293" spans="4:6" x14ac:dyDescent="0.25">
      <c r="D293" t="s">
        <v>308</v>
      </c>
      <c r="F293" s="9">
        <v>45635</v>
      </c>
    </row>
    <row r="294" spans="4:6" x14ac:dyDescent="0.25">
      <c r="D294" t="s">
        <v>309</v>
      </c>
      <c r="F294" s="9">
        <v>45649</v>
      </c>
    </row>
    <row r="295" spans="4:6" x14ac:dyDescent="0.25">
      <c r="D295" t="s">
        <v>310</v>
      </c>
      <c r="F295" s="9">
        <v>45677</v>
      </c>
    </row>
    <row r="296" spans="4:6" x14ac:dyDescent="0.25">
      <c r="D296" t="s">
        <v>311</v>
      </c>
      <c r="F296" s="9">
        <v>45691</v>
      </c>
    </row>
    <row r="297" spans="4:6" x14ac:dyDescent="0.25">
      <c r="D297" t="s">
        <v>312</v>
      </c>
      <c r="F297" s="9">
        <v>45705</v>
      </c>
    </row>
    <row r="298" spans="4:6" x14ac:dyDescent="0.25">
      <c r="D298" t="s">
        <v>313</v>
      </c>
      <c r="F298" s="9">
        <v>45719</v>
      </c>
    </row>
    <row r="299" spans="4:6" x14ac:dyDescent="0.25">
      <c r="D299" t="s">
        <v>314</v>
      </c>
      <c r="F299" s="9">
        <v>45733</v>
      </c>
    </row>
    <row r="300" spans="4:6" x14ac:dyDescent="0.25">
      <c r="D300" t="s">
        <v>315</v>
      </c>
      <c r="F300" s="9">
        <v>45747</v>
      </c>
    </row>
    <row r="301" spans="4:6" x14ac:dyDescent="0.25">
      <c r="D301" t="s">
        <v>316</v>
      </c>
      <c r="F301" s="9">
        <v>45761</v>
      </c>
    </row>
    <row r="302" spans="4:6" x14ac:dyDescent="0.25">
      <c r="D302" t="s">
        <v>317</v>
      </c>
      <c r="F302" s="9">
        <v>45789</v>
      </c>
    </row>
    <row r="303" spans="4:6" x14ac:dyDescent="0.25">
      <c r="D303" t="s">
        <v>318</v>
      </c>
      <c r="F303" s="9">
        <v>45803</v>
      </c>
    </row>
    <row r="304" spans="4:6" x14ac:dyDescent="0.25">
      <c r="D304" t="s">
        <v>319</v>
      </c>
      <c r="F304" s="9">
        <v>45817</v>
      </c>
    </row>
    <row r="305" spans="4:6" x14ac:dyDescent="0.25">
      <c r="D305" t="s">
        <v>320</v>
      </c>
      <c r="F305" s="9">
        <v>45831</v>
      </c>
    </row>
    <row r="306" spans="4:6" x14ac:dyDescent="0.25">
      <c r="D306" t="s">
        <v>321</v>
      </c>
      <c r="F306" s="9">
        <v>45859</v>
      </c>
    </row>
    <row r="307" spans="4:6" x14ac:dyDescent="0.25">
      <c r="D307" t="s">
        <v>322</v>
      </c>
      <c r="F307" s="9">
        <v>45873</v>
      </c>
    </row>
    <row r="308" spans="4:6" x14ac:dyDescent="0.25">
      <c r="D308" t="s">
        <v>323</v>
      </c>
      <c r="F308" s="9">
        <v>45887</v>
      </c>
    </row>
    <row r="309" spans="4:6" x14ac:dyDescent="0.25">
      <c r="D309" t="s">
        <v>324</v>
      </c>
      <c r="F309" s="9">
        <v>45901</v>
      </c>
    </row>
    <row r="310" spans="4:6" x14ac:dyDescent="0.25">
      <c r="D310" t="s">
        <v>325</v>
      </c>
      <c r="F310" s="9">
        <v>45915</v>
      </c>
    </row>
    <row r="311" spans="4:6" x14ac:dyDescent="0.25">
      <c r="D311" t="s">
        <v>326</v>
      </c>
      <c r="F311" s="9">
        <v>45929</v>
      </c>
    </row>
    <row r="312" spans="4:6" x14ac:dyDescent="0.25">
      <c r="D312" t="s">
        <v>327</v>
      </c>
      <c r="F312" s="9">
        <v>45943</v>
      </c>
    </row>
    <row r="313" spans="4:6" x14ac:dyDescent="0.25">
      <c r="D313" t="s">
        <v>328</v>
      </c>
      <c r="F313" s="9">
        <v>45957</v>
      </c>
    </row>
    <row r="314" spans="4:6" x14ac:dyDescent="0.25">
      <c r="D314" t="s">
        <v>329</v>
      </c>
      <c r="F314" s="9">
        <v>45971</v>
      </c>
    </row>
    <row r="315" spans="4:6" x14ac:dyDescent="0.25">
      <c r="D315" t="s">
        <v>330</v>
      </c>
      <c r="F315" s="9">
        <v>45985</v>
      </c>
    </row>
    <row r="316" spans="4:6" x14ac:dyDescent="0.25">
      <c r="D316" t="s">
        <v>331</v>
      </c>
      <c r="F316" s="9">
        <v>45999</v>
      </c>
    </row>
    <row r="317" spans="4:6" x14ac:dyDescent="0.25">
      <c r="D317" t="s">
        <v>332</v>
      </c>
      <c r="F317" s="9">
        <v>46027</v>
      </c>
    </row>
    <row r="318" spans="4:6" x14ac:dyDescent="0.25">
      <c r="D318" t="s">
        <v>333</v>
      </c>
      <c r="F318" s="9">
        <v>46041</v>
      </c>
    </row>
    <row r="319" spans="4:6" x14ac:dyDescent="0.25">
      <c r="D319" t="s">
        <v>334</v>
      </c>
      <c r="F319" s="9">
        <v>46055</v>
      </c>
    </row>
    <row r="320" spans="4:6" x14ac:dyDescent="0.25">
      <c r="D320" t="s">
        <v>335</v>
      </c>
      <c r="F320" s="9">
        <v>46069</v>
      </c>
    </row>
    <row r="321" spans="4:6" x14ac:dyDescent="0.25">
      <c r="D321" t="s">
        <v>336</v>
      </c>
      <c r="F321" s="9">
        <v>46083</v>
      </c>
    </row>
    <row r="322" spans="4:6" x14ac:dyDescent="0.25">
      <c r="D322" t="s">
        <v>337</v>
      </c>
      <c r="F322" s="9">
        <v>46111</v>
      </c>
    </row>
    <row r="323" spans="4:6" x14ac:dyDescent="0.25">
      <c r="D323" t="s">
        <v>338</v>
      </c>
      <c r="F323" s="9">
        <v>46125</v>
      </c>
    </row>
    <row r="324" spans="4:6" x14ac:dyDescent="0.25">
      <c r="D324" t="s">
        <v>339</v>
      </c>
      <c r="F324" s="9">
        <v>46139</v>
      </c>
    </row>
    <row r="325" spans="4:6" x14ac:dyDescent="0.25">
      <c r="D325" t="s">
        <v>340</v>
      </c>
      <c r="F325" s="9">
        <v>46153</v>
      </c>
    </row>
    <row r="326" spans="4:6" x14ac:dyDescent="0.25">
      <c r="D326" t="s">
        <v>341</v>
      </c>
      <c r="F326" s="9">
        <v>46167</v>
      </c>
    </row>
    <row r="327" spans="4:6" x14ac:dyDescent="0.25">
      <c r="D327" t="s">
        <v>342</v>
      </c>
      <c r="F327" s="9">
        <v>46195</v>
      </c>
    </row>
    <row r="328" spans="4:6" x14ac:dyDescent="0.25">
      <c r="D328" t="s">
        <v>343</v>
      </c>
      <c r="F328" s="9">
        <v>46209</v>
      </c>
    </row>
    <row r="329" spans="4:6" x14ac:dyDescent="0.25">
      <c r="D329" t="s">
        <v>344</v>
      </c>
      <c r="F329" s="9">
        <v>46223</v>
      </c>
    </row>
    <row r="330" spans="4:6" x14ac:dyDescent="0.25">
      <c r="D330" t="s">
        <v>345</v>
      </c>
      <c r="F330" s="9">
        <v>46237</v>
      </c>
    </row>
    <row r="331" spans="4:6" x14ac:dyDescent="0.25">
      <c r="D331" t="s">
        <v>346</v>
      </c>
      <c r="F331" s="9">
        <v>46251</v>
      </c>
    </row>
    <row r="332" spans="4:6" x14ac:dyDescent="0.25">
      <c r="D332" t="s">
        <v>347</v>
      </c>
      <c r="F332" s="9">
        <v>46265</v>
      </c>
    </row>
    <row r="333" spans="4:6" x14ac:dyDescent="0.25">
      <c r="D333" t="s">
        <v>348</v>
      </c>
      <c r="F333" s="9">
        <v>46279</v>
      </c>
    </row>
    <row r="334" spans="4:6" x14ac:dyDescent="0.25">
      <c r="D334" t="s">
        <v>349</v>
      </c>
    </row>
    <row r="335" spans="4:6" x14ac:dyDescent="0.25">
      <c r="D335" t="s">
        <v>350</v>
      </c>
    </row>
    <row r="336" spans="4:6" x14ac:dyDescent="0.25">
      <c r="D336" t="s">
        <v>351</v>
      </c>
    </row>
    <row r="337" spans="4:4" x14ac:dyDescent="0.25">
      <c r="D337" t="s">
        <v>352</v>
      </c>
    </row>
    <row r="338" spans="4:4" x14ac:dyDescent="0.25">
      <c r="D338" t="s">
        <v>353</v>
      </c>
    </row>
    <row r="339" spans="4:4" x14ac:dyDescent="0.25">
      <c r="D339" t="s">
        <v>354</v>
      </c>
    </row>
    <row r="340" spans="4:4" x14ac:dyDescent="0.25">
      <c r="D340" t="s">
        <v>355</v>
      </c>
    </row>
    <row r="341" spans="4:4" x14ac:dyDescent="0.25">
      <c r="D341" t="s">
        <v>356</v>
      </c>
    </row>
    <row r="342" spans="4:4" x14ac:dyDescent="0.25">
      <c r="D342" t="s">
        <v>357</v>
      </c>
    </row>
    <row r="343" spans="4:4" x14ac:dyDescent="0.25">
      <c r="D343" t="s">
        <v>358</v>
      </c>
    </row>
    <row r="344" spans="4:4" x14ac:dyDescent="0.25">
      <c r="D344" t="s">
        <v>359</v>
      </c>
    </row>
    <row r="345" spans="4:4" x14ac:dyDescent="0.25">
      <c r="D345" t="s">
        <v>360</v>
      </c>
    </row>
    <row r="346" spans="4:4" x14ac:dyDescent="0.25">
      <c r="D346" t="s">
        <v>361</v>
      </c>
    </row>
    <row r="347" spans="4:4" x14ac:dyDescent="0.25">
      <c r="D347" t="s">
        <v>362</v>
      </c>
    </row>
    <row r="348" spans="4:4" x14ac:dyDescent="0.25">
      <c r="D348" t="s">
        <v>363</v>
      </c>
    </row>
    <row r="349" spans="4:4" x14ac:dyDescent="0.25">
      <c r="D349" t="s">
        <v>364</v>
      </c>
    </row>
    <row r="350" spans="4:4" x14ac:dyDescent="0.25">
      <c r="D350" t="s">
        <v>365</v>
      </c>
    </row>
    <row r="351" spans="4:4" x14ac:dyDescent="0.25">
      <c r="D351" t="s">
        <v>366</v>
      </c>
    </row>
    <row r="352" spans="4:4" x14ac:dyDescent="0.25">
      <c r="D352" t="s">
        <v>367</v>
      </c>
    </row>
    <row r="353" spans="4:4" x14ac:dyDescent="0.25">
      <c r="D353" t="s">
        <v>368</v>
      </c>
    </row>
    <row r="354" spans="4:4" x14ac:dyDescent="0.25">
      <c r="D354" t="s">
        <v>369</v>
      </c>
    </row>
    <row r="355" spans="4:4" x14ac:dyDescent="0.25">
      <c r="D355" t="s">
        <v>370</v>
      </c>
    </row>
    <row r="356" spans="4:4" x14ac:dyDescent="0.25">
      <c r="D356" t="s">
        <v>371</v>
      </c>
    </row>
    <row r="357" spans="4:4" x14ac:dyDescent="0.25">
      <c r="D357" t="s">
        <v>372</v>
      </c>
    </row>
    <row r="358" spans="4:4" x14ac:dyDescent="0.25">
      <c r="D358" t="s">
        <v>373</v>
      </c>
    </row>
    <row r="359" spans="4:4" x14ac:dyDescent="0.25">
      <c r="D359" t="s">
        <v>374</v>
      </c>
    </row>
    <row r="360" spans="4:4" x14ac:dyDescent="0.25">
      <c r="D360" t="s">
        <v>375</v>
      </c>
    </row>
    <row r="361" spans="4:4" x14ac:dyDescent="0.25">
      <c r="D361" t="s">
        <v>376</v>
      </c>
    </row>
    <row r="362" spans="4:4" x14ac:dyDescent="0.25">
      <c r="D362" t="s">
        <v>377</v>
      </c>
    </row>
    <row r="363" spans="4:4" x14ac:dyDescent="0.25">
      <c r="D363" t="s">
        <v>378</v>
      </c>
    </row>
    <row r="364" spans="4:4" x14ac:dyDescent="0.25">
      <c r="D364" t="s">
        <v>379</v>
      </c>
    </row>
    <row r="365" spans="4:4" x14ac:dyDescent="0.25">
      <c r="D365" t="s">
        <v>380</v>
      </c>
    </row>
    <row r="366" spans="4:4" x14ac:dyDescent="0.25">
      <c r="D366" t="s">
        <v>381</v>
      </c>
    </row>
    <row r="367" spans="4:4" x14ac:dyDescent="0.25">
      <c r="D367" t="s">
        <v>382</v>
      </c>
    </row>
    <row r="368" spans="4:4" x14ac:dyDescent="0.25">
      <c r="D368" t="s">
        <v>383</v>
      </c>
    </row>
    <row r="369" spans="4:4" x14ac:dyDescent="0.25">
      <c r="D369" t="s">
        <v>384</v>
      </c>
    </row>
    <row r="370" spans="4:4" x14ac:dyDescent="0.25">
      <c r="D370" t="s">
        <v>385</v>
      </c>
    </row>
    <row r="371" spans="4:4" x14ac:dyDescent="0.25">
      <c r="D371" t="s">
        <v>386</v>
      </c>
    </row>
    <row r="372" spans="4:4" x14ac:dyDescent="0.25">
      <c r="D372" t="s">
        <v>387</v>
      </c>
    </row>
    <row r="373" spans="4:4" x14ac:dyDescent="0.25">
      <c r="D373" t="s">
        <v>388</v>
      </c>
    </row>
    <row r="374" spans="4:4" x14ac:dyDescent="0.25">
      <c r="D374" t="s">
        <v>389</v>
      </c>
    </row>
    <row r="375" spans="4:4" x14ac:dyDescent="0.25">
      <c r="D375" t="s">
        <v>390</v>
      </c>
    </row>
    <row r="376" spans="4:4" x14ac:dyDescent="0.25">
      <c r="D376" t="s">
        <v>391</v>
      </c>
    </row>
    <row r="377" spans="4:4" x14ac:dyDescent="0.25">
      <c r="D377" t="s">
        <v>392</v>
      </c>
    </row>
    <row r="378" spans="4:4" x14ac:dyDescent="0.25">
      <c r="D378" t="s">
        <v>393</v>
      </c>
    </row>
    <row r="379" spans="4:4" x14ac:dyDescent="0.25">
      <c r="D379" t="s">
        <v>394</v>
      </c>
    </row>
    <row r="380" spans="4:4" x14ac:dyDescent="0.25">
      <c r="D380" t="s">
        <v>395</v>
      </c>
    </row>
    <row r="381" spans="4:4" x14ac:dyDescent="0.25">
      <c r="D381" t="s">
        <v>396</v>
      </c>
    </row>
    <row r="382" spans="4:4" x14ac:dyDescent="0.25">
      <c r="D382" t="s">
        <v>397</v>
      </c>
    </row>
    <row r="383" spans="4:4" x14ac:dyDescent="0.25">
      <c r="D383" t="s">
        <v>398</v>
      </c>
    </row>
    <row r="384" spans="4:4" x14ac:dyDescent="0.25">
      <c r="D384" t="s">
        <v>399</v>
      </c>
    </row>
    <row r="385" spans="4:4" x14ac:dyDescent="0.25">
      <c r="D385" t="s">
        <v>400</v>
      </c>
    </row>
    <row r="386" spans="4:4" x14ac:dyDescent="0.25">
      <c r="D386" t="s">
        <v>401</v>
      </c>
    </row>
    <row r="387" spans="4:4" x14ac:dyDescent="0.25">
      <c r="D387" t="s">
        <v>402</v>
      </c>
    </row>
    <row r="388" spans="4:4" x14ac:dyDescent="0.25">
      <c r="D388" t="s">
        <v>403</v>
      </c>
    </row>
    <row r="389" spans="4:4" x14ac:dyDescent="0.25">
      <c r="D389" t="s">
        <v>404</v>
      </c>
    </row>
    <row r="390" spans="4:4" x14ac:dyDescent="0.25">
      <c r="D390" t="s">
        <v>405</v>
      </c>
    </row>
    <row r="391" spans="4:4" x14ac:dyDescent="0.25">
      <c r="D391" t="s">
        <v>406</v>
      </c>
    </row>
    <row r="392" spans="4:4" x14ac:dyDescent="0.25">
      <c r="D392" t="s">
        <v>407</v>
      </c>
    </row>
    <row r="393" spans="4:4" x14ac:dyDescent="0.25">
      <c r="D393" t="s">
        <v>408</v>
      </c>
    </row>
    <row r="394" spans="4:4" x14ac:dyDescent="0.25">
      <c r="D394" t="s">
        <v>409</v>
      </c>
    </row>
    <row r="395" spans="4:4" x14ac:dyDescent="0.25">
      <c r="D395" t="s">
        <v>410</v>
      </c>
    </row>
    <row r="396" spans="4:4" x14ac:dyDescent="0.25">
      <c r="D396" t="s">
        <v>411</v>
      </c>
    </row>
    <row r="397" spans="4:4" x14ac:dyDescent="0.25">
      <c r="D397" t="s">
        <v>412</v>
      </c>
    </row>
    <row r="398" spans="4:4" x14ac:dyDescent="0.25">
      <c r="D398" t="s">
        <v>413</v>
      </c>
    </row>
    <row r="399" spans="4:4" x14ac:dyDescent="0.25">
      <c r="D399" t="s">
        <v>414</v>
      </c>
    </row>
    <row r="400" spans="4:4" x14ac:dyDescent="0.25">
      <c r="D400" t="s">
        <v>415</v>
      </c>
    </row>
    <row r="401" spans="4:4" x14ac:dyDescent="0.25">
      <c r="D401" t="s">
        <v>416</v>
      </c>
    </row>
    <row r="402" spans="4:4" x14ac:dyDescent="0.25">
      <c r="D402" t="s">
        <v>417</v>
      </c>
    </row>
    <row r="403" spans="4:4" x14ac:dyDescent="0.25">
      <c r="D403" t="s">
        <v>418</v>
      </c>
    </row>
    <row r="404" spans="4:4" x14ac:dyDescent="0.25">
      <c r="D404" t="s">
        <v>419</v>
      </c>
    </row>
    <row r="405" spans="4:4" x14ac:dyDescent="0.25">
      <c r="D405" t="s">
        <v>420</v>
      </c>
    </row>
    <row r="406" spans="4:4" x14ac:dyDescent="0.25">
      <c r="D406" t="s">
        <v>421</v>
      </c>
    </row>
    <row r="407" spans="4:4" x14ac:dyDescent="0.25">
      <c r="D407" t="s">
        <v>422</v>
      </c>
    </row>
    <row r="408" spans="4:4" x14ac:dyDescent="0.25">
      <c r="D408" t="s">
        <v>423</v>
      </c>
    </row>
    <row r="409" spans="4:4" x14ac:dyDescent="0.25">
      <c r="D409" t="s">
        <v>424</v>
      </c>
    </row>
    <row r="410" spans="4:4" x14ac:dyDescent="0.25">
      <c r="D410" t="s">
        <v>425</v>
      </c>
    </row>
    <row r="411" spans="4:4" x14ac:dyDescent="0.25">
      <c r="D411" t="s">
        <v>426</v>
      </c>
    </row>
    <row r="412" spans="4:4" x14ac:dyDescent="0.25">
      <c r="D412" t="s">
        <v>427</v>
      </c>
    </row>
    <row r="413" spans="4:4" x14ac:dyDescent="0.25">
      <c r="D413" t="s">
        <v>428</v>
      </c>
    </row>
    <row r="414" spans="4:4" x14ac:dyDescent="0.25">
      <c r="D414" t="s">
        <v>429</v>
      </c>
    </row>
    <row r="415" spans="4:4" x14ac:dyDescent="0.25">
      <c r="D415" t="s">
        <v>430</v>
      </c>
    </row>
    <row r="416" spans="4:4" x14ac:dyDescent="0.25">
      <c r="D416" t="s">
        <v>431</v>
      </c>
    </row>
    <row r="417" spans="4:4" x14ac:dyDescent="0.25">
      <c r="D417" t="s">
        <v>432</v>
      </c>
    </row>
    <row r="418" spans="4:4" x14ac:dyDescent="0.25">
      <c r="D418" t="s">
        <v>433</v>
      </c>
    </row>
    <row r="419" spans="4:4" x14ac:dyDescent="0.25">
      <c r="D419" t="s">
        <v>434</v>
      </c>
    </row>
    <row r="420" spans="4:4" x14ac:dyDescent="0.25">
      <c r="D420" t="s">
        <v>435</v>
      </c>
    </row>
    <row r="421" spans="4:4" x14ac:dyDescent="0.25">
      <c r="D421" t="s">
        <v>436</v>
      </c>
    </row>
    <row r="422" spans="4:4" x14ac:dyDescent="0.25">
      <c r="D422" t="s">
        <v>437</v>
      </c>
    </row>
    <row r="423" spans="4:4" x14ac:dyDescent="0.25">
      <c r="D423" t="s">
        <v>438</v>
      </c>
    </row>
    <row r="424" spans="4:4" x14ac:dyDescent="0.25">
      <c r="D424" t="s">
        <v>439</v>
      </c>
    </row>
    <row r="425" spans="4:4" x14ac:dyDescent="0.25">
      <c r="D425" t="s">
        <v>440</v>
      </c>
    </row>
    <row r="426" spans="4:4" x14ac:dyDescent="0.25">
      <c r="D426" t="s">
        <v>441</v>
      </c>
    </row>
    <row r="427" spans="4:4" x14ac:dyDescent="0.25">
      <c r="D427" t="s">
        <v>442</v>
      </c>
    </row>
    <row r="428" spans="4:4" x14ac:dyDescent="0.25">
      <c r="D428" t="s">
        <v>443</v>
      </c>
    </row>
    <row r="429" spans="4:4" x14ac:dyDescent="0.25">
      <c r="D429" t="s">
        <v>444</v>
      </c>
    </row>
    <row r="430" spans="4:4" x14ac:dyDescent="0.25">
      <c r="D430" t="s">
        <v>445</v>
      </c>
    </row>
    <row r="431" spans="4:4" x14ac:dyDescent="0.25">
      <c r="D431" t="s">
        <v>446</v>
      </c>
    </row>
    <row r="432" spans="4:4" x14ac:dyDescent="0.25">
      <c r="D432" t="s">
        <v>447</v>
      </c>
    </row>
    <row r="433" spans="4:4" x14ac:dyDescent="0.25">
      <c r="D433" t="s">
        <v>448</v>
      </c>
    </row>
    <row r="434" spans="4:4" x14ac:dyDescent="0.25">
      <c r="D434" t="s">
        <v>449</v>
      </c>
    </row>
    <row r="435" spans="4:4" x14ac:dyDescent="0.25">
      <c r="D435" t="s">
        <v>450</v>
      </c>
    </row>
    <row r="436" spans="4:4" x14ac:dyDescent="0.25">
      <c r="D436" t="s">
        <v>451</v>
      </c>
    </row>
    <row r="437" spans="4:4" x14ac:dyDescent="0.25">
      <c r="D437" t="s">
        <v>452</v>
      </c>
    </row>
    <row r="438" spans="4:4" x14ac:dyDescent="0.25">
      <c r="D438" t="s">
        <v>453</v>
      </c>
    </row>
    <row r="439" spans="4:4" x14ac:dyDescent="0.25">
      <c r="D439" t="s">
        <v>454</v>
      </c>
    </row>
    <row r="440" spans="4:4" x14ac:dyDescent="0.25">
      <c r="D440" t="s">
        <v>455</v>
      </c>
    </row>
    <row r="441" spans="4:4" x14ac:dyDescent="0.25">
      <c r="D441" t="s">
        <v>456</v>
      </c>
    </row>
    <row r="442" spans="4:4" x14ac:dyDescent="0.25">
      <c r="D442" t="s">
        <v>457</v>
      </c>
    </row>
    <row r="443" spans="4:4" x14ac:dyDescent="0.25">
      <c r="D443" t="s">
        <v>458</v>
      </c>
    </row>
    <row r="444" spans="4:4" x14ac:dyDescent="0.25">
      <c r="D444" t="s">
        <v>459</v>
      </c>
    </row>
    <row r="445" spans="4:4" x14ac:dyDescent="0.25">
      <c r="D445" t="s">
        <v>460</v>
      </c>
    </row>
    <row r="446" spans="4:4" x14ac:dyDescent="0.25">
      <c r="D446" t="s">
        <v>461</v>
      </c>
    </row>
    <row r="447" spans="4:4" x14ac:dyDescent="0.25">
      <c r="D447" t="s">
        <v>462</v>
      </c>
    </row>
    <row r="448" spans="4:4" x14ac:dyDescent="0.25">
      <c r="D448" t="s">
        <v>463</v>
      </c>
    </row>
    <row r="449" spans="4:4" x14ac:dyDescent="0.25">
      <c r="D449" t="s">
        <v>464</v>
      </c>
    </row>
    <row r="450" spans="4:4" x14ac:dyDescent="0.25">
      <c r="D450" t="s">
        <v>465</v>
      </c>
    </row>
    <row r="451" spans="4:4" x14ac:dyDescent="0.25">
      <c r="D451" t="s">
        <v>466</v>
      </c>
    </row>
    <row r="452" spans="4:4" x14ac:dyDescent="0.25">
      <c r="D452" t="s">
        <v>467</v>
      </c>
    </row>
    <row r="453" spans="4:4" x14ac:dyDescent="0.25">
      <c r="D453" t="s">
        <v>468</v>
      </c>
    </row>
    <row r="454" spans="4:4" x14ac:dyDescent="0.25">
      <c r="D454" t="s">
        <v>469</v>
      </c>
    </row>
    <row r="455" spans="4:4" x14ac:dyDescent="0.25">
      <c r="D455" t="s">
        <v>470</v>
      </c>
    </row>
    <row r="456" spans="4:4" x14ac:dyDescent="0.25">
      <c r="D456" t="s">
        <v>471</v>
      </c>
    </row>
    <row r="457" spans="4:4" x14ac:dyDescent="0.25">
      <c r="D457" t="s">
        <v>472</v>
      </c>
    </row>
    <row r="458" spans="4:4" x14ac:dyDescent="0.25">
      <c r="D458" t="s">
        <v>473</v>
      </c>
    </row>
    <row r="459" spans="4:4" x14ac:dyDescent="0.25">
      <c r="D459" t="s">
        <v>474</v>
      </c>
    </row>
    <row r="460" spans="4:4" x14ac:dyDescent="0.25">
      <c r="D460" t="s">
        <v>475</v>
      </c>
    </row>
    <row r="461" spans="4:4" x14ac:dyDescent="0.25">
      <c r="D461" t="s">
        <v>476</v>
      </c>
    </row>
    <row r="462" spans="4:4" x14ac:dyDescent="0.25">
      <c r="D462" t="s">
        <v>477</v>
      </c>
    </row>
    <row r="463" spans="4:4" x14ac:dyDescent="0.25">
      <c r="D463" t="s">
        <v>478</v>
      </c>
    </row>
    <row r="464" spans="4:4" x14ac:dyDescent="0.25">
      <c r="D464" t="s">
        <v>479</v>
      </c>
    </row>
    <row r="465" spans="4:4" x14ac:dyDescent="0.25">
      <c r="D465" t="s">
        <v>480</v>
      </c>
    </row>
    <row r="466" spans="4:4" x14ac:dyDescent="0.25">
      <c r="D466" t="s">
        <v>481</v>
      </c>
    </row>
    <row r="467" spans="4:4" x14ac:dyDescent="0.25">
      <c r="D467" t="s">
        <v>482</v>
      </c>
    </row>
    <row r="468" spans="4:4" x14ac:dyDescent="0.25">
      <c r="D468" t="s">
        <v>483</v>
      </c>
    </row>
    <row r="469" spans="4:4" x14ac:dyDescent="0.25">
      <c r="D469" t="s">
        <v>484</v>
      </c>
    </row>
    <row r="470" spans="4:4" x14ac:dyDescent="0.25">
      <c r="D470" t="s">
        <v>485</v>
      </c>
    </row>
    <row r="471" spans="4:4" x14ac:dyDescent="0.25">
      <c r="D471" t="s">
        <v>486</v>
      </c>
    </row>
    <row r="472" spans="4:4" x14ac:dyDescent="0.25">
      <c r="D472" t="s">
        <v>487</v>
      </c>
    </row>
    <row r="473" spans="4:4" x14ac:dyDescent="0.25">
      <c r="D473" t="s">
        <v>488</v>
      </c>
    </row>
    <row r="474" spans="4:4" x14ac:dyDescent="0.25">
      <c r="D474" t="s">
        <v>489</v>
      </c>
    </row>
    <row r="475" spans="4:4" x14ac:dyDescent="0.25">
      <c r="D475" t="s">
        <v>490</v>
      </c>
    </row>
    <row r="476" spans="4:4" x14ac:dyDescent="0.25">
      <c r="D476" t="s">
        <v>491</v>
      </c>
    </row>
    <row r="477" spans="4:4" x14ac:dyDescent="0.25">
      <c r="D477" t="s">
        <v>492</v>
      </c>
    </row>
    <row r="478" spans="4:4" x14ac:dyDescent="0.25">
      <c r="D478" t="s">
        <v>493</v>
      </c>
    </row>
    <row r="479" spans="4:4" x14ac:dyDescent="0.25">
      <c r="D479" t="s">
        <v>494</v>
      </c>
    </row>
    <row r="480" spans="4:4" x14ac:dyDescent="0.25">
      <c r="D480" t="s">
        <v>495</v>
      </c>
    </row>
    <row r="481" spans="4:4" x14ac:dyDescent="0.25">
      <c r="D481" t="s">
        <v>496</v>
      </c>
    </row>
    <row r="482" spans="4:4" x14ac:dyDescent="0.25">
      <c r="D482" t="s">
        <v>497</v>
      </c>
    </row>
    <row r="483" spans="4:4" x14ac:dyDescent="0.25">
      <c r="D483" t="s">
        <v>498</v>
      </c>
    </row>
    <row r="484" spans="4:4" x14ac:dyDescent="0.25">
      <c r="D484" t="s">
        <v>499</v>
      </c>
    </row>
    <row r="485" spans="4:4" x14ac:dyDescent="0.25">
      <c r="D485" t="s">
        <v>500</v>
      </c>
    </row>
    <row r="486" spans="4:4" x14ac:dyDescent="0.25">
      <c r="D486" t="s">
        <v>501</v>
      </c>
    </row>
    <row r="487" spans="4:4" x14ac:dyDescent="0.25">
      <c r="D487" t="s">
        <v>502</v>
      </c>
    </row>
    <row r="488" spans="4:4" x14ac:dyDescent="0.25">
      <c r="D488" t="s">
        <v>503</v>
      </c>
    </row>
    <row r="489" spans="4:4" x14ac:dyDescent="0.25">
      <c r="D489" t="s">
        <v>504</v>
      </c>
    </row>
    <row r="490" spans="4:4" x14ac:dyDescent="0.25">
      <c r="D490" t="s">
        <v>505</v>
      </c>
    </row>
    <row r="491" spans="4:4" x14ac:dyDescent="0.25">
      <c r="D491" t="s">
        <v>506</v>
      </c>
    </row>
    <row r="492" spans="4:4" x14ac:dyDescent="0.25">
      <c r="D492" t="s">
        <v>507</v>
      </c>
    </row>
    <row r="493" spans="4:4" x14ac:dyDescent="0.25">
      <c r="D493" t="s">
        <v>508</v>
      </c>
    </row>
    <row r="494" spans="4:4" x14ac:dyDescent="0.25">
      <c r="D494" t="s">
        <v>509</v>
      </c>
    </row>
    <row r="495" spans="4:4" x14ac:dyDescent="0.25">
      <c r="D495" t="s">
        <v>510</v>
      </c>
    </row>
    <row r="496" spans="4:4" x14ac:dyDescent="0.25">
      <c r="D496" t="s">
        <v>511</v>
      </c>
    </row>
    <row r="497" spans="4:4" x14ac:dyDescent="0.25">
      <c r="D497" t="s">
        <v>512</v>
      </c>
    </row>
    <row r="498" spans="4:4" x14ac:dyDescent="0.25">
      <c r="D498" t="s">
        <v>513</v>
      </c>
    </row>
    <row r="499" spans="4:4" x14ac:dyDescent="0.25">
      <c r="D499" t="s">
        <v>514</v>
      </c>
    </row>
    <row r="500" spans="4:4" x14ac:dyDescent="0.25">
      <c r="D500" t="s">
        <v>515</v>
      </c>
    </row>
    <row r="501" spans="4:4" x14ac:dyDescent="0.25">
      <c r="D501" t="s">
        <v>516</v>
      </c>
    </row>
    <row r="502" spans="4:4" x14ac:dyDescent="0.25">
      <c r="D502" t="s">
        <v>517</v>
      </c>
    </row>
    <row r="503" spans="4:4" x14ac:dyDescent="0.25">
      <c r="D503" t="s">
        <v>518</v>
      </c>
    </row>
    <row r="504" spans="4:4" x14ac:dyDescent="0.25">
      <c r="D504" t="s">
        <v>519</v>
      </c>
    </row>
    <row r="505" spans="4:4" x14ac:dyDescent="0.25">
      <c r="D505" t="s">
        <v>520</v>
      </c>
    </row>
    <row r="506" spans="4:4" x14ac:dyDescent="0.25">
      <c r="D506" t="s">
        <v>521</v>
      </c>
    </row>
    <row r="507" spans="4:4" x14ac:dyDescent="0.25">
      <c r="D507" t="s">
        <v>522</v>
      </c>
    </row>
    <row r="508" spans="4:4" x14ac:dyDescent="0.25">
      <c r="D508" t="s">
        <v>523</v>
      </c>
    </row>
    <row r="509" spans="4:4" x14ac:dyDescent="0.25">
      <c r="D509" t="s">
        <v>524</v>
      </c>
    </row>
    <row r="510" spans="4:4" x14ac:dyDescent="0.25">
      <c r="D510" t="s">
        <v>525</v>
      </c>
    </row>
    <row r="511" spans="4:4" x14ac:dyDescent="0.25">
      <c r="D511" t="s">
        <v>526</v>
      </c>
    </row>
    <row r="512" spans="4:4" x14ac:dyDescent="0.25">
      <c r="D512" t="s">
        <v>527</v>
      </c>
    </row>
    <row r="513" spans="4:4" x14ac:dyDescent="0.25">
      <c r="D513" t="s">
        <v>528</v>
      </c>
    </row>
    <row r="514" spans="4:4" x14ac:dyDescent="0.25">
      <c r="D514" t="s">
        <v>529</v>
      </c>
    </row>
    <row r="515" spans="4:4" x14ac:dyDescent="0.25">
      <c r="D515" t="s">
        <v>530</v>
      </c>
    </row>
    <row r="516" spans="4:4" x14ac:dyDescent="0.25">
      <c r="D516" t="s">
        <v>531</v>
      </c>
    </row>
    <row r="517" spans="4:4" x14ac:dyDescent="0.25">
      <c r="D517" t="s">
        <v>532</v>
      </c>
    </row>
    <row r="518" spans="4:4" x14ac:dyDescent="0.25">
      <c r="D518" t="s">
        <v>533</v>
      </c>
    </row>
    <row r="519" spans="4:4" x14ac:dyDescent="0.25">
      <c r="D519" t="s">
        <v>534</v>
      </c>
    </row>
    <row r="520" spans="4:4" x14ac:dyDescent="0.25">
      <c r="D520" t="s">
        <v>535</v>
      </c>
    </row>
    <row r="521" spans="4:4" x14ac:dyDescent="0.25">
      <c r="D521" t="s">
        <v>536</v>
      </c>
    </row>
    <row r="522" spans="4:4" x14ac:dyDescent="0.25">
      <c r="D522" t="s">
        <v>537</v>
      </c>
    </row>
    <row r="523" spans="4:4" x14ac:dyDescent="0.25">
      <c r="D523" t="s">
        <v>538</v>
      </c>
    </row>
    <row r="524" spans="4:4" x14ac:dyDescent="0.25">
      <c r="D524" t="s">
        <v>539</v>
      </c>
    </row>
    <row r="525" spans="4:4" x14ac:dyDescent="0.25">
      <c r="D525" t="s">
        <v>540</v>
      </c>
    </row>
    <row r="526" spans="4:4" x14ac:dyDescent="0.25">
      <c r="D526" t="s">
        <v>541</v>
      </c>
    </row>
    <row r="527" spans="4:4" x14ac:dyDescent="0.25">
      <c r="D527" t="s">
        <v>542</v>
      </c>
    </row>
    <row r="528" spans="4:4" x14ac:dyDescent="0.25">
      <c r="D528" t="s">
        <v>543</v>
      </c>
    </row>
    <row r="529" spans="4:4" x14ac:dyDescent="0.25">
      <c r="D529" t="s">
        <v>544</v>
      </c>
    </row>
    <row r="530" spans="4:4" x14ac:dyDescent="0.25">
      <c r="D530" t="s">
        <v>545</v>
      </c>
    </row>
    <row r="531" spans="4:4" x14ac:dyDescent="0.25">
      <c r="D531" t="s">
        <v>546</v>
      </c>
    </row>
    <row r="532" spans="4:4" x14ac:dyDescent="0.25">
      <c r="D532" t="s">
        <v>547</v>
      </c>
    </row>
    <row r="533" spans="4:4" x14ac:dyDescent="0.25">
      <c r="D533" t="s">
        <v>548</v>
      </c>
    </row>
    <row r="534" spans="4:4" x14ac:dyDescent="0.25">
      <c r="D534" t="s">
        <v>549</v>
      </c>
    </row>
    <row r="535" spans="4:4" x14ac:dyDescent="0.25">
      <c r="D535" t="s">
        <v>550</v>
      </c>
    </row>
    <row r="536" spans="4:4" x14ac:dyDescent="0.25">
      <c r="D536" t="s">
        <v>551</v>
      </c>
    </row>
    <row r="537" spans="4:4" x14ac:dyDescent="0.25">
      <c r="D537" t="s">
        <v>552</v>
      </c>
    </row>
    <row r="538" spans="4:4" x14ac:dyDescent="0.25">
      <c r="D538" t="s">
        <v>553</v>
      </c>
    </row>
    <row r="539" spans="4:4" x14ac:dyDescent="0.25">
      <c r="D539" t="s">
        <v>554</v>
      </c>
    </row>
    <row r="540" spans="4:4" x14ac:dyDescent="0.25">
      <c r="D540" t="s">
        <v>555</v>
      </c>
    </row>
    <row r="541" spans="4:4" x14ac:dyDescent="0.25">
      <c r="D541" t="s">
        <v>556</v>
      </c>
    </row>
    <row r="542" spans="4:4" x14ac:dyDescent="0.25">
      <c r="D542" t="s">
        <v>557</v>
      </c>
    </row>
    <row r="543" spans="4:4" x14ac:dyDescent="0.25">
      <c r="D543" t="s">
        <v>558</v>
      </c>
    </row>
    <row r="544" spans="4:4" x14ac:dyDescent="0.25">
      <c r="D544" t="s">
        <v>559</v>
      </c>
    </row>
    <row r="545" spans="4:4" x14ac:dyDescent="0.25">
      <c r="D545" t="s">
        <v>560</v>
      </c>
    </row>
    <row r="546" spans="4:4" x14ac:dyDescent="0.25">
      <c r="D546" t="s">
        <v>561</v>
      </c>
    </row>
    <row r="547" spans="4:4" x14ac:dyDescent="0.25">
      <c r="D547" t="s">
        <v>562</v>
      </c>
    </row>
    <row r="548" spans="4:4" x14ac:dyDescent="0.25">
      <c r="D548" t="s">
        <v>563</v>
      </c>
    </row>
    <row r="549" spans="4:4" x14ac:dyDescent="0.25">
      <c r="D549" t="s">
        <v>564</v>
      </c>
    </row>
    <row r="550" spans="4:4" x14ac:dyDescent="0.25">
      <c r="D550" t="s">
        <v>565</v>
      </c>
    </row>
    <row r="551" spans="4:4" x14ac:dyDescent="0.25">
      <c r="D551" t="s">
        <v>566</v>
      </c>
    </row>
    <row r="552" spans="4:4" x14ac:dyDescent="0.25">
      <c r="D552" t="s">
        <v>567</v>
      </c>
    </row>
    <row r="553" spans="4:4" x14ac:dyDescent="0.25">
      <c r="D553" t="s">
        <v>568</v>
      </c>
    </row>
    <row r="554" spans="4:4" x14ac:dyDescent="0.25">
      <c r="D554" t="s">
        <v>569</v>
      </c>
    </row>
    <row r="555" spans="4:4" x14ac:dyDescent="0.25">
      <c r="D555" t="s">
        <v>570</v>
      </c>
    </row>
    <row r="556" spans="4:4" x14ac:dyDescent="0.25">
      <c r="D556" t="s">
        <v>571</v>
      </c>
    </row>
    <row r="557" spans="4:4" x14ac:dyDescent="0.25">
      <c r="D557" t="s">
        <v>572</v>
      </c>
    </row>
    <row r="558" spans="4:4" x14ac:dyDescent="0.25">
      <c r="D558" t="s">
        <v>573</v>
      </c>
    </row>
    <row r="559" spans="4:4" x14ac:dyDescent="0.25">
      <c r="D559" t="s">
        <v>574</v>
      </c>
    </row>
    <row r="560" spans="4:4" x14ac:dyDescent="0.25">
      <c r="D560" t="s">
        <v>575</v>
      </c>
    </row>
    <row r="561" spans="4:4" x14ac:dyDescent="0.25">
      <c r="D561" t="s">
        <v>576</v>
      </c>
    </row>
    <row r="562" spans="4:4" x14ac:dyDescent="0.25">
      <c r="D562" t="s">
        <v>577</v>
      </c>
    </row>
    <row r="563" spans="4:4" x14ac:dyDescent="0.25">
      <c r="D563" t="s">
        <v>578</v>
      </c>
    </row>
    <row r="564" spans="4:4" x14ac:dyDescent="0.25">
      <c r="D564" t="s">
        <v>579</v>
      </c>
    </row>
    <row r="565" spans="4:4" x14ac:dyDescent="0.25">
      <c r="D565" t="s">
        <v>580</v>
      </c>
    </row>
    <row r="566" spans="4:4" x14ac:dyDescent="0.25">
      <c r="D566" t="s">
        <v>581</v>
      </c>
    </row>
    <row r="567" spans="4:4" x14ac:dyDescent="0.25">
      <c r="D567" t="s">
        <v>582</v>
      </c>
    </row>
    <row r="568" spans="4:4" x14ac:dyDescent="0.25">
      <c r="D568" t="s">
        <v>583</v>
      </c>
    </row>
    <row r="569" spans="4:4" x14ac:dyDescent="0.25">
      <c r="D569" t="s">
        <v>584</v>
      </c>
    </row>
    <row r="570" spans="4:4" x14ac:dyDescent="0.25">
      <c r="D570" t="s">
        <v>585</v>
      </c>
    </row>
    <row r="571" spans="4:4" x14ac:dyDescent="0.25">
      <c r="D571" t="s">
        <v>586</v>
      </c>
    </row>
    <row r="572" spans="4:4" x14ac:dyDescent="0.25">
      <c r="D572" t="s">
        <v>587</v>
      </c>
    </row>
    <row r="573" spans="4:4" x14ac:dyDescent="0.25">
      <c r="D573" t="s">
        <v>588</v>
      </c>
    </row>
    <row r="574" spans="4:4" x14ac:dyDescent="0.25">
      <c r="D574" t="s">
        <v>589</v>
      </c>
    </row>
    <row r="575" spans="4:4" x14ac:dyDescent="0.25">
      <c r="D575" t="s">
        <v>590</v>
      </c>
    </row>
    <row r="576" spans="4:4" x14ac:dyDescent="0.25">
      <c r="D576" t="s">
        <v>591</v>
      </c>
    </row>
    <row r="577" spans="4:4" x14ac:dyDescent="0.25">
      <c r="D577" t="s">
        <v>592</v>
      </c>
    </row>
    <row r="578" spans="4:4" x14ac:dyDescent="0.25">
      <c r="D578" t="s">
        <v>593</v>
      </c>
    </row>
    <row r="579" spans="4:4" x14ac:dyDescent="0.25">
      <c r="D579" t="s">
        <v>594</v>
      </c>
    </row>
    <row r="580" spans="4:4" x14ac:dyDescent="0.25">
      <c r="D580" t="s">
        <v>595</v>
      </c>
    </row>
    <row r="581" spans="4:4" x14ac:dyDescent="0.25">
      <c r="D581" t="s">
        <v>596</v>
      </c>
    </row>
    <row r="582" spans="4:4" x14ac:dyDescent="0.25">
      <c r="D582" t="s">
        <v>597</v>
      </c>
    </row>
    <row r="583" spans="4:4" x14ac:dyDescent="0.25">
      <c r="D583" t="s">
        <v>598</v>
      </c>
    </row>
    <row r="584" spans="4:4" x14ac:dyDescent="0.25">
      <c r="D584" t="s">
        <v>599</v>
      </c>
    </row>
    <row r="585" spans="4:4" x14ac:dyDescent="0.25">
      <c r="D585" t="s">
        <v>600</v>
      </c>
    </row>
    <row r="586" spans="4:4" x14ac:dyDescent="0.25">
      <c r="D586" t="s">
        <v>601</v>
      </c>
    </row>
    <row r="587" spans="4:4" x14ac:dyDescent="0.25">
      <c r="D587" t="s">
        <v>602</v>
      </c>
    </row>
    <row r="588" spans="4:4" x14ac:dyDescent="0.25">
      <c r="D588" t="s">
        <v>603</v>
      </c>
    </row>
    <row r="589" spans="4:4" x14ac:dyDescent="0.25">
      <c r="D589" t="s">
        <v>604</v>
      </c>
    </row>
    <row r="590" spans="4:4" x14ac:dyDescent="0.25">
      <c r="D590" t="s">
        <v>605</v>
      </c>
    </row>
    <row r="591" spans="4:4" x14ac:dyDescent="0.25">
      <c r="D591" t="s">
        <v>606</v>
      </c>
    </row>
    <row r="592" spans="4:4" x14ac:dyDescent="0.25">
      <c r="D592" t="s">
        <v>607</v>
      </c>
    </row>
    <row r="593" spans="4:4" x14ac:dyDescent="0.25">
      <c r="D593" t="s">
        <v>608</v>
      </c>
    </row>
    <row r="594" spans="4:4" x14ac:dyDescent="0.25">
      <c r="D594" t="s">
        <v>609</v>
      </c>
    </row>
    <row r="595" spans="4:4" x14ac:dyDescent="0.25">
      <c r="D595" t="s">
        <v>610</v>
      </c>
    </row>
    <row r="596" spans="4:4" x14ac:dyDescent="0.25">
      <c r="D596" t="s">
        <v>611</v>
      </c>
    </row>
    <row r="597" spans="4:4" x14ac:dyDescent="0.25">
      <c r="D597" t="s">
        <v>612</v>
      </c>
    </row>
    <row r="598" spans="4:4" x14ac:dyDescent="0.25">
      <c r="D598" t="s">
        <v>613</v>
      </c>
    </row>
    <row r="599" spans="4:4" x14ac:dyDescent="0.25">
      <c r="D599" t="s">
        <v>614</v>
      </c>
    </row>
    <row r="600" spans="4:4" x14ac:dyDescent="0.25">
      <c r="D600" t="s">
        <v>615</v>
      </c>
    </row>
    <row r="601" spans="4:4" x14ac:dyDescent="0.25">
      <c r="D601" t="s">
        <v>616</v>
      </c>
    </row>
    <row r="602" spans="4:4" x14ac:dyDescent="0.25">
      <c r="D602" t="s">
        <v>617</v>
      </c>
    </row>
    <row r="603" spans="4:4" x14ac:dyDescent="0.25">
      <c r="D603" t="s">
        <v>618</v>
      </c>
    </row>
    <row r="604" spans="4:4" x14ac:dyDescent="0.25">
      <c r="D604" t="s">
        <v>619</v>
      </c>
    </row>
    <row r="605" spans="4:4" x14ac:dyDescent="0.25">
      <c r="D605" t="s">
        <v>620</v>
      </c>
    </row>
    <row r="606" spans="4:4" x14ac:dyDescent="0.25">
      <c r="D606" t="s">
        <v>621</v>
      </c>
    </row>
    <row r="607" spans="4:4" x14ac:dyDescent="0.25">
      <c r="D607" t="s">
        <v>622</v>
      </c>
    </row>
    <row r="608" spans="4:4" x14ac:dyDescent="0.25">
      <c r="D608" t="s">
        <v>623</v>
      </c>
    </row>
    <row r="609" spans="4:4" x14ac:dyDescent="0.25">
      <c r="D609" t="s">
        <v>624</v>
      </c>
    </row>
    <row r="610" spans="4:4" x14ac:dyDescent="0.25">
      <c r="D610" t="s">
        <v>625</v>
      </c>
    </row>
    <row r="611" spans="4:4" x14ac:dyDescent="0.25">
      <c r="D611" t="s">
        <v>626</v>
      </c>
    </row>
    <row r="612" spans="4:4" x14ac:dyDescent="0.25">
      <c r="D612" t="s">
        <v>627</v>
      </c>
    </row>
    <row r="613" spans="4:4" x14ac:dyDescent="0.25">
      <c r="D613" t="s">
        <v>628</v>
      </c>
    </row>
    <row r="614" spans="4:4" x14ac:dyDescent="0.25">
      <c r="D614" t="s">
        <v>629</v>
      </c>
    </row>
    <row r="615" spans="4:4" x14ac:dyDescent="0.25">
      <c r="D615" t="s">
        <v>630</v>
      </c>
    </row>
    <row r="616" spans="4:4" x14ac:dyDescent="0.25">
      <c r="D616" t="s">
        <v>631</v>
      </c>
    </row>
    <row r="617" spans="4:4" x14ac:dyDescent="0.25">
      <c r="D617" t="s">
        <v>632</v>
      </c>
    </row>
    <row r="618" spans="4:4" x14ac:dyDescent="0.25">
      <c r="D618" t="s">
        <v>633</v>
      </c>
    </row>
    <row r="619" spans="4:4" x14ac:dyDescent="0.25">
      <c r="D619" t="s">
        <v>634</v>
      </c>
    </row>
    <row r="620" spans="4:4" x14ac:dyDescent="0.25">
      <c r="D620" t="s">
        <v>635</v>
      </c>
    </row>
    <row r="621" spans="4:4" x14ac:dyDescent="0.25">
      <c r="D621" t="s">
        <v>636</v>
      </c>
    </row>
    <row r="622" spans="4:4" x14ac:dyDescent="0.25">
      <c r="D622" t="s">
        <v>637</v>
      </c>
    </row>
    <row r="623" spans="4:4" x14ac:dyDescent="0.25">
      <c r="D623" t="s">
        <v>638</v>
      </c>
    </row>
    <row r="624" spans="4:4" x14ac:dyDescent="0.25">
      <c r="D624" t="s">
        <v>639</v>
      </c>
    </row>
    <row r="625" spans="4:4" x14ac:dyDescent="0.25">
      <c r="D625" t="s">
        <v>640</v>
      </c>
    </row>
    <row r="626" spans="4:4" x14ac:dyDescent="0.25">
      <c r="D626" t="s">
        <v>641</v>
      </c>
    </row>
    <row r="627" spans="4:4" x14ac:dyDescent="0.25">
      <c r="D627" t="s">
        <v>642</v>
      </c>
    </row>
    <row r="628" spans="4:4" x14ac:dyDescent="0.25">
      <c r="D628" t="s">
        <v>643</v>
      </c>
    </row>
    <row r="629" spans="4:4" x14ac:dyDescent="0.25">
      <c r="D629" t="s">
        <v>644</v>
      </c>
    </row>
    <row r="630" spans="4:4" x14ac:dyDescent="0.25">
      <c r="D630" t="s">
        <v>645</v>
      </c>
    </row>
    <row r="631" spans="4:4" x14ac:dyDescent="0.25">
      <c r="D631" t="s">
        <v>646</v>
      </c>
    </row>
    <row r="632" spans="4:4" x14ac:dyDescent="0.25">
      <c r="D632" t="s">
        <v>647</v>
      </c>
    </row>
    <row r="633" spans="4:4" x14ac:dyDescent="0.25">
      <c r="D633" t="s">
        <v>648</v>
      </c>
    </row>
    <row r="634" spans="4:4" x14ac:dyDescent="0.25">
      <c r="D634" t="s">
        <v>649</v>
      </c>
    </row>
    <row r="635" spans="4:4" x14ac:dyDescent="0.25">
      <c r="D635" t="s">
        <v>650</v>
      </c>
    </row>
    <row r="636" spans="4:4" x14ac:dyDescent="0.25">
      <c r="D636" t="s">
        <v>651</v>
      </c>
    </row>
    <row r="637" spans="4:4" x14ac:dyDescent="0.25">
      <c r="D637" t="s">
        <v>652</v>
      </c>
    </row>
    <row r="638" spans="4:4" x14ac:dyDescent="0.25">
      <c r="D638" t="s">
        <v>653</v>
      </c>
    </row>
    <row r="639" spans="4:4" x14ac:dyDescent="0.25">
      <c r="D639" t="s">
        <v>654</v>
      </c>
    </row>
    <row r="640" spans="4:4" x14ac:dyDescent="0.25">
      <c r="D640" t="s">
        <v>655</v>
      </c>
    </row>
    <row r="641" spans="4:4" x14ac:dyDescent="0.25">
      <c r="D641" t="s">
        <v>656</v>
      </c>
    </row>
    <row r="642" spans="4:4" x14ac:dyDescent="0.25">
      <c r="D642" t="s">
        <v>657</v>
      </c>
    </row>
    <row r="643" spans="4:4" x14ac:dyDescent="0.25">
      <c r="D643" t="s">
        <v>658</v>
      </c>
    </row>
    <row r="644" spans="4:4" x14ac:dyDescent="0.25">
      <c r="D644" t="s">
        <v>659</v>
      </c>
    </row>
    <row r="645" spans="4:4" x14ac:dyDescent="0.25">
      <c r="D645" t="s">
        <v>660</v>
      </c>
    </row>
    <row r="646" spans="4:4" x14ac:dyDescent="0.25">
      <c r="D646" t="s">
        <v>661</v>
      </c>
    </row>
    <row r="647" spans="4:4" x14ac:dyDescent="0.25">
      <c r="D647" t="s">
        <v>662</v>
      </c>
    </row>
    <row r="648" spans="4:4" x14ac:dyDescent="0.25">
      <c r="D648" t="s">
        <v>663</v>
      </c>
    </row>
    <row r="649" spans="4:4" x14ac:dyDescent="0.25">
      <c r="D649" t="s">
        <v>664</v>
      </c>
    </row>
    <row r="650" spans="4:4" x14ac:dyDescent="0.25">
      <c r="D650" t="s">
        <v>665</v>
      </c>
    </row>
    <row r="651" spans="4:4" x14ac:dyDescent="0.25">
      <c r="D651" t="s">
        <v>666</v>
      </c>
    </row>
    <row r="652" spans="4:4" x14ac:dyDescent="0.25">
      <c r="D652" t="s">
        <v>667</v>
      </c>
    </row>
    <row r="653" spans="4:4" x14ac:dyDescent="0.25">
      <c r="D653" t="s">
        <v>668</v>
      </c>
    </row>
    <row r="654" spans="4:4" x14ac:dyDescent="0.25">
      <c r="D654" t="s">
        <v>669</v>
      </c>
    </row>
    <row r="655" spans="4:4" x14ac:dyDescent="0.25">
      <c r="D655" t="s">
        <v>670</v>
      </c>
    </row>
    <row r="656" spans="4:4" x14ac:dyDescent="0.25">
      <c r="D656" t="s">
        <v>671</v>
      </c>
    </row>
    <row r="657" spans="4:4" x14ac:dyDescent="0.25">
      <c r="D657" t="s">
        <v>672</v>
      </c>
    </row>
    <row r="658" spans="4:4" x14ac:dyDescent="0.25">
      <c r="D658" t="s">
        <v>673</v>
      </c>
    </row>
    <row r="659" spans="4:4" x14ac:dyDescent="0.25">
      <c r="D659" t="s">
        <v>674</v>
      </c>
    </row>
    <row r="660" spans="4:4" x14ac:dyDescent="0.25">
      <c r="D660" t="s">
        <v>675</v>
      </c>
    </row>
    <row r="661" spans="4:4" x14ac:dyDescent="0.25">
      <c r="D661" t="s">
        <v>676</v>
      </c>
    </row>
    <row r="662" spans="4:4" x14ac:dyDescent="0.25">
      <c r="D662" t="s">
        <v>677</v>
      </c>
    </row>
    <row r="663" spans="4:4" x14ac:dyDescent="0.25">
      <c r="D663" t="s">
        <v>678</v>
      </c>
    </row>
    <row r="664" spans="4:4" x14ac:dyDescent="0.25">
      <c r="D664" t="s">
        <v>679</v>
      </c>
    </row>
    <row r="665" spans="4:4" x14ac:dyDescent="0.25">
      <c r="D665" t="s">
        <v>680</v>
      </c>
    </row>
    <row r="666" spans="4:4" x14ac:dyDescent="0.25">
      <c r="D666" t="s">
        <v>681</v>
      </c>
    </row>
    <row r="667" spans="4:4" x14ac:dyDescent="0.25">
      <c r="D667" t="s">
        <v>682</v>
      </c>
    </row>
    <row r="668" spans="4:4" x14ac:dyDescent="0.25">
      <c r="D668" t="s">
        <v>683</v>
      </c>
    </row>
    <row r="669" spans="4:4" x14ac:dyDescent="0.25">
      <c r="D669" t="s">
        <v>684</v>
      </c>
    </row>
    <row r="670" spans="4:4" x14ac:dyDescent="0.25">
      <c r="D670" t="s">
        <v>685</v>
      </c>
    </row>
    <row r="671" spans="4:4" x14ac:dyDescent="0.25">
      <c r="D671" t="s">
        <v>686</v>
      </c>
    </row>
    <row r="672" spans="4:4" x14ac:dyDescent="0.25">
      <c r="D672" t="s">
        <v>687</v>
      </c>
    </row>
    <row r="673" spans="4:4" x14ac:dyDescent="0.25">
      <c r="D673" t="s">
        <v>688</v>
      </c>
    </row>
    <row r="674" spans="4:4" x14ac:dyDescent="0.25">
      <c r="D674" t="s">
        <v>689</v>
      </c>
    </row>
    <row r="675" spans="4:4" x14ac:dyDescent="0.25">
      <c r="D675" t="s">
        <v>690</v>
      </c>
    </row>
    <row r="676" spans="4:4" x14ac:dyDescent="0.25">
      <c r="D676" t="s">
        <v>691</v>
      </c>
    </row>
    <row r="677" spans="4:4" x14ac:dyDescent="0.25">
      <c r="D677" t="s">
        <v>692</v>
      </c>
    </row>
    <row r="678" spans="4:4" x14ac:dyDescent="0.25">
      <c r="D678" t="s">
        <v>693</v>
      </c>
    </row>
    <row r="679" spans="4:4" x14ac:dyDescent="0.25">
      <c r="D679" t="s">
        <v>694</v>
      </c>
    </row>
    <row r="680" spans="4:4" x14ac:dyDescent="0.25">
      <c r="D680" t="s">
        <v>695</v>
      </c>
    </row>
    <row r="681" spans="4:4" x14ac:dyDescent="0.25">
      <c r="D681" t="s">
        <v>696</v>
      </c>
    </row>
    <row r="682" spans="4:4" x14ac:dyDescent="0.25">
      <c r="D682" t="s">
        <v>697</v>
      </c>
    </row>
    <row r="683" spans="4:4" x14ac:dyDescent="0.25">
      <c r="D683" t="s">
        <v>698</v>
      </c>
    </row>
    <row r="684" spans="4:4" x14ac:dyDescent="0.25">
      <c r="D684" t="s">
        <v>699</v>
      </c>
    </row>
    <row r="685" spans="4:4" x14ac:dyDescent="0.25">
      <c r="D685" t="s">
        <v>700</v>
      </c>
    </row>
    <row r="686" spans="4:4" x14ac:dyDescent="0.25">
      <c r="D686" t="s">
        <v>701</v>
      </c>
    </row>
    <row r="687" spans="4:4" x14ac:dyDescent="0.25">
      <c r="D687" t="s">
        <v>702</v>
      </c>
    </row>
    <row r="688" spans="4:4" x14ac:dyDescent="0.25">
      <c r="D688" t="s">
        <v>703</v>
      </c>
    </row>
    <row r="689" spans="4:4" x14ac:dyDescent="0.25">
      <c r="D689" t="s">
        <v>704</v>
      </c>
    </row>
    <row r="690" spans="4:4" x14ac:dyDescent="0.25">
      <c r="D690" t="s">
        <v>705</v>
      </c>
    </row>
    <row r="691" spans="4:4" x14ac:dyDescent="0.25">
      <c r="D691" t="s">
        <v>706</v>
      </c>
    </row>
    <row r="692" spans="4:4" x14ac:dyDescent="0.25">
      <c r="D692" t="s">
        <v>707</v>
      </c>
    </row>
    <row r="693" spans="4:4" x14ac:dyDescent="0.25">
      <c r="D693" t="s">
        <v>708</v>
      </c>
    </row>
    <row r="694" spans="4:4" x14ac:dyDescent="0.25">
      <c r="D694" t="s">
        <v>709</v>
      </c>
    </row>
    <row r="695" spans="4:4" x14ac:dyDescent="0.25">
      <c r="D695" t="s">
        <v>710</v>
      </c>
    </row>
    <row r="696" spans="4:4" x14ac:dyDescent="0.25">
      <c r="D696" t="s">
        <v>711</v>
      </c>
    </row>
    <row r="697" spans="4:4" x14ac:dyDescent="0.25">
      <c r="D697" t="s">
        <v>712</v>
      </c>
    </row>
    <row r="698" spans="4:4" x14ac:dyDescent="0.25">
      <c r="D698" t="s">
        <v>713</v>
      </c>
    </row>
    <row r="699" spans="4:4" x14ac:dyDescent="0.25">
      <c r="D699" t="s">
        <v>714</v>
      </c>
    </row>
    <row r="700" spans="4:4" x14ac:dyDescent="0.25">
      <c r="D700" t="s">
        <v>715</v>
      </c>
    </row>
    <row r="701" spans="4:4" x14ac:dyDescent="0.25">
      <c r="D701" t="s">
        <v>716</v>
      </c>
    </row>
    <row r="702" spans="4:4" x14ac:dyDescent="0.25">
      <c r="D702" t="s">
        <v>717</v>
      </c>
    </row>
    <row r="703" spans="4:4" x14ac:dyDescent="0.25">
      <c r="D703" t="s">
        <v>718</v>
      </c>
    </row>
    <row r="704" spans="4:4" x14ac:dyDescent="0.25">
      <c r="D704" t="s">
        <v>719</v>
      </c>
    </row>
    <row r="705" spans="4:4" x14ac:dyDescent="0.25">
      <c r="D705" t="s">
        <v>720</v>
      </c>
    </row>
    <row r="706" spans="4:4" x14ac:dyDescent="0.25">
      <c r="D706" t="s">
        <v>721</v>
      </c>
    </row>
    <row r="707" spans="4:4" x14ac:dyDescent="0.25">
      <c r="D707" t="s">
        <v>722</v>
      </c>
    </row>
    <row r="708" spans="4:4" x14ac:dyDescent="0.25">
      <c r="D708" t="s">
        <v>723</v>
      </c>
    </row>
    <row r="709" spans="4:4" x14ac:dyDescent="0.25">
      <c r="D709" t="s">
        <v>724</v>
      </c>
    </row>
    <row r="710" spans="4:4" x14ac:dyDescent="0.25">
      <c r="D710" t="s">
        <v>725</v>
      </c>
    </row>
    <row r="711" spans="4:4" x14ac:dyDescent="0.25">
      <c r="D711" t="s">
        <v>726</v>
      </c>
    </row>
    <row r="712" spans="4:4" x14ac:dyDescent="0.25">
      <c r="D712" t="s">
        <v>727</v>
      </c>
    </row>
    <row r="713" spans="4:4" x14ac:dyDescent="0.25">
      <c r="D713" t="s">
        <v>728</v>
      </c>
    </row>
    <row r="714" spans="4:4" x14ac:dyDescent="0.25">
      <c r="D714" t="s">
        <v>729</v>
      </c>
    </row>
    <row r="715" spans="4:4" x14ac:dyDescent="0.25">
      <c r="D715" t="s">
        <v>730</v>
      </c>
    </row>
    <row r="716" spans="4:4" x14ac:dyDescent="0.25">
      <c r="D716" t="s">
        <v>731</v>
      </c>
    </row>
    <row r="717" spans="4:4" x14ac:dyDescent="0.25">
      <c r="D717" t="s">
        <v>732</v>
      </c>
    </row>
    <row r="718" spans="4:4" x14ac:dyDescent="0.25">
      <c r="D718" t="s">
        <v>733</v>
      </c>
    </row>
    <row r="719" spans="4:4" x14ac:dyDescent="0.25">
      <c r="D719" t="s">
        <v>734</v>
      </c>
    </row>
    <row r="720" spans="4:4" x14ac:dyDescent="0.25">
      <c r="D720" t="s">
        <v>735</v>
      </c>
    </row>
    <row r="721" spans="4:4" x14ac:dyDescent="0.25">
      <c r="D721" t="s">
        <v>736</v>
      </c>
    </row>
    <row r="722" spans="4:4" x14ac:dyDescent="0.25">
      <c r="D722" t="s">
        <v>737</v>
      </c>
    </row>
    <row r="723" spans="4:4" x14ac:dyDescent="0.25">
      <c r="D723" t="s">
        <v>738</v>
      </c>
    </row>
    <row r="724" spans="4:4" x14ac:dyDescent="0.25">
      <c r="D724" t="s">
        <v>739</v>
      </c>
    </row>
    <row r="725" spans="4:4" x14ac:dyDescent="0.25">
      <c r="D725" t="s">
        <v>740</v>
      </c>
    </row>
    <row r="726" spans="4:4" x14ac:dyDescent="0.25">
      <c r="D726" t="s">
        <v>741</v>
      </c>
    </row>
    <row r="727" spans="4:4" x14ac:dyDescent="0.25">
      <c r="D727" t="s">
        <v>742</v>
      </c>
    </row>
    <row r="728" spans="4:4" x14ac:dyDescent="0.25">
      <c r="D728" t="s">
        <v>743</v>
      </c>
    </row>
    <row r="729" spans="4:4" x14ac:dyDescent="0.25">
      <c r="D729" t="s">
        <v>744</v>
      </c>
    </row>
    <row r="730" spans="4:4" x14ac:dyDescent="0.25">
      <c r="D730" t="s">
        <v>745</v>
      </c>
    </row>
    <row r="731" spans="4:4" x14ac:dyDescent="0.25">
      <c r="D731" t="s">
        <v>746</v>
      </c>
    </row>
    <row r="732" spans="4:4" x14ac:dyDescent="0.25">
      <c r="D732" t="s">
        <v>747</v>
      </c>
    </row>
    <row r="733" spans="4:4" x14ac:dyDescent="0.25">
      <c r="D733" t="s">
        <v>748</v>
      </c>
    </row>
    <row r="734" spans="4:4" x14ac:dyDescent="0.25">
      <c r="D734" t="s">
        <v>749</v>
      </c>
    </row>
    <row r="735" spans="4:4" x14ac:dyDescent="0.25">
      <c r="D735" t="s">
        <v>750</v>
      </c>
    </row>
    <row r="736" spans="4:4" x14ac:dyDescent="0.25">
      <c r="D736" t="s">
        <v>751</v>
      </c>
    </row>
    <row r="737" spans="4:4" x14ac:dyDescent="0.25">
      <c r="D737" t="s">
        <v>752</v>
      </c>
    </row>
    <row r="738" spans="4:4" x14ac:dyDescent="0.25">
      <c r="D738" t="s">
        <v>753</v>
      </c>
    </row>
    <row r="739" spans="4:4" x14ac:dyDescent="0.25">
      <c r="D739" t="s">
        <v>754</v>
      </c>
    </row>
    <row r="740" spans="4:4" x14ac:dyDescent="0.25">
      <c r="D740" t="s">
        <v>755</v>
      </c>
    </row>
    <row r="741" spans="4:4" x14ac:dyDescent="0.25">
      <c r="D741" t="s">
        <v>756</v>
      </c>
    </row>
    <row r="742" spans="4:4" x14ac:dyDescent="0.25">
      <c r="D742" t="s">
        <v>757</v>
      </c>
    </row>
    <row r="743" spans="4:4" x14ac:dyDescent="0.25">
      <c r="D743" t="s">
        <v>758</v>
      </c>
    </row>
    <row r="744" spans="4:4" x14ac:dyDescent="0.25">
      <c r="D744" t="s">
        <v>759</v>
      </c>
    </row>
    <row r="745" spans="4:4" x14ac:dyDescent="0.25">
      <c r="D745" t="s">
        <v>760</v>
      </c>
    </row>
    <row r="746" spans="4:4" x14ac:dyDescent="0.25">
      <c r="D746" t="s">
        <v>761</v>
      </c>
    </row>
    <row r="747" spans="4:4" x14ac:dyDescent="0.25">
      <c r="D747" t="s">
        <v>762</v>
      </c>
    </row>
    <row r="748" spans="4:4" x14ac:dyDescent="0.25">
      <c r="D748" t="s">
        <v>763</v>
      </c>
    </row>
    <row r="749" spans="4:4" x14ac:dyDescent="0.25">
      <c r="D749" t="s">
        <v>764</v>
      </c>
    </row>
    <row r="750" spans="4:4" x14ac:dyDescent="0.25">
      <c r="D750" t="s">
        <v>765</v>
      </c>
    </row>
    <row r="751" spans="4:4" x14ac:dyDescent="0.25">
      <c r="D751" t="s">
        <v>766</v>
      </c>
    </row>
    <row r="752" spans="4:4" x14ac:dyDescent="0.25">
      <c r="D752" t="s">
        <v>767</v>
      </c>
    </row>
    <row r="753" spans="4:4" x14ac:dyDescent="0.25">
      <c r="D753" t="s">
        <v>768</v>
      </c>
    </row>
    <row r="754" spans="4:4" x14ac:dyDescent="0.25">
      <c r="D754" t="s">
        <v>769</v>
      </c>
    </row>
    <row r="755" spans="4:4" x14ac:dyDescent="0.25">
      <c r="D755" t="s">
        <v>770</v>
      </c>
    </row>
    <row r="756" spans="4:4" x14ac:dyDescent="0.25">
      <c r="D756" t="s">
        <v>771</v>
      </c>
    </row>
    <row r="757" spans="4:4" x14ac:dyDescent="0.25">
      <c r="D757" t="s">
        <v>772</v>
      </c>
    </row>
    <row r="758" spans="4:4" x14ac:dyDescent="0.25">
      <c r="D758" t="s">
        <v>773</v>
      </c>
    </row>
    <row r="759" spans="4:4" x14ac:dyDescent="0.25">
      <c r="D759" t="s">
        <v>774</v>
      </c>
    </row>
    <row r="760" spans="4:4" x14ac:dyDescent="0.25">
      <c r="D760" t="s">
        <v>775</v>
      </c>
    </row>
    <row r="761" spans="4:4" x14ac:dyDescent="0.25">
      <c r="D761" t="s">
        <v>776</v>
      </c>
    </row>
    <row r="762" spans="4:4" x14ac:dyDescent="0.25">
      <c r="D762" t="s">
        <v>777</v>
      </c>
    </row>
    <row r="763" spans="4:4" x14ac:dyDescent="0.25">
      <c r="D763" t="s">
        <v>778</v>
      </c>
    </row>
    <row r="764" spans="4:4" x14ac:dyDescent="0.25">
      <c r="D764" t="s">
        <v>779</v>
      </c>
    </row>
    <row r="765" spans="4:4" x14ac:dyDescent="0.25">
      <c r="D765" t="s">
        <v>780</v>
      </c>
    </row>
    <row r="766" spans="4:4" x14ac:dyDescent="0.25">
      <c r="D766" t="s">
        <v>781</v>
      </c>
    </row>
    <row r="767" spans="4:4" x14ac:dyDescent="0.25">
      <c r="D767" t="s">
        <v>782</v>
      </c>
    </row>
    <row r="768" spans="4:4" x14ac:dyDescent="0.25">
      <c r="D768" t="s">
        <v>783</v>
      </c>
    </row>
    <row r="769" spans="4:4" x14ac:dyDescent="0.25">
      <c r="D769" t="s">
        <v>784</v>
      </c>
    </row>
    <row r="770" spans="4:4" x14ac:dyDescent="0.25">
      <c r="D770" t="s">
        <v>785</v>
      </c>
    </row>
    <row r="771" spans="4:4" x14ac:dyDescent="0.25">
      <c r="D771" t="s">
        <v>786</v>
      </c>
    </row>
    <row r="772" spans="4:4" x14ac:dyDescent="0.25">
      <c r="D772" t="s">
        <v>787</v>
      </c>
    </row>
    <row r="773" spans="4:4" x14ac:dyDescent="0.25">
      <c r="D773" t="s">
        <v>788</v>
      </c>
    </row>
    <row r="774" spans="4:4" x14ac:dyDescent="0.25">
      <c r="D774" t="s">
        <v>789</v>
      </c>
    </row>
    <row r="775" spans="4:4" x14ac:dyDescent="0.25">
      <c r="D775" t="s">
        <v>790</v>
      </c>
    </row>
    <row r="776" spans="4:4" x14ac:dyDescent="0.25">
      <c r="D776" t="s">
        <v>791</v>
      </c>
    </row>
    <row r="777" spans="4:4" x14ac:dyDescent="0.25">
      <c r="D777" t="s">
        <v>792</v>
      </c>
    </row>
    <row r="778" spans="4:4" x14ac:dyDescent="0.25">
      <c r="D778" t="s">
        <v>793</v>
      </c>
    </row>
    <row r="779" spans="4:4" x14ac:dyDescent="0.25">
      <c r="D779" t="s">
        <v>794</v>
      </c>
    </row>
    <row r="780" spans="4:4" x14ac:dyDescent="0.25">
      <c r="D780" t="s">
        <v>795</v>
      </c>
    </row>
    <row r="781" spans="4:4" x14ac:dyDescent="0.25">
      <c r="D781" t="s">
        <v>796</v>
      </c>
    </row>
    <row r="782" spans="4:4" x14ac:dyDescent="0.25">
      <c r="D782" t="s">
        <v>797</v>
      </c>
    </row>
    <row r="783" spans="4:4" x14ac:dyDescent="0.25">
      <c r="D783" t="s">
        <v>798</v>
      </c>
    </row>
    <row r="784" spans="4:4" x14ac:dyDescent="0.25">
      <c r="D784" t="s">
        <v>799</v>
      </c>
    </row>
    <row r="785" spans="4:4" x14ac:dyDescent="0.25">
      <c r="D785" t="s">
        <v>800</v>
      </c>
    </row>
    <row r="786" spans="4:4" x14ac:dyDescent="0.25">
      <c r="D786" t="s">
        <v>801</v>
      </c>
    </row>
    <row r="787" spans="4:4" x14ac:dyDescent="0.25">
      <c r="D787" t="s">
        <v>802</v>
      </c>
    </row>
    <row r="788" spans="4:4" x14ac:dyDescent="0.25">
      <c r="D788" t="s">
        <v>803</v>
      </c>
    </row>
    <row r="789" spans="4:4" x14ac:dyDescent="0.25">
      <c r="D789" t="s">
        <v>804</v>
      </c>
    </row>
    <row r="790" spans="4:4" x14ac:dyDescent="0.25">
      <c r="D790" t="s">
        <v>805</v>
      </c>
    </row>
    <row r="791" spans="4:4" x14ac:dyDescent="0.25">
      <c r="D791" t="s">
        <v>806</v>
      </c>
    </row>
    <row r="792" spans="4:4" x14ac:dyDescent="0.25">
      <c r="D792" t="s">
        <v>807</v>
      </c>
    </row>
    <row r="793" spans="4:4" x14ac:dyDescent="0.25">
      <c r="D793" t="s">
        <v>808</v>
      </c>
    </row>
    <row r="794" spans="4:4" x14ac:dyDescent="0.25">
      <c r="D794" t="s">
        <v>809</v>
      </c>
    </row>
    <row r="795" spans="4:4" x14ac:dyDescent="0.25">
      <c r="D795" t="s">
        <v>810</v>
      </c>
    </row>
    <row r="796" spans="4:4" x14ac:dyDescent="0.25">
      <c r="D796" t="s">
        <v>811</v>
      </c>
    </row>
    <row r="797" spans="4:4" x14ac:dyDescent="0.25">
      <c r="D797" t="s">
        <v>812</v>
      </c>
    </row>
    <row r="798" spans="4:4" x14ac:dyDescent="0.25">
      <c r="D798" t="s">
        <v>813</v>
      </c>
    </row>
    <row r="799" spans="4:4" x14ac:dyDescent="0.25">
      <c r="D799" t="s">
        <v>814</v>
      </c>
    </row>
    <row r="800" spans="4:4" x14ac:dyDescent="0.25">
      <c r="D800" t="s">
        <v>815</v>
      </c>
    </row>
    <row r="801" spans="4:4" x14ac:dyDescent="0.25">
      <c r="D801" t="s">
        <v>816</v>
      </c>
    </row>
    <row r="802" spans="4:4" x14ac:dyDescent="0.25">
      <c r="D802" t="s">
        <v>817</v>
      </c>
    </row>
    <row r="803" spans="4:4" x14ac:dyDescent="0.25">
      <c r="D803" t="s">
        <v>818</v>
      </c>
    </row>
    <row r="804" spans="4:4" x14ac:dyDescent="0.25">
      <c r="D804" t="s">
        <v>819</v>
      </c>
    </row>
    <row r="805" spans="4:4" x14ac:dyDescent="0.25">
      <c r="D805" t="s">
        <v>820</v>
      </c>
    </row>
    <row r="806" spans="4:4" x14ac:dyDescent="0.25">
      <c r="D806" t="s">
        <v>821</v>
      </c>
    </row>
    <row r="807" spans="4:4" x14ac:dyDescent="0.25">
      <c r="D807" t="s">
        <v>822</v>
      </c>
    </row>
    <row r="808" spans="4:4" x14ac:dyDescent="0.25">
      <c r="D808" t="s">
        <v>823</v>
      </c>
    </row>
    <row r="809" spans="4:4" x14ac:dyDescent="0.25">
      <c r="D809" t="s">
        <v>824</v>
      </c>
    </row>
    <row r="810" spans="4:4" x14ac:dyDescent="0.25">
      <c r="D810" t="s">
        <v>825</v>
      </c>
    </row>
    <row r="811" spans="4:4" x14ac:dyDescent="0.25">
      <c r="D811" t="s">
        <v>826</v>
      </c>
    </row>
    <row r="812" spans="4:4" x14ac:dyDescent="0.25">
      <c r="D812" t="s">
        <v>827</v>
      </c>
    </row>
    <row r="813" spans="4:4" x14ac:dyDescent="0.25">
      <c r="D813" t="s">
        <v>828</v>
      </c>
    </row>
    <row r="814" spans="4:4" x14ac:dyDescent="0.25">
      <c r="D814" t="s">
        <v>829</v>
      </c>
    </row>
    <row r="815" spans="4:4" x14ac:dyDescent="0.25">
      <c r="D815" t="s">
        <v>830</v>
      </c>
    </row>
    <row r="816" spans="4:4" x14ac:dyDescent="0.25">
      <c r="D816" t="s">
        <v>831</v>
      </c>
    </row>
    <row r="817" spans="4:4" x14ac:dyDescent="0.25">
      <c r="D817" t="s">
        <v>832</v>
      </c>
    </row>
    <row r="818" spans="4:4" x14ac:dyDescent="0.25">
      <c r="D818" t="s">
        <v>833</v>
      </c>
    </row>
    <row r="819" spans="4:4" x14ac:dyDescent="0.25">
      <c r="D819" t="s">
        <v>834</v>
      </c>
    </row>
    <row r="820" spans="4:4" x14ac:dyDescent="0.25">
      <c r="D820" t="s">
        <v>835</v>
      </c>
    </row>
    <row r="821" spans="4:4" x14ac:dyDescent="0.25">
      <c r="D821" t="s">
        <v>836</v>
      </c>
    </row>
    <row r="822" spans="4:4" x14ac:dyDescent="0.25">
      <c r="D822" t="s">
        <v>837</v>
      </c>
    </row>
    <row r="823" spans="4:4" x14ac:dyDescent="0.25">
      <c r="D823" t="s">
        <v>838</v>
      </c>
    </row>
    <row r="824" spans="4:4" x14ac:dyDescent="0.25">
      <c r="D824" t="s">
        <v>839</v>
      </c>
    </row>
    <row r="825" spans="4:4" x14ac:dyDescent="0.25">
      <c r="D825" t="s">
        <v>840</v>
      </c>
    </row>
    <row r="826" spans="4:4" x14ac:dyDescent="0.25">
      <c r="D826" t="s">
        <v>841</v>
      </c>
    </row>
    <row r="827" spans="4:4" x14ac:dyDescent="0.25">
      <c r="D827" t="s">
        <v>842</v>
      </c>
    </row>
    <row r="828" spans="4:4" x14ac:dyDescent="0.25">
      <c r="D828" t="s">
        <v>843</v>
      </c>
    </row>
    <row r="829" spans="4:4" x14ac:dyDescent="0.25">
      <c r="D829" t="s">
        <v>844</v>
      </c>
    </row>
    <row r="830" spans="4:4" x14ac:dyDescent="0.25">
      <c r="D830" t="s">
        <v>845</v>
      </c>
    </row>
    <row r="831" spans="4:4" x14ac:dyDescent="0.25">
      <c r="D831" t="s">
        <v>846</v>
      </c>
    </row>
    <row r="832" spans="4:4" x14ac:dyDescent="0.25">
      <c r="D832" t="s">
        <v>847</v>
      </c>
    </row>
    <row r="833" spans="4:4" x14ac:dyDescent="0.25">
      <c r="D833" t="s">
        <v>848</v>
      </c>
    </row>
    <row r="834" spans="4:4" x14ac:dyDescent="0.25">
      <c r="D834" t="s">
        <v>849</v>
      </c>
    </row>
    <row r="835" spans="4:4" x14ac:dyDescent="0.25">
      <c r="D835" t="s">
        <v>850</v>
      </c>
    </row>
    <row r="836" spans="4:4" x14ac:dyDescent="0.25">
      <c r="D836" t="s">
        <v>851</v>
      </c>
    </row>
    <row r="837" spans="4:4" x14ac:dyDescent="0.25">
      <c r="D837" t="s">
        <v>852</v>
      </c>
    </row>
    <row r="838" spans="4:4" x14ac:dyDescent="0.25">
      <c r="D838" t="s">
        <v>853</v>
      </c>
    </row>
    <row r="839" spans="4:4" x14ac:dyDescent="0.25">
      <c r="D839" t="s">
        <v>854</v>
      </c>
    </row>
    <row r="840" spans="4:4" x14ac:dyDescent="0.25">
      <c r="D840" t="s">
        <v>855</v>
      </c>
    </row>
    <row r="841" spans="4:4" x14ac:dyDescent="0.25">
      <c r="D841" t="s">
        <v>856</v>
      </c>
    </row>
    <row r="842" spans="4:4" x14ac:dyDescent="0.25">
      <c r="D842" t="s">
        <v>857</v>
      </c>
    </row>
    <row r="843" spans="4:4" x14ac:dyDescent="0.25">
      <c r="D843" t="s">
        <v>858</v>
      </c>
    </row>
    <row r="844" spans="4:4" x14ac:dyDescent="0.25">
      <c r="D844" t="s">
        <v>859</v>
      </c>
    </row>
    <row r="845" spans="4:4" x14ac:dyDescent="0.25">
      <c r="D845" t="s">
        <v>860</v>
      </c>
    </row>
    <row r="846" spans="4:4" x14ac:dyDescent="0.25">
      <c r="D846" t="s">
        <v>861</v>
      </c>
    </row>
    <row r="847" spans="4:4" x14ac:dyDescent="0.25">
      <c r="D847" t="s">
        <v>862</v>
      </c>
    </row>
    <row r="848" spans="4:4" x14ac:dyDescent="0.25">
      <c r="D848" t="s">
        <v>863</v>
      </c>
    </row>
    <row r="849" spans="4:4" x14ac:dyDescent="0.25">
      <c r="D849" t="s">
        <v>864</v>
      </c>
    </row>
    <row r="850" spans="4:4" x14ac:dyDescent="0.25">
      <c r="D850" t="s">
        <v>865</v>
      </c>
    </row>
    <row r="851" spans="4:4" x14ac:dyDescent="0.25">
      <c r="D851" t="s">
        <v>866</v>
      </c>
    </row>
    <row r="852" spans="4:4" x14ac:dyDescent="0.25">
      <c r="D852" t="s">
        <v>867</v>
      </c>
    </row>
    <row r="853" spans="4:4" x14ac:dyDescent="0.25">
      <c r="D853" t="s">
        <v>868</v>
      </c>
    </row>
    <row r="854" spans="4:4" x14ac:dyDescent="0.25">
      <c r="D854" t="s">
        <v>869</v>
      </c>
    </row>
    <row r="855" spans="4:4" x14ac:dyDescent="0.25">
      <c r="D855" t="s">
        <v>870</v>
      </c>
    </row>
    <row r="856" spans="4:4" x14ac:dyDescent="0.25">
      <c r="D856" t="s">
        <v>871</v>
      </c>
    </row>
    <row r="857" spans="4:4" x14ac:dyDescent="0.25">
      <c r="D857" t="s">
        <v>872</v>
      </c>
    </row>
    <row r="858" spans="4:4" x14ac:dyDescent="0.25">
      <c r="D858" t="s">
        <v>873</v>
      </c>
    </row>
    <row r="859" spans="4:4" x14ac:dyDescent="0.25">
      <c r="D859" t="s">
        <v>874</v>
      </c>
    </row>
    <row r="860" spans="4:4" x14ac:dyDescent="0.25">
      <c r="D860" t="s">
        <v>875</v>
      </c>
    </row>
    <row r="861" spans="4:4" x14ac:dyDescent="0.25">
      <c r="D861" t="s">
        <v>876</v>
      </c>
    </row>
    <row r="862" spans="4:4" x14ac:dyDescent="0.25">
      <c r="D862" t="s">
        <v>877</v>
      </c>
    </row>
    <row r="863" spans="4:4" x14ac:dyDescent="0.25">
      <c r="D863" t="s">
        <v>878</v>
      </c>
    </row>
    <row r="864" spans="4:4" x14ac:dyDescent="0.25">
      <c r="D864" t="s">
        <v>879</v>
      </c>
    </row>
    <row r="865" spans="4:4" x14ac:dyDescent="0.25">
      <c r="D865" t="s">
        <v>880</v>
      </c>
    </row>
    <row r="866" spans="4:4" x14ac:dyDescent="0.25">
      <c r="D866" t="s">
        <v>881</v>
      </c>
    </row>
    <row r="867" spans="4:4" x14ac:dyDescent="0.25">
      <c r="D867" t="s">
        <v>882</v>
      </c>
    </row>
    <row r="868" spans="4:4" x14ac:dyDescent="0.25">
      <c r="D868" t="s">
        <v>883</v>
      </c>
    </row>
    <row r="869" spans="4:4" x14ac:dyDescent="0.25">
      <c r="D869" t="s">
        <v>884</v>
      </c>
    </row>
    <row r="870" spans="4:4" x14ac:dyDescent="0.25">
      <c r="D870" t="s">
        <v>885</v>
      </c>
    </row>
    <row r="871" spans="4:4" x14ac:dyDescent="0.25">
      <c r="D871" t="s">
        <v>886</v>
      </c>
    </row>
    <row r="872" spans="4:4" x14ac:dyDescent="0.25">
      <c r="D872" t="s">
        <v>887</v>
      </c>
    </row>
    <row r="873" spans="4:4" x14ac:dyDescent="0.25">
      <c r="D873" t="s">
        <v>888</v>
      </c>
    </row>
    <row r="874" spans="4:4" x14ac:dyDescent="0.25">
      <c r="D874" t="s">
        <v>889</v>
      </c>
    </row>
    <row r="875" spans="4:4" x14ac:dyDescent="0.25">
      <c r="D875" t="s">
        <v>890</v>
      </c>
    </row>
    <row r="876" spans="4:4" x14ac:dyDescent="0.25">
      <c r="D876" t="s">
        <v>891</v>
      </c>
    </row>
    <row r="877" spans="4:4" x14ac:dyDescent="0.25">
      <c r="D877" t="s">
        <v>892</v>
      </c>
    </row>
    <row r="878" spans="4:4" x14ac:dyDescent="0.25">
      <c r="D878" t="s">
        <v>893</v>
      </c>
    </row>
    <row r="879" spans="4:4" x14ac:dyDescent="0.25">
      <c r="D879" t="s">
        <v>894</v>
      </c>
    </row>
    <row r="880" spans="4:4" x14ac:dyDescent="0.25">
      <c r="D880" t="s">
        <v>895</v>
      </c>
    </row>
    <row r="881" spans="4:4" x14ac:dyDescent="0.25">
      <c r="D881" t="s">
        <v>896</v>
      </c>
    </row>
    <row r="882" spans="4:4" x14ac:dyDescent="0.25">
      <c r="D882" t="s">
        <v>897</v>
      </c>
    </row>
    <row r="883" spans="4:4" x14ac:dyDescent="0.25">
      <c r="D883" t="s">
        <v>898</v>
      </c>
    </row>
    <row r="884" spans="4:4" x14ac:dyDescent="0.25">
      <c r="D884" t="s">
        <v>899</v>
      </c>
    </row>
    <row r="885" spans="4:4" x14ac:dyDescent="0.25">
      <c r="D885" t="s">
        <v>900</v>
      </c>
    </row>
    <row r="886" spans="4:4" x14ac:dyDescent="0.25">
      <c r="D886" t="s">
        <v>901</v>
      </c>
    </row>
    <row r="887" spans="4:4" x14ac:dyDescent="0.25">
      <c r="D887" t="s">
        <v>902</v>
      </c>
    </row>
    <row r="888" spans="4:4" x14ac:dyDescent="0.25">
      <c r="D888" t="s">
        <v>903</v>
      </c>
    </row>
    <row r="889" spans="4:4" x14ac:dyDescent="0.25">
      <c r="D889" t="s">
        <v>904</v>
      </c>
    </row>
    <row r="890" spans="4:4" x14ac:dyDescent="0.25">
      <c r="D890" t="s">
        <v>905</v>
      </c>
    </row>
    <row r="891" spans="4:4" x14ac:dyDescent="0.25">
      <c r="D891" t="s">
        <v>906</v>
      </c>
    </row>
    <row r="892" spans="4:4" x14ac:dyDescent="0.25">
      <c r="D892" t="s">
        <v>907</v>
      </c>
    </row>
    <row r="893" spans="4:4" x14ac:dyDescent="0.25">
      <c r="D893" t="s">
        <v>908</v>
      </c>
    </row>
    <row r="894" spans="4:4" x14ac:dyDescent="0.25">
      <c r="D894" t="s">
        <v>909</v>
      </c>
    </row>
    <row r="895" spans="4:4" x14ac:dyDescent="0.25">
      <c r="D895" t="s">
        <v>910</v>
      </c>
    </row>
    <row r="896" spans="4:4" x14ac:dyDescent="0.25">
      <c r="D896" t="s">
        <v>911</v>
      </c>
    </row>
    <row r="897" spans="4:4" x14ac:dyDescent="0.25">
      <c r="D897" t="s">
        <v>912</v>
      </c>
    </row>
    <row r="898" spans="4:4" x14ac:dyDescent="0.25">
      <c r="D898" t="s">
        <v>913</v>
      </c>
    </row>
    <row r="899" spans="4:4" x14ac:dyDescent="0.25">
      <c r="D899" t="s">
        <v>914</v>
      </c>
    </row>
    <row r="900" spans="4:4" x14ac:dyDescent="0.25">
      <c r="D900" t="s">
        <v>915</v>
      </c>
    </row>
    <row r="901" spans="4:4" x14ac:dyDescent="0.25">
      <c r="D901" t="s">
        <v>916</v>
      </c>
    </row>
    <row r="902" spans="4:4" x14ac:dyDescent="0.25">
      <c r="D902" t="s">
        <v>917</v>
      </c>
    </row>
    <row r="903" spans="4:4" x14ac:dyDescent="0.25">
      <c r="D903" t="s">
        <v>918</v>
      </c>
    </row>
    <row r="904" spans="4:4" x14ac:dyDescent="0.25">
      <c r="D904" t="s">
        <v>919</v>
      </c>
    </row>
    <row r="905" spans="4:4" x14ac:dyDescent="0.25">
      <c r="D905" t="s">
        <v>920</v>
      </c>
    </row>
    <row r="906" spans="4:4" x14ac:dyDescent="0.25">
      <c r="D906" t="s">
        <v>921</v>
      </c>
    </row>
    <row r="907" spans="4:4" x14ac:dyDescent="0.25">
      <c r="D907" t="s">
        <v>922</v>
      </c>
    </row>
    <row r="908" spans="4:4" x14ac:dyDescent="0.25">
      <c r="D908" t="s">
        <v>923</v>
      </c>
    </row>
    <row r="909" spans="4:4" x14ac:dyDescent="0.25">
      <c r="D909" t="s">
        <v>924</v>
      </c>
    </row>
    <row r="910" spans="4:4" x14ac:dyDescent="0.25">
      <c r="D910" t="s">
        <v>925</v>
      </c>
    </row>
    <row r="911" spans="4:4" x14ac:dyDescent="0.25">
      <c r="D911" t="s">
        <v>926</v>
      </c>
    </row>
    <row r="912" spans="4:4" x14ac:dyDescent="0.25">
      <c r="D912" t="s">
        <v>927</v>
      </c>
    </row>
    <row r="913" spans="4:4" x14ac:dyDescent="0.25">
      <c r="D913" t="s">
        <v>928</v>
      </c>
    </row>
    <row r="914" spans="4:4" x14ac:dyDescent="0.25">
      <c r="D914" t="s">
        <v>929</v>
      </c>
    </row>
    <row r="915" spans="4:4" x14ac:dyDescent="0.25">
      <c r="D915" t="s">
        <v>930</v>
      </c>
    </row>
    <row r="916" spans="4:4" x14ac:dyDescent="0.25">
      <c r="D916" t="s">
        <v>931</v>
      </c>
    </row>
    <row r="917" spans="4:4" x14ac:dyDescent="0.25">
      <c r="D917" t="s">
        <v>932</v>
      </c>
    </row>
    <row r="918" spans="4:4" x14ac:dyDescent="0.25">
      <c r="D918" t="s">
        <v>933</v>
      </c>
    </row>
    <row r="919" spans="4:4" x14ac:dyDescent="0.25">
      <c r="D919" t="s">
        <v>934</v>
      </c>
    </row>
    <row r="920" spans="4:4" x14ac:dyDescent="0.25">
      <c r="D920" t="s">
        <v>935</v>
      </c>
    </row>
    <row r="921" spans="4:4" x14ac:dyDescent="0.25">
      <c r="D921" t="s">
        <v>936</v>
      </c>
    </row>
    <row r="922" spans="4:4" x14ac:dyDescent="0.25">
      <c r="D922" t="s">
        <v>937</v>
      </c>
    </row>
    <row r="923" spans="4:4" x14ac:dyDescent="0.25">
      <c r="D923" t="s">
        <v>938</v>
      </c>
    </row>
    <row r="924" spans="4:4" x14ac:dyDescent="0.25">
      <c r="D924" t="s">
        <v>939</v>
      </c>
    </row>
    <row r="925" spans="4:4" x14ac:dyDescent="0.25">
      <c r="D925" t="s">
        <v>940</v>
      </c>
    </row>
    <row r="926" spans="4:4" x14ac:dyDescent="0.25">
      <c r="D926" t="s">
        <v>941</v>
      </c>
    </row>
    <row r="927" spans="4:4" x14ac:dyDescent="0.25">
      <c r="D927" t="s">
        <v>942</v>
      </c>
    </row>
    <row r="928" spans="4:4" x14ac:dyDescent="0.25">
      <c r="D928" t="s">
        <v>943</v>
      </c>
    </row>
    <row r="929" spans="4:4" x14ac:dyDescent="0.25">
      <c r="D929" t="s">
        <v>944</v>
      </c>
    </row>
    <row r="930" spans="4:4" x14ac:dyDescent="0.25">
      <c r="D930" t="s">
        <v>945</v>
      </c>
    </row>
    <row r="931" spans="4:4" x14ac:dyDescent="0.25">
      <c r="D931" t="s">
        <v>946</v>
      </c>
    </row>
    <row r="932" spans="4:4" x14ac:dyDescent="0.25">
      <c r="D932" t="s">
        <v>947</v>
      </c>
    </row>
    <row r="933" spans="4:4" x14ac:dyDescent="0.25">
      <c r="D933" t="s">
        <v>948</v>
      </c>
    </row>
    <row r="934" spans="4:4" x14ac:dyDescent="0.25">
      <c r="D934" t="s">
        <v>949</v>
      </c>
    </row>
    <row r="935" spans="4:4" x14ac:dyDescent="0.25">
      <c r="D935" t="s">
        <v>950</v>
      </c>
    </row>
    <row r="936" spans="4:4" x14ac:dyDescent="0.25">
      <c r="D936" t="s">
        <v>951</v>
      </c>
    </row>
    <row r="937" spans="4:4" x14ac:dyDescent="0.25">
      <c r="D937" t="s">
        <v>952</v>
      </c>
    </row>
    <row r="938" spans="4:4" x14ac:dyDescent="0.25">
      <c r="D938" t="s">
        <v>953</v>
      </c>
    </row>
    <row r="939" spans="4:4" x14ac:dyDescent="0.25">
      <c r="D939" t="s">
        <v>954</v>
      </c>
    </row>
    <row r="940" spans="4:4" x14ac:dyDescent="0.25">
      <c r="D940" t="s">
        <v>955</v>
      </c>
    </row>
    <row r="941" spans="4:4" x14ac:dyDescent="0.25">
      <c r="D941" t="s">
        <v>956</v>
      </c>
    </row>
    <row r="942" spans="4:4" x14ac:dyDescent="0.25">
      <c r="D942" t="s">
        <v>957</v>
      </c>
    </row>
    <row r="943" spans="4:4" x14ac:dyDescent="0.25">
      <c r="D943" t="s">
        <v>958</v>
      </c>
    </row>
    <row r="944" spans="4:4" x14ac:dyDescent="0.25">
      <c r="D944" t="s">
        <v>959</v>
      </c>
    </row>
    <row r="945" spans="4:4" x14ac:dyDescent="0.25">
      <c r="D945" t="s">
        <v>960</v>
      </c>
    </row>
    <row r="946" spans="4:4" x14ac:dyDescent="0.25">
      <c r="D946" t="s">
        <v>961</v>
      </c>
    </row>
    <row r="947" spans="4:4" x14ac:dyDescent="0.25">
      <c r="D947" t="s">
        <v>962</v>
      </c>
    </row>
    <row r="948" spans="4:4" x14ac:dyDescent="0.25">
      <c r="D948" t="s">
        <v>963</v>
      </c>
    </row>
    <row r="949" spans="4:4" x14ac:dyDescent="0.25">
      <c r="D949" t="s">
        <v>964</v>
      </c>
    </row>
    <row r="950" spans="4:4" x14ac:dyDescent="0.25">
      <c r="D950" t="s">
        <v>965</v>
      </c>
    </row>
    <row r="951" spans="4:4" x14ac:dyDescent="0.25">
      <c r="D951" t="s">
        <v>966</v>
      </c>
    </row>
    <row r="952" spans="4:4" x14ac:dyDescent="0.25">
      <c r="D952" t="s">
        <v>967</v>
      </c>
    </row>
    <row r="953" spans="4:4" x14ac:dyDescent="0.25">
      <c r="D953" t="s">
        <v>968</v>
      </c>
    </row>
    <row r="954" spans="4:4" x14ac:dyDescent="0.25">
      <c r="D954" t="s">
        <v>969</v>
      </c>
    </row>
    <row r="955" spans="4:4" x14ac:dyDescent="0.25">
      <c r="D955" t="s">
        <v>970</v>
      </c>
    </row>
    <row r="956" spans="4:4" x14ac:dyDescent="0.25">
      <c r="D956" t="s">
        <v>971</v>
      </c>
    </row>
    <row r="957" spans="4:4" x14ac:dyDescent="0.25">
      <c r="D957" t="s">
        <v>972</v>
      </c>
    </row>
    <row r="958" spans="4:4" x14ac:dyDescent="0.25">
      <c r="D958" t="s">
        <v>973</v>
      </c>
    </row>
    <row r="959" spans="4:4" x14ac:dyDescent="0.25">
      <c r="D959" t="s">
        <v>974</v>
      </c>
    </row>
    <row r="960" spans="4:4" x14ac:dyDescent="0.25">
      <c r="D960" t="s">
        <v>975</v>
      </c>
    </row>
    <row r="961" spans="4:4" x14ac:dyDescent="0.25">
      <c r="D961" t="s">
        <v>976</v>
      </c>
    </row>
    <row r="962" spans="4:4" x14ac:dyDescent="0.25">
      <c r="D962" t="s">
        <v>977</v>
      </c>
    </row>
    <row r="963" spans="4:4" x14ac:dyDescent="0.25">
      <c r="D963" t="s">
        <v>978</v>
      </c>
    </row>
    <row r="964" spans="4:4" x14ac:dyDescent="0.25">
      <c r="D964" t="s">
        <v>979</v>
      </c>
    </row>
    <row r="965" spans="4:4" x14ac:dyDescent="0.25">
      <c r="D965" t="s">
        <v>980</v>
      </c>
    </row>
    <row r="966" spans="4:4" x14ac:dyDescent="0.25">
      <c r="D966" t="s">
        <v>981</v>
      </c>
    </row>
    <row r="967" spans="4:4" x14ac:dyDescent="0.25">
      <c r="D967" t="s">
        <v>982</v>
      </c>
    </row>
    <row r="968" spans="4:4" x14ac:dyDescent="0.25">
      <c r="D968" t="s">
        <v>983</v>
      </c>
    </row>
    <row r="969" spans="4:4" x14ac:dyDescent="0.25">
      <c r="D969" t="s">
        <v>984</v>
      </c>
    </row>
    <row r="970" spans="4:4" x14ac:dyDescent="0.25">
      <c r="D970" t="s">
        <v>985</v>
      </c>
    </row>
    <row r="971" spans="4:4" x14ac:dyDescent="0.25">
      <c r="D971" t="s">
        <v>986</v>
      </c>
    </row>
    <row r="972" spans="4:4" x14ac:dyDescent="0.25">
      <c r="D972" t="s">
        <v>987</v>
      </c>
    </row>
    <row r="973" spans="4:4" x14ac:dyDescent="0.25">
      <c r="D973" t="s">
        <v>988</v>
      </c>
    </row>
    <row r="974" spans="4:4" x14ac:dyDescent="0.25">
      <c r="D974" t="s">
        <v>989</v>
      </c>
    </row>
    <row r="975" spans="4:4" x14ac:dyDescent="0.25">
      <c r="D975" t="s">
        <v>990</v>
      </c>
    </row>
    <row r="976" spans="4:4" x14ac:dyDescent="0.25">
      <c r="D976" t="s">
        <v>991</v>
      </c>
    </row>
    <row r="977" spans="4:4" x14ac:dyDescent="0.25">
      <c r="D977" t="s">
        <v>992</v>
      </c>
    </row>
    <row r="978" spans="4:4" x14ac:dyDescent="0.25">
      <c r="D978" t="s">
        <v>993</v>
      </c>
    </row>
    <row r="979" spans="4:4" x14ac:dyDescent="0.25">
      <c r="D979" t="s">
        <v>994</v>
      </c>
    </row>
    <row r="980" spans="4:4" x14ac:dyDescent="0.25">
      <c r="D980" t="s">
        <v>995</v>
      </c>
    </row>
    <row r="981" spans="4:4" x14ac:dyDescent="0.25">
      <c r="D981" t="s">
        <v>996</v>
      </c>
    </row>
    <row r="982" spans="4:4" x14ac:dyDescent="0.25">
      <c r="D982" t="s">
        <v>997</v>
      </c>
    </row>
    <row r="983" spans="4:4" x14ac:dyDescent="0.25">
      <c r="D983" t="s">
        <v>998</v>
      </c>
    </row>
    <row r="984" spans="4:4" x14ac:dyDescent="0.25">
      <c r="D984" t="s">
        <v>999</v>
      </c>
    </row>
    <row r="985" spans="4:4" x14ac:dyDescent="0.25">
      <c r="D985" t="s">
        <v>1000</v>
      </c>
    </row>
    <row r="986" spans="4:4" x14ac:dyDescent="0.25">
      <c r="D986" t="s">
        <v>1001</v>
      </c>
    </row>
    <row r="987" spans="4:4" x14ac:dyDescent="0.25">
      <c r="D987" t="s">
        <v>1002</v>
      </c>
    </row>
    <row r="988" spans="4:4" x14ac:dyDescent="0.25">
      <c r="D988" t="s">
        <v>1003</v>
      </c>
    </row>
    <row r="989" spans="4:4" x14ac:dyDescent="0.25">
      <c r="D989" t="s">
        <v>1004</v>
      </c>
    </row>
    <row r="990" spans="4:4" x14ac:dyDescent="0.25">
      <c r="D990" t="s">
        <v>1005</v>
      </c>
    </row>
    <row r="991" spans="4:4" x14ac:dyDescent="0.25">
      <c r="D991" t="s">
        <v>1006</v>
      </c>
    </row>
    <row r="992" spans="4:4" x14ac:dyDescent="0.25">
      <c r="D992" t="s">
        <v>1007</v>
      </c>
    </row>
    <row r="993" spans="4:4" x14ac:dyDescent="0.25">
      <c r="D993" t="s">
        <v>1008</v>
      </c>
    </row>
    <row r="994" spans="4:4" x14ac:dyDescent="0.25">
      <c r="D994" t="s">
        <v>1009</v>
      </c>
    </row>
    <row r="995" spans="4:4" x14ac:dyDescent="0.25">
      <c r="D995" t="s">
        <v>1010</v>
      </c>
    </row>
    <row r="996" spans="4:4" x14ac:dyDescent="0.25">
      <c r="D996" t="s">
        <v>1011</v>
      </c>
    </row>
    <row r="997" spans="4:4" x14ac:dyDescent="0.25">
      <c r="D997" t="s">
        <v>1012</v>
      </c>
    </row>
    <row r="998" spans="4:4" x14ac:dyDescent="0.25">
      <c r="D998" t="s">
        <v>1013</v>
      </c>
    </row>
    <row r="999" spans="4:4" x14ac:dyDescent="0.25">
      <c r="D999" t="s">
        <v>1014</v>
      </c>
    </row>
    <row r="1000" spans="4:4" x14ac:dyDescent="0.25">
      <c r="D1000" t="s">
        <v>1015</v>
      </c>
    </row>
    <row r="1001" spans="4:4" x14ac:dyDescent="0.25">
      <c r="D1001" t="s">
        <v>1016</v>
      </c>
    </row>
    <row r="1002" spans="4:4" x14ac:dyDescent="0.25">
      <c r="D1002" t="s">
        <v>1017</v>
      </c>
    </row>
    <row r="1003" spans="4:4" x14ac:dyDescent="0.25">
      <c r="D1003" t="s">
        <v>1018</v>
      </c>
    </row>
    <row r="1004" spans="4:4" x14ac:dyDescent="0.25">
      <c r="D1004" t="s">
        <v>1019</v>
      </c>
    </row>
    <row r="1005" spans="4:4" x14ac:dyDescent="0.25">
      <c r="D1005" t="s">
        <v>1020</v>
      </c>
    </row>
    <row r="1006" spans="4:4" x14ac:dyDescent="0.25">
      <c r="D1006" t="s">
        <v>1021</v>
      </c>
    </row>
    <row r="1007" spans="4:4" x14ac:dyDescent="0.25">
      <c r="D1007" t="s">
        <v>1022</v>
      </c>
    </row>
    <row r="1008" spans="4:4" x14ac:dyDescent="0.25">
      <c r="D1008" t="s">
        <v>1023</v>
      </c>
    </row>
    <row r="1009" spans="4:4" x14ac:dyDescent="0.25">
      <c r="D1009" t="s">
        <v>1024</v>
      </c>
    </row>
    <row r="1010" spans="4:4" x14ac:dyDescent="0.25">
      <c r="D1010" t="s">
        <v>1025</v>
      </c>
    </row>
    <row r="1011" spans="4:4" x14ac:dyDescent="0.25">
      <c r="D1011" t="s">
        <v>1026</v>
      </c>
    </row>
    <row r="1012" spans="4:4" x14ac:dyDescent="0.25">
      <c r="D1012" t="s">
        <v>1027</v>
      </c>
    </row>
    <row r="1013" spans="4:4" x14ac:dyDescent="0.25">
      <c r="D1013" t="s">
        <v>1028</v>
      </c>
    </row>
    <row r="1014" spans="4:4" x14ac:dyDescent="0.25">
      <c r="D1014" t="s">
        <v>1029</v>
      </c>
    </row>
    <row r="1015" spans="4:4" x14ac:dyDescent="0.25">
      <c r="D1015" t="s">
        <v>1030</v>
      </c>
    </row>
    <row r="1016" spans="4:4" x14ac:dyDescent="0.25">
      <c r="D1016" t="s">
        <v>1031</v>
      </c>
    </row>
    <row r="1017" spans="4:4" x14ac:dyDescent="0.25">
      <c r="D1017" t="s">
        <v>1032</v>
      </c>
    </row>
    <row r="1018" spans="4:4" x14ac:dyDescent="0.25">
      <c r="D1018" t="s">
        <v>1033</v>
      </c>
    </row>
    <row r="1019" spans="4:4" x14ac:dyDescent="0.25">
      <c r="D1019" t="s">
        <v>1034</v>
      </c>
    </row>
    <row r="1020" spans="4:4" x14ac:dyDescent="0.25">
      <c r="D1020" t="s">
        <v>1035</v>
      </c>
    </row>
    <row r="1021" spans="4:4" x14ac:dyDescent="0.25">
      <c r="D1021" t="s">
        <v>1036</v>
      </c>
    </row>
    <row r="1022" spans="4:4" x14ac:dyDescent="0.25">
      <c r="D1022" t="s">
        <v>1037</v>
      </c>
    </row>
    <row r="1023" spans="4:4" x14ac:dyDescent="0.25">
      <c r="D1023" t="s">
        <v>1038</v>
      </c>
    </row>
    <row r="1024" spans="4:4" x14ac:dyDescent="0.25">
      <c r="D1024" t="s">
        <v>1039</v>
      </c>
    </row>
    <row r="1025" spans="4:4" x14ac:dyDescent="0.25">
      <c r="D1025" t="s">
        <v>1040</v>
      </c>
    </row>
    <row r="1026" spans="4:4" x14ac:dyDescent="0.25">
      <c r="D1026" t="s">
        <v>1041</v>
      </c>
    </row>
    <row r="1027" spans="4:4" x14ac:dyDescent="0.25">
      <c r="D1027" t="s">
        <v>1042</v>
      </c>
    </row>
    <row r="1028" spans="4:4" x14ac:dyDescent="0.25">
      <c r="D1028" t="s">
        <v>1043</v>
      </c>
    </row>
    <row r="1029" spans="4:4" x14ac:dyDescent="0.25">
      <c r="D1029" t="s">
        <v>1044</v>
      </c>
    </row>
    <row r="1030" spans="4:4" x14ac:dyDescent="0.25">
      <c r="D1030" t="s">
        <v>1045</v>
      </c>
    </row>
    <row r="1031" spans="4:4" x14ac:dyDescent="0.25">
      <c r="D1031" t="s">
        <v>1046</v>
      </c>
    </row>
    <row r="1032" spans="4:4" x14ac:dyDescent="0.25">
      <c r="D1032" t="s">
        <v>1047</v>
      </c>
    </row>
    <row r="1033" spans="4:4" x14ac:dyDescent="0.25">
      <c r="D1033" t="s">
        <v>1048</v>
      </c>
    </row>
    <row r="1034" spans="4:4" x14ac:dyDescent="0.25">
      <c r="D1034" t="s">
        <v>1049</v>
      </c>
    </row>
    <row r="1035" spans="4:4" x14ac:dyDescent="0.25">
      <c r="D1035" t="s">
        <v>1050</v>
      </c>
    </row>
    <row r="1036" spans="4:4" x14ac:dyDescent="0.25">
      <c r="D1036" t="s">
        <v>1051</v>
      </c>
    </row>
    <row r="1037" spans="4:4" x14ac:dyDescent="0.25">
      <c r="D1037" t="s">
        <v>1052</v>
      </c>
    </row>
    <row r="1038" spans="4:4" x14ac:dyDescent="0.25">
      <c r="D1038" t="s">
        <v>1053</v>
      </c>
    </row>
    <row r="1039" spans="4:4" x14ac:dyDescent="0.25">
      <c r="D1039" t="s">
        <v>1054</v>
      </c>
    </row>
    <row r="1040" spans="4:4" x14ac:dyDescent="0.25">
      <c r="D1040" t="s">
        <v>1055</v>
      </c>
    </row>
    <row r="1041" spans="4:4" x14ac:dyDescent="0.25">
      <c r="D1041" t="s">
        <v>1056</v>
      </c>
    </row>
    <row r="1042" spans="4:4" x14ac:dyDescent="0.25">
      <c r="D1042" t="s">
        <v>1057</v>
      </c>
    </row>
    <row r="1043" spans="4:4" x14ac:dyDescent="0.25">
      <c r="D1043" t="s">
        <v>1058</v>
      </c>
    </row>
    <row r="1044" spans="4:4" x14ac:dyDescent="0.25">
      <c r="D1044" t="s">
        <v>1059</v>
      </c>
    </row>
    <row r="1045" spans="4:4" x14ac:dyDescent="0.25">
      <c r="D1045" t="s">
        <v>1060</v>
      </c>
    </row>
    <row r="1046" spans="4:4" x14ac:dyDescent="0.25">
      <c r="D1046" t="s">
        <v>1061</v>
      </c>
    </row>
    <row r="1047" spans="4:4" x14ac:dyDescent="0.25">
      <c r="D1047" t="s">
        <v>1062</v>
      </c>
    </row>
    <row r="1048" spans="4:4" x14ac:dyDescent="0.25">
      <c r="D1048" t="s">
        <v>1063</v>
      </c>
    </row>
    <row r="1049" spans="4:4" x14ac:dyDescent="0.25">
      <c r="D1049" t="s">
        <v>1064</v>
      </c>
    </row>
    <row r="1050" spans="4:4" x14ac:dyDescent="0.25">
      <c r="D1050" t="s">
        <v>1065</v>
      </c>
    </row>
    <row r="1051" spans="4:4" x14ac:dyDescent="0.25">
      <c r="D1051" t="s">
        <v>1066</v>
      </c>
    </row>
    <row r="1052" spans="4:4" x14ac:dyDescent="0.25">
      <c r="D1052" t="s">
        <v>1067</v>
      </c>
    </row>
    <row r="1053" spans="4:4" x14ac:dyDescent="0.25">
      <c r="D1053" t="s">
        <v>1068</v>
      </c>
    </row>
    <row r="1054" spans="4:4" x14ac:dyDescent="0.25">
      <c r="D1054" t="s">
        <v>1069</v>
      </c>
    </row>
    <row r="1055" spans="4:4" x14ac:dyDescent="0.25">
      <c r="D1055" t="s">
        <v>1070</v>
      </c>
    </row>
    <row r="1056" spans="4:4" x14ac:dyDescent="0.25">
      <c r="D1056" t="s">
        <v>1071</v>
      </c>
    </row>
    <row r="1057" spans="4:4" x14ac:dyDescent="0.25">
      <c r="D1057" t="s">
        <v>1072</v>
      </c>
    </row>
    <row r="1058" spans="4:4" x14ac:dyDescent="0.25">
      <c r="D1058" t="s">
        <v>1073</v>
      </c>
    </row>
    <row r="1059" spans="4:4" x14ac:dyDescent="0.25">
      <c r="D1059" t="s">
        <v>1074</v>
      </c>
    </row>
    <row r="1060" spans="4:4" x14ac:dyDescent="0.25">
      <c r="D1060" t="s">
        <v>1075</v>
      </c>
    </row>
    <row r="1061" spans="4:4" x14ac:dyDescent="0.25">
      <c r="D1061" t="s">
        <v>1076</v>
      </c>
    </row>
    <row r="1062" spans="4:4" x14ac:dyDescent="0.25">
      <c r="D1062" t="s">
        <v>1077</v>
      </c>
    </row>
    <row r="1063" spans="4:4" x14ac:dyDescent="0.25">
      <c r="D1063" t="s">
        <v>1078</v>
      </c>
    </row>
    <row r="1064" spans="4:4" x14ac:dyDescent="0.25">
      <c r="D1064" t="s">
        <v>1079</v>
      </c>
    </row>
    <row r="1065" spans="4:4" x14ac:dyDescent="0.25">
      <c r="D1065" t="s">
        <v>1080</v>
      </c>
    </row>
    <row r="1066" spans="4:4" x14ac:dyDescent="0.25">
      <c r="D1066" t="s">
        <v>1081</v>
      </c>
    </row>
    <row r="1067" spans="4:4" x14ac:dyDescent="0.25">
      <c r="D1067" t="s">
        <v>1082</v>
      </c>
    </row>
    <row r="1068" spans="4:4" x14ac:dyDescent="0.25">
      <c r="D1068" t="s">
        <v>1083</v>
      </c>
    </row>
    <row r="1069" spans="4:4" x14ac:dyDescent="0.25">
      <c r="D1069" t="s">
        <v>1084</v>
      </c>
    </row>
    <row r="1070" spans="4:4" x14ac:dyDescent="0.25">
      <c r="D1070" t="s">
        <v>1085</v>
      </c>
    </row>
    <row r="1071" spans="4:4" x14ac:dyDescent="0.25">
      <c r="D1071" t="s">
        <v>1086</v>
      </c>
    </row>
    <row r="1072" spans="4:4" x14ac:dyDescent="0.25">
      <c r="D1072" t="s">
        <v>1087</v>
      </c>
    </row>
    <row r="1073" spans="4:4" x14ac:dyDescent="0.25">
      <c r="D1073" t="s">
        <v>1088</v>
      </c>
    </row>
    <row r="1074" spans="4:4" x14ac:dyDescent="0.25">
      <c r="D1074" t="s">
        <v>1089</v>
      </c>
    </row>
    <row r="1075" spans="4:4" x14ac:dyDescent="0.25">
      <c r="D1075" t="s">
        <v>1090</v>
      </c>
    </row>
    <row r="1076" spans="4:4" x14ac:dyDescent="0.25">
      <c r="D1076" t="s">
        <v>1091</v>
      </c>
    </row>
    <row r="1077" spans="4:4" x14ac:dyDescent="0.25">
      <c r="D1077" t="s">
        <v>1092</v>
      </c>
    </row>
    <row r="1078" spans="4:4" x14ac:dyDescent="0.25">
      <c r="D1078" t="s">
        <v>1093</v>
      </c>
    </row>
    <row r="1079" spans="4:4" x14ac:dyDescent="0.25">
      <c r="D1079" t="s">
        <v>1094</v>
      </c>
    </row>
    <row r="1080" spans="4:4" x14ac:dyDescent="0.25">
      <c r="D1080" t="s">
        <v>1095</v>
      </c>
    </row>
    <row r="1081" spans="4:4" x14ac:dyDescent="0.25">
      <c r="D1081" t="s">
        <v>1096</v>
      </c>
    </row>
    <row r="1082" spans="4:4" x14ac:dyDescent="0.25">
      <c r="D1082" t="s">
        <v>1097</v>
      </c>
    </row>
    <row r="1083" spans="4:4" x14ac:dyDescent="0.25">
      <c r="D1083" t="s">
        <v>1098</v>
      </c>
    </row>
    <row r="1084" spans="4:4" x14ac:dyDescent="0.25">
      <c r="D1084" t="s">
        <v>1099</v>
      </c>
    </row>
    <row r="1085" spans="4:4" x14ac:dyDescent="0.25">
      <c r="D1085" t="s">
        <v>1100</v>
      </c>
    </row>
    <row r="1086" spans="4:4" x14ac:dyDescent="0.25">
      <c r="D1086" t="s">
        <v>1101</v>
      </c>
    </row>
    <row r="1087" spans="4:4" x14ac:dyDescent="0.25">
      <c r="D1087" t="s">
        <v>1102</v>
      </c>
    </row>
    <row r="1088" spans="4:4" x14ac:dyDescent="0.25">
      <c r="D1088" t="s">
        <v>1103</v>
      </c>
    </row>
    <row r="1089" spans="4:4" x14ac:dyDescent="0.25">
      <c r="D1089" t="s">
        <v>1104</v>
      </c>
    </row>
    <row r="1090" spans="4:4" x14ac:dyDescent="0.25">
      <c r="D1090" t="s">
        <v>1105</v>
      </c>
    </row>
    <row r="1091" spans="4:4" x14ac:dyDescent="0.25">
      <c r="D1091" t="s">
        <v>1106</v>
      </c>
    </row>
    <row r="1092" spans="4:4" x14ac:dyDescent="0.25">
      <c r="D1092" t="s">
        <v>1107</v>
      </c>
    </row>
    <row r="1093" spans="4:4" x14ac:dyDescent="0.25">
      <c r="D1093" t="s">
        <v>1108</v>
      </c>
    </row>
    <row r="1094" spans="4:4" x14ac:dyDescent="0.25">
      <c r="D1094" t="s">
        <v>1109</v>
      </c>
    </row>
    <row r="1095" spans="4:4" x14ac:dyDescent="0.25">
      <c r="D1095" t="s">
        <v>1110</v>
      </c>
    </row>
    <row r="1096" spans="4:4" x14ac:dyDescent="0.25">
      <c r="D1096" t="s">
        <v>1111</v>
      </c>
    </row>
    <row r="1097" spans="4:4" x14ac:dyDescent="0.25">
      <c r="D1097" t="s">
        <v>1112</v>
      </c>
    </row>
    <row r="1098" spans="4:4" x14ac:dyDescent="0.25">
      <c r="D1098" t="s">
        <v>1113</v>
      </c>
    </row>
    <row r="1099" spans="4:4" x14ac:dyDescent="0.25">
      <c r="D1099" t="s">
        <v>1114</v>
      </c>
    </row>
    <row r="1100" spans="4:4" x14ac:dyDescent="0.25">
      <c r="D1100" t="s">
        <v>1115</v>
      </c>
    </row>
    <row r="1101" spans="4:4" x14ac:dyDescent="0.25">
      <c r="D1101" t="s">
        <v>1116</v>
      </c>
    </row>
    <row r="1102" spans="4:4" x14ac:dyDescent="0.25">
      <c r="D1102" t="s">
        <v>1117</v>
      </c>
    </row>
    <row r="1103" spans="4:4" x14ac:dyDescent="0.25">
      <c r="D1103" t="s">
        <v>1118</v>
      </c>
    </row>
    <row r="1104" spans="4:4" x14ac:dyDescent="0.25">
      <c r="D1104" t="s">
        <v>1119</v>
      </c>
    </row>
    <row r="1105" spans="4:4" x14ac:dyDescent="0.25">
      <c r="D1105" t="s">
        <v>1120</v>
      </c>
    </row>
    <row r="1106" spans="4:4" x14ac:dyDescent="0.25">
      <c r="D1106" t="s">
        <v>1121</v>
      </c>
    </row>
    <row r="1107" spans="4:4" x14ac:dyDescent="0.25">
      <c r="D1107" t="s">
        <v>1122</v>
      </c>
    </row>
    <row r="1108" spans="4:4" x14ac:dyDescent="0.25">
      <c r="D1108" t="s">
        <v>1123</v>
      </c>
    </row>
    <row r="1109" spans="4:4" x14ac:dyDescent="0.25">
      <c r="D1109" t="s">
        <v>1124</v>
      </c>
    </row>
    <row r="1110" spans="4:4" x14ac:dyDescent="0.25">
      <c r="D1110" t="s">
        <v>1125</v>
      </c>
    </row>
    <row r="1111" spans="4:4" x14ac:dyDescent="0.25">
      <c r="D1111" t="s">
        <v>1126</v>
      </c>
    </row>
    <row r="1112" spans="4:4" x14ac:dyDescent="0.25">
      <c r="D1112" t="s">
        <v>1127</v>
      </c>
    </row>
    <row r="1113" spans="4:4" x14ac:dyDescent="0.25">
      <c r="D1113" t="s">
        <v>1128</v>
      </c>
    </row>
    <row r="1114" spans="4:4" x14ac:dyDescent="0.25">
      <c r="D1114" t="s">
        <v>1129</v>
      </c>
    </row>
    <row r="1115" spans="4:4" x14ac:dyDescent="0.25">
      <c r="D1115" t="s">
        <v>1130</v>
      </c>
    </row>
    <row r="1116" spans="4:4" x14ac:dyDescent="0.25">
      <c r="D1116" t="s">
        <v>1131</v>
      </c>
    </row>
    <row r="1117" spans="4:4" x14ac:dyDescent="0.25">
      <c r="D1117" t="s">
        <v>1132</v>
      </c>
    </row>
    <row r="1118" spans="4:4" x14ac:dyDescent="0.25">
      <c r="D1118" t="s">
        <v>1133</v>
      </c>
    </row>
    <row r="1119" spans="4:4" x14ac:dyDescent="0.25">
      <c r="D1119" t="s">
        <v>1134</v>
      </c>
    </row>
    <row r="1120" spans="4:4" x14ac:dyDescent="0.25">
      <c r="D1120" t="s">
        <v>1135</v>
      </c>
    </row>
    <row r="1121" spans="4:4" x14ac:dyDescent="0.25">
      <c r="D1121" t="s">
        <v>1136</v>
      </c>
    </row>
    <row r="1122" spans="4:4" x14ac:dyDescent="0.25">
      <c r="D1122" t="s">
        <v>1137</v>
      </c>
    </row>
    <row r="1123" spans="4:4" x14ac:dyDescent="0.25">
      <c r="D1123" t="s">
        <v>1138</v>
      </c>
    </row>
    <row r="1124" spans="4:4" x14ac:dyDescent="0.25">
      <c r="D1124" t="s">
        <v>1139</v>
      </c>
    </row>
    <row r="1125" spans="4:4" x14ac:dyDescent="0.25">
      <c r="D1125" t="s">
        <v>1140</v>
      </c>
    </row>
    <row r="1126" spans="4:4" x14ac:dyDescent="0.25">
      <c r="D1126" t="s">
        <v>1141</v>
      </c>
    </row>
    <row r="1127" spans="4:4" x14ac:dyDescent="0.25">
      <c r="D1127" t="s">
        <v>1142</v>
      </c>
    </row>
    <row r="1128" spans="4:4" x14ac:dyDescent="0.25">
      <c r="D1128" t="s">
        <v>1143</v>
      </c>
    </row>
    <row r="1129" spans="4:4" x14ac:dyDescent="0.25">
      <c r="D1129" t="s">
        <v>1144</v>
      </c>
    </row>
    <row r="1130" spans="4:4" x14ac:dyDescent="0.25">
      <c r="D1130" t="s">
        <v>1145</v>
      </c>
    </row>
    <row r="1131" spans="4:4" x14ac:dyDescent="0.25">
      <c r="D1131" t="s">
        <v>1146</v>
      </c>
    </row>
    <row r="1132" spans="4:4" x14ac:dyDescent="0.25">
      <c r="D1132" t="s">
        <v>1147</v>
      </c>
    </row>
    <row r="1133" spans="4:4" x14ac:dyDescent="0.25">
      <c r="D1133" t="s">
        <v>1148</v>
      </c>
    </row>
    <row r="1134" spans="4:4" x14ac:dyDescent="0.25">
      <c r="D1134" t="s">
        <v>1149</v>
      </c>
    </row>
    <row r="1135" spans="4:4" x14ac:dyDescent="0.25">
      <c r="D1135" t="s">
        <v>1150</v>
      </c>
    </row>
    <row r="1136" spans="4:4" x14ac:dyDescent="0.25">
      <c r="D1136" t="s">
        <v>1151</v>
      </c>
    </row>
    <row r="1137" spans="4:4" x14ac:dyDescent="0.25">
      <c r="D1137" t="s">
        <v>1152</v>
      </c>
    </row>
    <row r="1138" spans="4:4" x14ac:dyDescent="0.25">
      <c r="D1138" t="s">
        <v>1153</v>
      </c>
    </row>
    <row r="1139" spans="4:4" x14ac:dyDescent="0.25">
      <c r="D1139" t="s">
        <v>1154</v>
      </c>
    </row>
    <row r="1140" spans="4:4" x14ac:dyDescent="0.25">
      <c r="D1140" t="s">
        <v>1155</v>
      </c>
    </row>
    <row r="1141" spans="4:4" x14ac:dyDescent="0.25">
      <c r="D1141" t="s">
        <v>1156</v>
      </c>
    </row>
    <row r="1142" spans="4:4" x14ac:dyDescent="0.25">
      <c r="D1142" t="s">
        <v>1157</v>
      </c>
    </row>
    <row r="1143" spans="4:4" x14ac:dyDescent="0.25">
      <c r="D1143" t="s">
        <v>1158</v>
      </c>
    </row>
    <row r="1144" spans="4:4" x14ac:dyDescent="0.25">
      <c r="D1144" t="s">
        <v>1159</v>
      </c>
    </row>
    <row r="1145" spans="4:4" x14ac:dyDescent="0.25">
      <c r="D1145" t="s">
        <v>1160</v>
      </c>
    </row>
    <row r="1146" spans="4:4" x14ac:dyDescent="0.25">
      <c r="D1146" t="s">
        <v>1161</v>
      </c>
    </row>
    <row r="1147" spans="4:4" x14ac:dyDescent="0.25">
      <c r="D1147" t="s">
        <v>1162</v>
      </c>
    </row>
    <row r="1148" spans="4:4" x14ac:dyDescent="0.25">
      <c r="D1148" t="s">
        <v>1163</v>
      </c>
    </row>
    <row r="1149" spans="4:4" x14ac:dyDescent="0.25">
      <c r="D1149" t="s">
        <v>1164</v>
      </c>
    </row>
    <row r="1150" spans="4:4" x14ac:dyDescent="0.25">
      <c r="D1150" t="s">
        <v>1165</v>
      </c>
    </row>
    <row r="1151" spans="4:4" x14ac:dyDescent="0.25">
      <c r="D1151" t="s">
        <v>1166</v>
      </c>
    </row>
    <row r="1152" spans="4:4" x14ac:dyDescent="0.25">
      <c r="D1152" t="s">
        <v>1167</v>
      </c>
    </row>
    <row r="1153" spans="4:4" x14ac:dyDescent="0.25">
      <c r="D1153" t="s">
        <v>1168</v>
      </c>
    </row>
    <row r="1154" spans="4:4" x14ac:dyDescent="0.25">
      <c r="D1154" t="s">
        <v>1169</v>
      </c>
    </row>
    <row r="1155" spans="4:4" x14ac:dyDescent="0.25">
      <c r="D1155" t="s">
        <v>1170</v>
      </c>
    </row>
    <row r="1156" spans="4:4" x14ac:dyDescent="0.25">
      <c r="D1156" t="s">
        <v>1171</v>
      </c>
    </row>
    <row r="1157" spans="4:4" x14ac:dyDescent="0.25">
      <c r="D1157" t="s">
        <v>1172</v>
      </c>
    </row>
    <row r="1158" spans="4:4" x14ac:dyDescent="0.25">
      <c r="D1158" t="s">
        <v>1173</v>
      </c>
    </row>
    <row r="1159" spans="4:4" x14ac:dyDescent="0.25">
      <c r="D1159" t="s">
        <v>1174</v>
      </c>
    </row>
    <row r="1160" spans="4:4" x14ac:dyDescent="0.25">
      <c r="D1160" t="s">
        <v>1175</v>
      </c>
    </row>
    <row r="1161" spans="4:4" x14ac:dyDescent="0.25">
      <c r="D1161" t="s">
        <v>1176</v>
      </c>
    </row>
    <row r="1162" spans="4:4" x14ac:dyDescent="0.25">
      <c r="D1162" t="s">
        <v>1177</v>
      </c>
    </row>
    <row r="1163" spans="4:4" x14ac:dyDescent="0.25">
      <c r="D1163" t="s">
        <v>1178</v>
      </c>
    </row>
    <row r="1164" spans="4:4" x14ac:dyDescent="0.25">
      <c r="D1164" t="s">
        <v>1179</v>
      </c>
    </row>
    <row r="1165" spans="4:4" x14ac:dyDescent="0.25">
      <c r="D1165" t="s">
        <v>1180</v>
      </c>
    </row>
    <row r="1166" spans="4:4" x14ac:dyDescent="0.25">
      <c r="D1166" t="s">
        <v>1181</v>
      </c>
    </row>
    <row r="1167" spans="4:4" x14ac:dyDescent="0.25">
      <c r="D1167" t="s">
        <v>1182</v>
      </c>
    </row>
    <row r="1168" spans="4:4" x14ac:dyDescent="0.25">
      <c r="D1168" t="s">
        <v>1183</v>
      </c>
    </row>
    <row r="1169" spans="4:4" x14ac:dyDescent="0.25">
      <c r="D1169" t="s">
        <v>1184</v>
      </c>
    </row>
    <row r="1170" spans="4:4" x14ac:dyDescent="0.25">
      <c r="D1170" t="s">
        <v>1185</v>
      </c>
    </row>
    <row r="1171" spans="4:4" x14ac:dyDescent="0.25">
      <c r="D1171" t="s">
        <v>1186</v>
      </c>
    </row>
    <row r="1172" spans="4:4" x14ac:dyDescent="0.25">
      <c r="D1172" t="s">
        <v>1187</v>
      </c>
    </row>
    <row r="1173" spans="4:4" x14ac:dyDescent="0.25">
      <c r="D1173" t="s">
        <v>1188</v>
      </c>
    </row>
    <row r="1174" spans="4:4" x14ac:dyDescent="0.25">
      <c r="D1174" t="s">
        <v>1189</v>
      </c>
    </row>
    <row r="1175" spans="4:4" x14ac:dyDescent="0.25">
      <c r="D1175" t="s">
        <v>1190</v>
      </c>
    </row>
    <row r="1176" spans="4:4" x14ac:dyDescent="0.25">
      <c r="D1176" t="s">
        <v>1191</v>
      </c>
    </row>
    <row r="1177" spans="4:4" x14ac:dyDescent="0.25">
      <c r="D1177" t="s">
        <v>1192</v>
      </c>
    </row>
    <row r="1178" spans="4:4" x14ac:dyDescent="0.25">
      <c r="D1178" t="s">
        <v>1193</v>
      </c>
    </row>
    <row r="1179" spans="4:4" x14ac:dyDescent="0.25">
      <c r="D1179" t="s">
        <v>1194</v>
      </c>
    </row>
    <row r="1180" spans="4:4" x14ac:dyDescent="0.25">
      <c r="D1180" t="s">
        <v>1195</v>
      </c>
    </row>
    <row r="1181" spans="4:4" x14ac:dyDescent="0.25">
      <c r="D1181" t="s">
        <v>1196</v>
      </c>
    </row>
    <row r="1182" spans="4:4" x14ac:dyDescent="0.25">
      <c r="D1182" t="s">
        <v>1197</v>
      </c>
    </row>
    <row r="1183" spans="4:4" x14ac:dyDescent="0.25">
      <c r="D1183" t="s">
        <v>1198</v>
      </c>
    </row>
    <row r="1184" spans="4:4" x14ac:dyDescent="0.25">
      <c r="D1184" t="s">
        <v>1199</v>
      </c>
    </row>
    <row r="1185" spans="4:4" x14ac:dyDescent="0.25">
      <c r="D1185" t="s">
        <v>1200</v>
      </c>
    </row>
    <row r="1186" spans="4:4" x14ac:dyDescent="0.25">
      <c r="D1186" t="s">
        <v>1201</v>
      </c>
    </row>
    <row r="1187" spans="4:4" x14ac:dyDescent="0.25">
      <c r="D1187" t="s">
        <v>1202</v>
      </c>
    </row>
    <row r="1188" spans="4:4" x14ac:dyDescent="0.25">
      <c r="D1188" t="s">
        <v>1203</v>
      </c>
    </row>
    <row r="1189" spans="4:4" x14ac:dyDescent="0.25">
      <c r="D1189" t="s">
        <v>1204</v>
      </c>
    </row>
    <row r="1190" spans="4:4" x14ac:dyDescent="0.25">
      <c r="D1190" t="s">
        <v>1205</v>
      </c>
    </row>
    <row r="1191" spans="4:4" x14ac:dyDescent="0.25">
      <c r="D1191" t="s">
        <v>1206</v>
      </c>
    </row>
    <row r="1192" spans="4:4" x14ac:dyDescent="0.25">
      <c r="D1192" t="s">
        <v>1207</v>
      </c>
    </row>
    <row r="1193" spans="4:4" x14ac:dyDescent="0.25">
      <c r="D1193" t="s">
        <v>1208</v>
      </c>
    </row>
    <row r="1194" spans="4:4" x14ac:dyDescent="0.25">
      <c r="D1194" t="s">
        <v>1209</v>
      </c>
    </row>
    <row r="1195" spans="4:4" x14ac:dyDescent="0.25">
      <c r="D1195" t="s">
        <v>1210</v>
      </c>
    </row>
    <row r="1196" spans="4:4" x14ac:dyDescent="0.25">
      <c r="D1196" t="s">
        <v>1211</v>
      </c>
    </row>
    <row r="1197" spans="4:4" x14ac:dyDescent="0.25">
      <c r="D1197" t="s">
        <v>1212</v>
      </c>
    </row>
    <row r="1198" spans="4:4" x14ac:dyDescent="0.25">
      <c r="D1198" t="s">
        <v>1213</v>
      </c>
    </row>
    <row r="1199" spans="4:4" x14ac:dyDescent="0.25">
      <c r="D1199" t="s">
        <v>1214</v>
      </c>
    </row>
    <row r="1200" spans="4:4" x14ac:dyDescent="0.25">
      <c r="D1200" t="s">
        <v>1215</v>
      </c>
    </row>
    <row r="1201" spans="4:4" x14ac:dyDescent="0.25">
      <c r="D1201" t="s">
        <v>1216</v>
      </c>
    </row>
    <row r="1202" spans="4:4" x14ac:dyDescent="0.25">
      <c r="D1202" t="s">
        <v>1217</v>
      </c>
    </row>
    <row r="1203" spans="4:4" x14ac:dyDescent="0.25">
      <c r="D1203" t="s">
        <v>1218</v>
      </c>
    </row>
    <row r="1204" spans="4:4" x14ac:dyDescent="0.25">
      <c r="D1204" t="s">
        <v>1219</v>
      </c>
    </row>
    <row r="1205" spans="4:4" x14ac:dyDescent="0.25">
      <c r="D1205" t="s">
        <v>1220</v>
      </c>
    </row>
    <row r="1206" spans="4:4" x14ac:dyDescent="0.25">
      <c r="D1206" t="s">
        <v>1221</v>
      </c>
    </row>
    <row r="1207" spans="4:4" x14ac:dyDescent="0.25">
      <c r="D1207" t="s">
        <v>1222</v>
      </c>
    </row>
    <row r="1208" spans="4:4" x14ac:dyDescent="0.25">
      <c r="D1208" t="s">
        <v>1223</v>
      </c>
    </row>
    <row r="1209" spans="4:4" x14ac:dyDescent="0.25">
      <c r="D1209" t="s">
        <v>1224</v>
      </c>
    </row>
    <row r="1210" spans="4:4" x14ac:dyDescent="0.25">
      <c r="D1210" t="s">
        <v>1225</v>
      </c>
    </row>
    <row r="1211" spans="4:4" x14ac:dyDescent="0.25">
      <c r="D1211" t="s">
        <v>1226</v>
      </c>
    </row>
    <row r="1212" spans="4:4" x14ac:dyDescent="0.25">
      <c r="D1212" t="s">
        <v>1227</v>
      </c>
    </row>
    <row r="1213" spans="4:4" x14ac:dyDescent="0.25">
      <c r="D1213" t="s">
        <v>1228</v>
      </c>
    </row>
    <row r="1214" spans="4:4" x14ac:dyDescent="0.25">
      <c r="D1214" t="s">
        <v>1229</v>
      </c>
    </row>
    <row r="1215" spans="4:4" x14ac:dyDescent="0.25">
      <c r="D1215" t="s">
        <v>1230</v>
      </c>
    </row>
    <row r="1216" spans="4:4" x14ac:dyDescent="0.25">
      <c r="D1216" t="s">
        <v>1231</v>
      </c>
    </row>
    <row r="1217" spans="4:4" x14ac:dyDescent="0.25">
      <c r="D1217" t="s">
        <v>1232</v>
      </c>
    </row>
    <row r="1218" spans="4:4" x14ac:dyDescent="0.25">
      <c r="D1218" t="s">
        <v>1233</v>
      </c>
    </row>
    <row r="1219" spans="4:4" x14ac:dyDescent="0.25">
      <c r="D1219" t="s">
        <v>1234</v>
      </c>
    </row>
    <row r="1220" spans="4:4" x14ac:dyDescent="0.25">
      <c r="D1220" t="s">
        <v>1235</v>
      </c>
    </row>
    <row r="1221" spans="4:4" x14ac:dyDescent="0.25">
      <c r="D1221" t="s">
        <v>1236</v>
      </c>
    </row>
    <row r="1222" spans="4:4" x14ac:dyDescent="0.25">
      <c r="D1222" t="s">
        <v>1237</v>
      </c>
    </row>
    <row r="1223" spans="4:4" x14ac:dyDescent="0.25">
      <c r="D1223" t="s">
        <v>1238</v>
      </c>
    </row>
    <row r="1224" spans="4:4" x14ac:dyDescent="0.25">
      <c r="D1224" t="s">
        <v>1239</v>
      </c>
    </row>
    <row r="1225" spans="4:4" x14ac:dyDescent="0.25">
      <c r="D1225" t="s">
        <v>1240</v>
      </c>
    </row>
    <row r="1226" spans="4:4" x14ac:dyDescent="0.25">
      <c r="D1226" t="s">
        <v>1241</v>
      </c>
    </row>
    <row r="1227" spans="4:4" x14ac:dyDescent="0.25">
      <c r="D1227" t="s">
        <v>1242</v>
      </c>
    </row>
    <row r="1228" spans="4:4" x14ac:dyDescent="0.25">
      <c r="D1228" t="s">
        <v>1243</v>
      </c>
    </row>
    <row r="1229" spans="4:4" x14ac:dyDescent="0.25">
      <c r="D1229" t="s">
        <v>1244</v>
      </c>
    </row>
    <row r="1230" spans="4:4" x14ac:dyDescent="0.25">
      <c r="D1230" t="s">
        <v>1245</v>
      </c>
    </row>
    <row r="1231" spans="4:4" x14ac:dyDescent="0.25">
      <c r="D1231" t="s">
        <v>1246</v>
      </c>
    </row>
    <row r="1232" spans="4:4" x14ac:dyDescent="0.25">
      <c r="D1232" t="s">
        <v>1247</v>
      </c>
    </row>
    <row r="1233" spans="4:4" x14ac:dyDescent="0.25">
      <c r="D1233" t="s">
        <v>1248</v>
      </c>
    </row>
    <row r="1234" spans="4:4" x14ac:dyDescent="0.25">
      <c r="D1234" t="s">
        <v>1249</v>
      </c>
    </row>
    <row r="1235" spans="4:4" x14ac:dyDescent="0.25">
      <c r="D1235" t="s">
        <v>1250</v>
      </c>
    </row>
    <row r="1236" spans="4:4" x14ac:dyDescent="0.25">
      <c r="D1236" t="s">
        <v>1251</v>
      </c>
    </row>
    <row r="1237" spans="4:4" x14ac:dyDescent="0.25">
      <c r="D1237" t="s">
        <v>1252</v>
      </c>
    </row>
    <row r="1238" spans="4:4" x14ac:dyDescent="0.25">
      <c r="D1238" t="s">
        <v>1253</v>
      </c>
    </row>
    <row r="1239" spans="4:4" x14ac:dyDescent="0.25">
      <c r="D1239" t="s">
        <v>1254</v>
      </c>
    </row>
    <row r="1240" spans="4:4" x14ac:dyDescent="0.25">
      <c r="D1240" t="s">
        <v>1255</v>
      </c>
    </row>
    <row r="1241" spans="4:4" x14ac:dyDescent="0.25">
      <c r="D1241" t="s">
        <v>1256</v>
      </c>
    </row>
    <row r="1242" spans="4:4" x14ac:dyDescent="0.25">
      <c r="D1242" t="s">
        <v>1257</v>
      </c>
    </row>
    <row r="1243" spans="4:4" x14ac:dyDescent="0.25">
      <c r="D1243" t="s">
        <v>1258</v>
      </c>
    </row>
    <row r="1244" spans="4:4" x14ac:dyDescent="0.25">
      <c r="D1244" t="s">
        <v>1259</v>
      </c>
    </row>
    <row r="1245" spans="4:4" x14ac:dyDescent="0.25">
      <c r="D1245" t="s">
        <v>1260</v>
      </c>
    </row>
    <row r="1246" spans="4:4" x14ac:dyDescent="0.25">
      <c r="D1246" t="s">
        <v>1261</v>
      </c>
    </row>
    <row r="1247" spans="4:4" x14ac:dyDescent="0.25">
      <c r="D1247" t="s">
        <v>1262</v>
      </c>
    </row>
    <row r="1248" spans="4:4" x14ac:dyDescent="0.25">
      <c r="D1248" t="s">
        <v>1263</v>
      </c>
    </row>
    <row r="1249" spans="4:4" x14ac:dyDescent="0.25">
      <c r="D1249" t="s">
        <v>1264</v>
      </c>
    </row>
    <row r="1250" spans="4:4" x14ac:dyDescent="0.25">
      <c r="D1250" t="s">
        <v>1265</v>
      </c>
    </row>
    <row r="1251" spans="4:4" x14ac:dyDescent="0.25">
      <c r="D1251" t="s">
        <v>1266</v>
      </c>
    </row>
    <row r="1252" spans="4:4" x14ac:dyDescent="0.25">
      <c r="D1252" t="s">
        <v>1267</v>
      </c>
    </row>
    <row r="1253" spans="4:4" x14ac:dyDescent="0.25">
      <c r="D1253" t="s">
        <v>1268</v>
      </c>
    </row>
    <row r="1254" spans="4:4" x14ac:dyDescent="0.25">
      <c r="D1254" t="s">
        <v>1269</v>
      </c>
    </row>
    <row r="1255" spans="4:4" x14ac:dyDescent="0.25">
      <c r="D1255" t="s">
        <v>1270</v>
      </c>
    </row>
    <row r="1256" spans="4:4" x14ac:dyDescent="0.25">
      <c r="D1256" t="s">
        <v>1271</v>
      </c>
    </row>
    <row r="1257" spans="4:4" x14ac:dyDescent="0.25">
      <c r="D1257" t="s">
        <v>1272</v>
      </c>
    </row>
    <row r="1258" spans="4:4" x14ac:dyDescent="0.25">
      <c r="D1258" t="s">
        <v>1273</v>
      </c>
    </row>
    <row r="1259" spans="4:4" x14ac:dyDescent="0.25">
      <c r="D1259" t="s">
        <v>1274</v>
      </c>
    </row>
    <row r="1260" spans="4:4" x14ac:dyDescent="0.25">
      <c r="D1260" t="s">
        <v>1275</v>
      </c>
    </row>
    <row r="1261" spans="4:4" x14ac:dyDescent="0.25">
      <c r="D1261" t="s">
        <v>1276</v>
      </c>
    </row>
    <row r="1262" spans="4:4" x14ac:dyDescent="0.25">
      <c r="D1262" t="s">
        <v>1277</v>
      </c>
    </row>
    <row r="1263" spans="4:4" x14ac:dyDescent="0.25">
      <c r="D1263" t="s">
        <v>1278</v>
      </c>
    </row>
    <row r="1264" spans="4:4" x14ac:dyDescent="0.25">
      <c r="D1264" t="s">
        <v>1279</v>
      </c>
    </row>
    <row r="1265" spans="4:4" x14ac:dyDescent="0.25">
      <c r="D1265" t="s">
        <v>1280</v>
      </c>
    </row>
    <row r="1266" spans="4:4" x14ac:dyDescent="0.25">
      <c r="D1266" t="s">
        <v>1281</v>
      </c>
    </row>
    <row r="1267" spans="4:4" x14ac:dyDescent="0.25">
      <c r="D1267" t="s">
        <v>1282</v>
      </c>
    </row>
    <row r="1268" spans="4:4" x14ac:dyDescent="0.25">
      <c r="D1268" t="s">
        <v>1283</v>
      </c>
    </row>
    <row r="1269" spans="4:4" x14ac:dyDescent="0.25">
      <c r="D1269" t="s">
        <v>1284</v>
      </c>
    </row>
    <row r="1270" spans="4:4" x14ac:dyDescent="0.25">
      <c r="D1270" t="s">
        <v>1285</v>
      </c>
    </row>
    <row r="1271" spans="4:4" x14ac:dyDescent="0.25">
      <c r="D1271" t="s">
        <v>1286</v>
      </c>
    </row>
    <row r="1272" spans="4:4" x14ac:dyDescent="0.25">
      <c r="D1272" t="s">
        <v>1287</v>
      </c>
    </row>
    <row r="1273" spans="4:4" x14ac:dyDescent="0.25">
      <c r="D1273" t="s">
        <v>1288</v>
      </c>
    </row>
    <row r="1274" spans="4:4" x14ac:dyDescent="0.25">
      <c r="D1274" t="s">
        <v>1289</v>
      </c>
    </row>
    <row r="1275" spans="4:4" x14ac:dyDescent="0.25">
      <c r="D1275" t="s">
        <v>1290</v>
      </c>
    </row>
    <row r="1276" spans="4:4" x14ac:dyDescent="0.25">
      <c r="D1276" t="s">
        <v>1291</v>
      </c>
    </row>
    <row r="1277" spans="4:4" x14ac:dyDescent="0.25">
      <c r="D1277" t="s">
        <v>1292</v>
      </c>
    </row>
    <row r="1278" spans="4:4" x14ac:dyDescent="0.25">
      <c r="D1278" t="s">
        <v>1293</v>
      </c>
    </row>
    <row r="1279" spans="4:4" x14ac:dyDescent="0.25">
      <c r="D1279" t="s">
        <v>1294</v>
      </c>
    </row>
    <row r="1280" spans="4:4" x14ac:dyDescent="0.25">
      <c r="D1280" t="s">
        <v>1295</v>
      </c>
    </row>
    <row r="1281" spans="4:4" x14ac:dyDescent="0.25">
      <c r="D1281" t="s">
        <v>1296</v>
      </c>
    </row>
    <row r="1282" spans="4:4" x14ac:dyDescent="0.25">
      <c r="D1282" t="s">
        <v>1297</v>
      </c>
    </row>
    <row r="1283" spans="4:4" x14ac:dyDescent="0.25">
      <c r="D1283" t="s">
        <v>1298</v>
      </c>
    </row>
    <row r="1284" spans="4:4" x14ac:dyDescent="0.25">
      <c r="D1284" t="s">
        <v>1299</v>
      </c>
    </row>
    <row r="1285" spans="4:4" x14ac:dyDescent="0.25">
      <c r="D1285" t="s">
        <v>1300</v>
      </c>
    </row>
    <row r="1286" spans="4:4" x14ac:dyDescent="0.25">
      <c r="D1286" t="s">
        <v>1301</v>
      </c>
    </row>
    <row r="1287" spans="4:4" x14ac:dyDescent="0.25">
      <c r="D1287" t="s">
        <v>1302</v>
      </c>
    </row>
    <row r="1288" spans="4:4" x14ac:dyDescent="0.25">
      <c r="D1288" t="s">
        <v>1303</v>
      </c>
    </row>
    <row r="1289" spans="4:4" x14ac:dyDescent="0.25">
      <c r="D1289" t="s">
        <v>1304</v>
      </c>
    </row>
    <row r="1290" spans="4:4" x14ac:dyDescent="0.25">
      <c r="D1290" t="s">
        <v>1305</v>
      </c>
    </row>
    <row r="1291" spans="4:4" x14ac:dyDescent="0.25">
      <c r="D1291" t="s">
        <v>1306</v>
      </c>
    </row>
    <row r="1292" spans="4:4" x14ac:dyDescent="0.25">
      <c r="D1292" t="s">
        <v>1307</v>
      </c>
    </row>
    <row r="1293" spans="4:4" x14ac:dyDescent="0.25">
      <c r="D1293" t="s">
        <v>1308</v>
      </c>
    </row>
    <row r="1294" spans="4:4" x14ac:dyDescent="0.25">
      <c r="D1294" t="s">
        <v>1309</v>
      </c>
    </row>
    <row r="1295" spans="4:4" x14ac:dyDescent="0.25">
      <c r="D1295" t="s">
        <v>1310</v>
      </c>
    </row>
    <row r="1296" spans="4:4" x14ac:dyDescent="0.25">
      <c r="D1296" t="s">
        <v>1311</v>
      </c>
    </row>
    <row r="1297" spans="4:4" x14ac:dyDescent="0.25">
      <c r="D1297" t="s">
        <v>1312</v>
      </c>
    </row>
    <row r="1298" spans="4:4" x14ac:dyDescent="0.25">
      <c r="D1298" t="s">
        <v>1313</v>
      </c>
    </row>
    <row r="1299" spans="4:4" x14ac:dyDescent="0.25">
      <c r="D1299" t="s">
        <v>1314</v>
      </c>
    </row>
    <row r="1300" spans="4:4" x14ac:dyDescent="0.25">
      <c r="D1300" t="s">
        <v>1315</v>
      </c>
    </row>
    <row r="1301" spans="4:4" x14ac:dyDescent="0.25">
      <c r="D1301" t="s">
        <v>1316</v>
      </c>
    </row>
    <row r="1302" spans="4:4" x14ac:dyDescent="0.25">
      <c r="D1302" t="s">
        <v>1317</v>
      </c>
    </row>
    <row r="1303" spans="4:4" x14ac:dyDescent="0.25">
      <c r="D1303" t="s">
        <v>1318</v>
      </c>
    </row>
    <row r="1304" spans="4:4" x14ac:dyDescent="0.25">
      <c r="D1304" t="s">
        <v>1319</v>
      </c>
    </row>
    <row r="1305" spans="4:4" x14ac:dyDescent="0.25">
      <c r="D1305" t="s">
        <v>1320</v>
      </c>
    </row>
    <row r="1306" spans="4:4" x14ac:dyDescent="0.25">
      <c r="D1306" t="s">
        <v>1321</v>
      </c>
    </row>
    <row r="1307" spans="4:4" x14ac:dyDescent="0.25">
      <c r="D1307" t="s">
        <v>1322</v>
      </c>
    </row>
    <row r="1308" spans="4:4" x14ac:dyDescent="0.25">
      <c r="D1308" t="s">
        <v>1323</v>
      </c>
    </row>
    <row r="1309" spans="4:4" x14ac:dyDescent="0.25">
      <c r="D1309" t="s">
        <v>1324</v>
      </c>
    </row>
    <row r="1310" spans="4:4" x14ac:dyDescent="0.25">
      <c r="D1310" t="s">
        <v>1325</v>
      </c>
    </row>
    <row r="1311" spans="4:4" x14ac:dyDescent="0.25">
      <c r="D1311" t="s">
        <v>1326</v>
      </c>
    </row>
    <row r="1312" spans="4:4" x14ac:dyDescent="0.25">
      <c r="D1312" t="s">
        <v>1327</v>
      </c>
    </row>
    <row r="1313" spans="4:4" x14ac:dyDescent="0.25">
      <c r="D1313" t="s">
        <v>1328</v>
      </c>
    </row>
    <row r="1314" spans="4:4" x14ac:dyDescent="0.25">
      <c r="D1314" t="s">
        <v>1329</v>
      </c>
    </row>
    <row r="1315" spans="4:4" x14ac:dyDescent="0.25">
      <c r="D1315" t="s">
        <v>1330</v>
      </c>
    </row>
    <row r="1316" spans="4:4" x14ac:dyDescent="0.25">
      <c r="D1316" t="s">
        <v>1331</v>
      </c>
    </row>
    <row r="1317" spans="4:4" x14ac:dyDescent="0.25">
      <c r="D1317" t="s">
        <v>1332</v>
      </c>
    </row>
    <row r="1318" spans="4:4" x14ac:dyDescent="0.25">
      <c r="D1318" t="s">
        <v>1333</v>
      </c>
    </row>
    <row r="1319" spans="4:4" x14ac:dyDescent="0.25">
      <c r="D1319" t="s">
        <v>1334</v>
      </c>
    </row>
    <row r="1320" spans="4:4" x14ac:dyDescent="0.25">
      <c r="D1320" t="s">
        <v>1335</v>
      </c>
    </row>
    <row r="1321" spans="4:4" x14ac:dyDescent="0.25">
      <c r="D1321" t="s">
        <v>1336</v>
      </c>
    </row>
    <row r="1322" spans="4:4" x14ac:dyDescent="0.25">
      <c r="D1322" t="s">
        <v>1337</v>
      </c>
    </row>
    <row r="1323" spans="4:4" x14ac:dyDescent="0.25">
      <c r="D1323" t="s">
        <v>1338</v>
      </c>
    </row>
    <row r="1324" spans="4:4" x14ac:dyDescent="0.25">
      <c r="D1324" t="s">
        <v>1339</v>
      </c>
    </row>
    <row r="1325" spans="4:4" x14ac:dyDescent="0.25">
      <c r="D1325" t="s">
        <v>1340</v>
      </c>
    </row>
    <row r="1326" spans="4:4" x14ac:dyDescent="0.25">
      <c r="D1326" t="s">
        <v>1341</v>
      </c>
    </row>
    <row r="1327" spans="4:4" x14ac:dyDescent="0.25">
      <c r="D1327" t="s">
        <v>1342</v>
      </c>
    </row>
    <row r="1328" spans="4:4" x14ac:dyDescent="0.25">
      <c r="D1328" t="s">
        <v>1343</v>
      </c>
    </row>
    <row r="1329" spans="4:4" x14ac:dyDescent="0.25">
      <c r="D1329" t="s">
        <v>1344</v>
      </c>
    </row>
    <row r="1330" spans="4:4" x14ac:dyDescent="0.25">
      <c r="D1330" t="s">
        <v>1345</v>
      </c>
    </row>
    <row r="1331" spans="4:4" x14ac:dyDescent="0.25">
      <c r="D1331" t="s">
        <v>1346</v>
      </c>
    </row>
    <row r="1332" spans="4:4" x14ac:dyDescent="0.25">
      <c r="D1332" t="s">
        <v>1347</v>
      </c>
    </row>
    <row r="1333" spans="4:4" x14ac:dyDescent="0.25">
      <c r="D1333" t="s">
        <v>1348</v>
      </c>
    </row>
    <row r="1334" spans="4:4" x14ac:dyDescent="0.25">
      <c r="D1334" t="s">
        <v>1349</v>
      </c>
    </row>
    <row r="1335" spans="4:4" x14ac:dyDescent="0.25">
      <c r="D1335" t="s">
        <v>1350</v>
      </c>
    </row>
    <row r="1336" spans="4:4" x14ac:dyDescent="0.25">
      <c r="D1336" t="s">
        <v>1351</v>
      </c>
    </row>
    <row r="1337" spans="4:4" x14ac:dyDescent="0.25">
      <c r="D1337" t="s">
        <v>1352</v>
      </c>
    </row>
    <row r="1338" spans="4:4" x14ac:dyDescent="0.25">
      <c r="D1338" t="s">
        <v>1353</v>
      </c>
    </row>
    <row r="1339" spans="4:4" x14ac:dyDescent="0.25">
      <c r="D1339" t="s">
        <v>1354</v>
      </c>
    </row>
    <row r="1340" spans="4:4" x14ac:dyDescent="0.25">
      <c r="D1340" t="s">
        <v>1355</v>
      </c>
    </row>
    <row r="1341" spans="4:4" x14ac:dyDescent="0.25">
      <c r="D1341" t="s">
        <v>1356</v>
      </c>
    </row>
    <row r="1342" spans="4:4" x14ac:dyDescent="0.25">
      <c r="D1342" t="s">
        <v>1357</v>
      </c>
    </row>
    <row r="1343" spans="4:4" x14ac:dyDescent="0.25">
      <c r="D1343" t="s">
        <v>1358</v>
      </c>
    </row>
    <row r="1344" spans="4:4" x14ac:dyDescent="0.25">
      <c r="D1344" t="s">
        <v>1359</v>
      </c>
    </row>
    <row r="1345" spans="4:4" x14ac:dyDescent="0.25">
      <c r="D1345" t="s">
        <v>1360</v>
      </c>
    </row>
    <row r="1346" spans="4:4" x14ac:dyDescent="0.25">
      <c r="D1346" t="s">
        <v>1361</v>
      </c>
    </row>
    <row r="1347" spans="4:4" x14ac:dyDescent="0.25">
      <c r="D1347" t="s">
        <v>1362</v>
      </c>
    </row>
    <row r="1348" spans="4:4" x14ac:dyDescent="0.25">
      <c r="D1348" t="s">
        <v>1363</v>
      </c>
    </row>
    <row r="1349" spans="4:4" x14ac:dyDescent="0.25">
      <c r="D1349" t="s">
        <v>1364</v>
      </c>
    </row>
    <row r="1350" spans="4:4" x14ac:dyDescent="0.25">
      <c r="D1350" t="s">
        <v>1365</v>
      </c>
    </row>
    <row r="1351" spans="4:4" x14ac:dyDescent="0.25">
      <c r="D1351" t="s">
        <v>1366</v>
      </c>
    </row>
    <row r="1352" spans="4:4" x14ac:dyDescent="0.25">
      <c r="D1352" t="s">
        <v>1367</v>
      </c>
    </row>
    <row r="1353" spans="4:4" x14ac:dyDescent="0.25">
      <c r="D1353" t="s">
        <v>1368</v>
      </c>
    </row>
    <row r="1354" spans="4:4" x14ac:dyDescent="0.25">
      <c r="D1354" t="s">
        <v>1369</v>
      </c>
    </row>
    <row r="1355" spans="4:4" x14ac:dyDescent="0.25">
      <c r="D1355" t="s">
        <v>1370</v>
      </c>
    </row>
    <row r="1356" spans="4:4" x14ac:dyDescent="0.25">
      <c r="D1356" t="s">
        <v>1371</v>
      </c>
    </row>
    <row r="1357" spans="4:4" x14ac:dyDescent="0.25">
      <c r="D1357" t="s">
        <v>1372</v>
      </c>
    </row>
    <row r="1358" spans="4:4" x14ac:dyDescent="0.25">
      <c r="D1358" t="s">
        <v>1373</v>
      </c>
    </row>
    <row r="1359" spans="4:4" x14ac:dyDescent="0.25">
      <c r="D1359" t="s">
        <v>1374</v>
      </c>
    </row>
    <row r="1360" spans="4:4" x14ac:dyDescent="0.25">
      <c r="D1360" t="s">
        <v>1375</v>
      </c>
    </row>
    <row r="1361" spans="4:4" x14ac:dyDescent="0.25">
      <c r="D1361" t="s">
        <v>1376</v>
      </c>
    </row>
    <row r="1362" spans="4:4" x14ac:dyDescent="0.25">
      <c r="D1362" t="s">
        <v>1377</v>
      </c>
    </row>
    <row r="1363" spans="4:4" x14ac:dyDescent="0.25">
      <c r="D1363" t="s">
        <v>1378</v>
      </c>
    </row>
    <row r="1364" spans="4:4" x14ac:dyDescent="0.25">
      <c r="D1364" t="s">
        <v>1379</v>
      </c>
    </row>
    <row r="1365" spans="4:4" x14ac:dyDescent="0.25">
      <c r="D1365" t="s">
        <v>1380</v>
      </c>
    </row>
    <row r="1366" spans="4:4" x14ac:dyDescent="0.25">
      <c r="D1366" t="s">
        <v>1381</v>
      </c>
    </row>
    <row r="1367" spans="4:4" x14ac:dyDescent="0.25">
      <c r="D1367" t="s">
        <v>1382</v>
      </c>
    </row>
    <row r="1368" spans="4:4" x14ac:dyDescent="0.25">
      <c r="D1368" t="s">
        <v>1383</v>
      </c>
    </row>
    <row r="1369" spans="4:4" x14ac:dyDescent="0.25">
      <c r="D1369" t="s">
        <v>1384</v>
      </c>
    </row>
    <row r="1370" spans="4:4" x14ac:dyDescent="0.25">
      <c r="D1370" t="s">
        <v>1385</v>
      </c>
    </row>
    <row r="1371" spans="4:4" x14ac:dyDescent="0.25">
      <c r="D1371" t="s">
        <v>1386</v>
      </c>
    </row>
    <row r="1372" spans="4:4" x14ac:dyDescent="0.25">
      <c r="D1372" t="s">
        <v>1387</v>
      </c>
    </row>
    <row r="1373" spans="4:4" x14ac:dyDescent="0.25">
      <c r="D1373" t="s">
        <v>1388</v>
      </c>
    </row>
    <row r="1374" spans="4:4" x14ac:dyDescent="0.25">
      <c r="D1374" t="s">
        <v>1389</v>
      </c>
    </row>
    <row r="1375" spans="4:4" x14ac:dyDescent="0.25">
      <c r="D1375" t="s">
        <v>1390</v>
      </c>
    </row>
    <row r="1376" spans="4:4" x14ac:dyDescent="0.25">
      <c r="D1376" t="s">
        <v>1391</v>
      </c>
    </row>
    <row r="1377" spans="4:4" x14ac:dyDescent="0.25">
      <c r="D1377" t="s">
        <v>1392</v>
      </c>
    </row>
    <row r="1378" spans="4:4" x14ac:dyDescent="0.25">
      <c r="D1378" t="s">
        <v>1393</v>
      </c>
    </row>
    <row r="1379" spans="4:4" x14ac:dyDescent="0.25">
      <c r="D1379" t="s">
        <v>1394</v>
      </c>
    </row>
    <row r="1380" spans="4:4" x14ac:dyDescent="0.25">
      <c r="D1380" t="s">
        <v>1395</v>
      </c>
    </row>
    <row r="1381" spans="4:4" x14ac:dyDescent="0.25">
      <c r="D1381" t="s">
        <v>1396</v>
      </c>
    </row>
    <row r="1382" spans="4:4" x14ac:dyDescent="0.25">
      <c r="D1382" t="s">
        <v>1397</v>
      </c>
    </row>
    <row r="1383" spans="4:4" x14ac:dyDescent="0.25">
      <c r="D1383" t="s">
        <v>1398</v>
      </c>
    </row>
    <row r="1384" spans="4:4" x14ac:dyDescent="0.25">
      <c r="D1384" t="s">
        <v>1399</v>
      </c>
    </row>
    <row r="1385" spans="4:4" x14ac:dyDescent="0.25">
      <c r="D1385" t="s">
        <v>1400</v>
      </c>
    </row>
    <row r="1386" spans="4:4" x14ac:dyDescent="0.25">
      <c r="D1386" t="s">
        <v>1401</v>
      </c>
    </row>
    <row r="1387" spans="4:4" x14ac:dyDescent="0.25">
      <c r="D1387" t="s">
        <v>1402</v>
      </c>
    </row>
    <row r="1388" spans="4:4" x14ac:dyDescent="0.25">
      <c r="D1388" t="s">
        <v>1403</v>
      </c>
    </row>
    <row r="1389" spans="4:4" x14ac:dyDescent="0.25">
      <c r="D1389" t="s">
        <v>1404</v>
      </c>
    </row>
    <row r="1390" spans="4:4" x14ac:dyDescent="0.25">
      <c r="D1390" t="s">
        <v>1405</v>
      </c>
    </row>
    <row r="1391" spans="4:4" x14ac:dyDescent="0.25">
      <c r="D1391" t="s">
        <v>1406</v>
      </c>
    </row>
    <row r="1392" spans="4:4" x14ac:dyDescent="0.25">
      <c r="D1392" t="s">
        <v>1407</v>
      </c>
    </row>
    <row r="1393" spans="4:4" x14ac:dyDescent="0.25">
      <c r="D1393" t="s">
        <v>1408</v>
      </c>
    </row>
    <row r="1394" spans="4:4" x14ac:dyDescent="0.25">
      <c r="D1394" t="s">
        <v>1409</v>
      </c>
    </row>
    <row r="1395" spans="4:4" x14ac:dyDescent="0.25">
      <c r="D1395" t="s">
        <v>1410</v>
      </c>
    </row>
    <row r="1396" spans="4:4" x14ac:dyDescent="0.25">
      <c r="D1396" t="s">
        <v>1411</v>
      </c>
    </row>
    <row r="1397" spans="4:4" x14ac:dyDescent="0.25">
      <c r="D1397" t="s">
        <v>1412</v>
      </c>
    </row>
    <row r="1398" spans="4:4" x14ac:dyDescent="0.25">
      <c r="D1398" t="s">
        <v>1413</v>
      </c>
    </row>
    <row r="1399" spans="4:4" x14ac:dyDescent="0.25">
      <c r="D1399" t="s">
        <v>1414</v>
      </c>
    </row>
    <row r="1400" spans="4:4" x14ac:dyDescent="0.25">
      <c r="D1400" t="s">
        <v>1415</v>
      </c>
    </row>
    <row r="1401" spans="4:4" x14ac:dyDescent="0.25">
      <c r="D1401" t="s">
        <v>1416</v>
      </c>
    </row>
    <row r="1402" spans="4:4" x14ac:dyDescent="0.25">
      <c r="D1402" t="s">
        <v>1417</v>
      </c>
    </row>
    <row r="1403" spans="4:4" x14ac:dyDescent="0.25">
      <c r="D1403" t="s">
        <v>1418</v>
      </c>
    </row>
    <row r="1404" spans="4:4" x14ac:dyDescent="0.25">
      <c r="D1404" t="s">
        <v>1419</v>
      </c>
    </row>
    <row r="1405" spans="4:4" x14ac:dyDescent="0.25">
      <c r="D1405" t="s">
        <v>1420</v>
      </c>
    </row>
    <row r="1406" spans="4:4" x14ac:dyDescent="0.25">
      <c r="D1406" t="s">
        <v>1421</v>
      </c>
    </row>
    <row r="1407" spans="4:4" x14ac:dyDescent="0.25">
      <c r="D1407" t="s">
        <v>1422</v>
      </c>
    </row>
    <row r="1408" spans="4:4" x14ac:dyDescent="0.25">
      <c r="D1408" t="s">
        <v>1423</v>
      </c>
    </row>
    <row r="1409" spans="4:4" x14ac:dyDescent="0.25">
      <c r="D1409" t="s">
        <v>1424</v>
      </c>
    </row>
    <row r="1410" spans="4:4" x14ac:dyDescent="0.25">
      <c r="D1410" t="s">
        <v>1425</v>
      </c>
    </row>
    <row r="1411" spans="4:4" x14ac:dyDescent="0.25">
      <c r="D1411" t="s">
        <v>1426</v>
      </c>
    </row>
    <row r="1412" spans="4:4" x14ac:dyDescent="0.25">
      <c r="D1412" t="s">
        <v>1427</v>
      </c>
    </row>
    <row r="1413" spans="4:4" x14ac:dyDescent="0.25">
      <c r="D1413" t="s">
        <v>1428</v>
      </c>
    </row>
    <row r="1414" spans="4:4" x14ac:dyDescent="0.25">
      <c r="D1414" t="s">
        <v>1429</v>
      </c>
    </row>
    <row r="1415" spans="4:4" x14ac:dyDescent="0.25">
      <c r="D1415" t="s">
        <v>1430</v>
      </c>
    </row>
    <row r="1416" spans="4:4" x14ac:dyDescent="0.25">
      <c r="D1416" t="s">
        <v>1431</v>
      </c>
    </row>
    <row r="1417" spans="4:4" x14ac:dyDescent="0.25">
      <c r="D1417" t="s">
        <v>1432</v>
      </c>
    </row>
    <row r="1418" spans="4:4" x14ac:dyDescent="0.25">
      <c r="D1418" t="s">
        <v>1433</v>
      </c>
    </row>
    <row r="1419" spans="4:4" x14ac:dyDescent="0.25">
      <c r="D1419" t="s">
        <v>1434</v>
      </c>
    </row>
    <row r="1420" spans="4:4" x14ac:dyDescent="0.25">
      <c r="D1420" t="s">
        <v>1435</v>
      </c>
    </row>
    <row r="1421" spans="4:4" x14ac:dyDescent="0.25">
      <c r="D1421" t="s">
        <v>1436</v>
      </c>
    </row>
    <row r="1422" spans="4:4" x14ac:dyDescent="0.25">
      <c r="D1422" t="s">
        <v>1437</v>
      </c>
    </row>
    <row r="1423" spans="4:4" x14ac:dyDescent="0.25">
      <c r="D1423" t="s">
        <v>1438</v>
      </c>
    </row>
    <row r="1424" spans="4:4" x14ac:dyDescent="0.25">
      <c r="D1424" t="s">
        <v>1439</v>
      </c>
    </row>
    <row r="1425" spans="4:4" x14ac:dyDescent="0.25">
      <c r="D1425" t="s">
        <v>1440</v>
      </c>
    </row>
    <row r="1426" spans="4:4" x14ac:dyDescent="0.25">
      <c r="D1426" t="s">
        <v>1441</v>
      </c>
    </row>
    <row r="1427" spans="4:4" x14ac:dyDescent="0.25">
      <c r="D1427" t="s">
        <v>1442</v>
      </c>
    </row>
    <row r="1428" spans="4:4" x14ac:dyDescent="0.25">
      <c r="D1428" t="s">
        <v>1443</v>
      </c>
    </row>
    <row r="1429" spans="4:4" x14ac:dyDescent="0.25">
      <c r="D1429" t="s">
        <v>1444</v>
      </c>
    </row>
    <row r="1430" spans="4:4" x14ac:dyDescent="0.25">
      <c r="D1430" t="s">
        <v>1445</v>
      </c>
    </row>
    <row r="1431" spans="4:4" x14ac:dyDescent="0.25">
      <c r="D1431" t="s">
        <v>1446</v>
      </c>
    </row>
    <row r="1432" spans="4:4" x14ac:dyDescent="0.25">
      <c r="D1432" t="s">
        <v>1447</v>
      </c>
    </row>
    <row r="1433" spans="4:4" x14ac:dyDescent="0.25">
      <c r="D1433" t="s">
        <v>1448</v>
      </c>
    </row>
    <row r="1434" spans="4:4" x14ac:dyDescent="0.25">
      <c r="D1434" t="s">
        <v>1449</v>
      </c>
    </row>
    <row r="1435" spans="4:4" x14ac:dyDescent="0.25">
      <c r="D1435" t="s">
        <v>1450</v>
      </c>
    </row>
    <row r="1436" spans="4:4" x14ac:dyDescent="0.25">
      <c r="D1436" t="s">
        <v>1451</v>
      </c>
    </row>
    <row r="1437" spans="4:4" x14ac:dyDescent="0.25">
      <c r="D1437" t="s">
        <v>1452</v>
      </c>
    </row>
    <row r="1438" spans="4:4" x14ac:dyDescent="0.25">
      <c r="D1438" t="s">
        <v>1453</v>
      </c>
    </row>
    <row r="1439" spans="4:4" x14ac:dyDescent="0.25">
      <c r="D1439" t="s">
        <v>1454</v>
      </c>
    </row>
    <row r="1440" spans="4:4" x14ac:dyDescent="0.25">
      <c r="D1440" t="s">
        <v>1455</v>
      </c>
    </row>
    <row r="1441" spans="4:4" x14ac:dyDescent="0.25">
      <c r="D1441" t="s">
        <v>1456</v>
      </c>
    </row>
    <row r="1442" spans="4:4" x14ac:dyDescent="0.25">
      <c r="D1442" t="s">
        <v>1457</v>
      </c>
    </row>
    <row r="1443" spans="4:4" x14ac:dyDescent="0.25">
      <c r="D1443" t="s">
        <v>1458</v>
      </c>
    </row>
    <row r="1444" spans="4:4" x14ac:dyDescent="0.25">
      <c r="D1444" t="s">
        <v>1459</v>
      </c>
    </row>
    <row r="1445" spans="4:4" x14ac:dyDescent="0.25">
      <c r="D1445" t="s">
        <v>1460</v>
      </c>
    </row>
    <row r="1446" spans="4:4" x14ac:dyDescent="0.25">
      <c r="D1446" t="s">
        <v>1461</v>
      </c>
    </row>
    <row r="1447" spans="4:4" x14ac:dyDescent="0.25">
      <c r="D1447" t="s">
        <v>1462</v>
      </c>
    </row>
    <row r="1448" spans="4:4" x14ac:dyDescent="0.25">
      <c r="D1448" t="s">
        <v>1463</v>
      </c>
    </row>
    <row r="1449" spans="4:4" x14ac:dyDescent="0.25">
      <c r="D1449" t="s">
        <v>1464</v>
      </c>
    </row>
    <row r="1450" spans="4:4" x14ac:dyDescent="0.25">
      <c r="D1450" t="s">
        <v>1465</v>
      </c>
    </row>
    <row r="1451" spans="4:4" x14ac:dyDescent="0.25">
      <c r="D1451" t="s">
        <v>1466</v>
      </c>
    </row>
    <row r="1452" spans="4:4" x14ac:dyDescent="0.25">
      <c r="D1452" t="s">
        <v>1467</v>
      </c>
    </row>
    <row r="1453" spans="4:4" x14ac:dyDescent="0.25">
      <c r="D1453" t="s">
        <v>1468</v>
      </c>
    </row>
    <row r="1454" spans="4:4" x14ac:dyDescent="0.25">
      <c r="D1454" t="s">
        <v>1469</v>
      </c>
    </row>
    <row r="1455" spans="4:4" x14ac:dyDescent="0.25">
      <c r="D1455" t="s">
        <v>1470</v>
      </c>
    </row>
    <row r="1456" spans="4:4" x14ac:dyDescent="0.25">
      <c r="D1456" t="s">
        <v>1471</v>
      </c>
    </row>
    <row r="1457" spans="4:4" x14ac:dyDescent="0.25">
      <c r="D1457" t="s">
        <v>1472</v>
      </c>
    </row>
    <row r="1458" spans="4:4" x14ac:dyDescent="0.25">
      <c r="D1458" t="s">
        <v>1473</v>
      </c>
    </row>
    <row r="1459" spans="4:4" x14ac:dyDescent="0.25">
      <c r="D1459" t="s">
        <v>1474</v>
      </c>
    </row>
    <row r="1460" spans="4:4" x14ac:dyDescent="0.25">
      <c r="D1460" t="s">
        <v>1475</v>
      </c>
    </row>
    <row r="1461" spans="4:4" x14ac:dyDescent="0.25">
      <c r="D1461" t="s">
        <v>1476</v>
      </c>
    </row>
    <row r="1462" spans="4:4" x14ac:dyDescent="0.25">
      <c r="D1462" t="s">
        <v>1477</v>
      </c>
    </row>
    <row r="1463" spans="4:4" x14ac:dyDescent="0.25">
      <c r="D1463" t="s">
        <v>1478</v>
      </c>
    </row>
    <row r="1464" spans="4:4" x14ac:dyDescent="0.25">
      <c r="D1464" t="s">
        <v>1479</v>
      </c>
    </row>
    <row r="1465" spans="4:4" x14ac:dyDescent="0.25">
      <c r="D1465" t="s">
        <v>1480</v>
      </c>
    </row>
    <row r="1466" spans="4:4" x14ac:dyDescent="0.25">
      <c r="D1466" t="s">
        <v>1481</v>
      </c>
    </row>
    <row r="1467" spans="4:4" x14ac:dyDescent="0.25">
      <c r="D1467" t="s">
        <v>1482</v>
      </c>
    </row>
    <row r="1468" spans="4:4" x14ac:dyDescent="0.25">
      <c r="D1468" t="s">
        <v>1483</v>
      </c>
    </row>
    <row r="1469" spans="4:4" x14ac:dyDescent="0.25">
      <c r="D1469" t="s">
        <v>1484</v>
      </c>
    </row>
    <row r="1470" spans="4:4" x14ac:dyDescent="0.25">
      <c r="D1470" t="s">
        <v>1485</v>
      </c>
    </row>
    <row r="1471" spans="4:4" x14ac:dyDescent="0.25">
      <c r="D1471" t="s">
        <v>1486</v>
      </c>
    </row>
    <row r="1472" spans="4:4" x14ac:dyDescent="0.25">
      <c r="D1472" t="s">
        <v>1487</v>
      </c>
    </row>
    <row r="1473" spans="4:4" x14ac:dyDescent="0.25">
      <c r="D1473" t="s">
        <v>1488</v>
      </c>
    </row>
    <row r="1474" spans="4:4" x14ac:dyDescent="0.25">
      <c r="D1474" t="s">
        <v>1489</v>
      </c>
    </row>
    <row r="1475" spans="4:4" x14ac:dyDescent="0.25">
      <c r="D1475" t="s">
        <v>1490</v>
      </c>
    </row>
    <row r="1476" spans="4:4" x14ac:dyDescent="0.25">
      <c r="D1476" t="s">
        <v>1491</v>
      </c>
    </row>
    <row r="1477" spans="4:4" x14ac:dyDescent="0.25">
      <c r="D1477" t="s">
        <v>1492</v>
      </c>
    </row>
    <row r="1478" spans="4:4" x14ac:dyDescent="0.25">
      <c r="D1478" t="s">
        <v>1493</v>
      </c>
    </row>
    <row r="1479" spans="4:4" x14ac:dyDescent="0.25">
      <c r="D1479" t="s">
        <v>1494</v>
      </c>
    </row>
    <row r="1480" spans="4:4" x14ac:dyDescent="0.25">
      <c r="D1480" t="s">
        <v>1495</v>
      </c>
    </row>
    <row r="1481" spans="4:4" x14ac:dyDescent="0.25">
      <c r="D1481" t="s">
        <v>1496</v>
      </c>
    </row>
    <row r="1482" spans="4:4" x14ac:dyDescent="0.25">
      <c r="D1482" t="s">
        <v>1497</v>
      </c>
    </row>
    <row r="1483" spans="4:4" x14ac:dyDescent="0.25">
      <c r="D1483" t="s">
        <v>1498</v>
      </c>
    </row>
    <row r="1484" spans="4:4" x14ac:dyDescent="0.25">
      <c r="D1484" t="s">
        <v>1499</v>
      </c>
    </row>
    <row r="1485" spans="4:4" x14ac:dyDescent="0.25">
      <c r="D1485" t="s">
        <v>1500</v>
      </c>
    </row>
    <row r="1486" spans="4:4" x14ac:dyDescent="0.25">
      <c r="D1486" t="s">
        <v>1501</v>
      </c>
    </row>
    <row r="1487" spans="4:4" x14ac:dyDescent="0.25">
      <c r="D1487" t="s">
        <v>1502</v>
      </c>
    </row>
    <row r="1488" spans="4:4" x14ac:dyDescent="0.25">
      <c r="D1488" t="s">
        <v>1503</v>
      </c>
    </row>
    <row r="1489" spans="4:4" x14ac:dyDescent="0.25">
      <c r="D1489" t="s">
        <v>1504</v>
      </c>
    </row>
    <row r="1490" spans="4:4" x14ac:dyDescent="0.25">
      <c r="D1490" t="s">
        <v>1505</v>
      </c>
    </row>
    <row r="1491" spans="4:4" x14ac:dyDescent="0.25">
      <c r="D1491" t="s">
        <v>1506</v>
      </c>
    </row>
    <row r="1492" spans="4:4" x14ac:dyDescent="0.25">
      <c r="D1492" t="s">
        <v>1507</v>
      </c>
    </row>
    <row r="1493" spans="4:4" x14ac:dyDescent="0.25">
      <c r="D1493" t="s">
        <v>1508</v>
      </c>
    </row>
    <row r="1494" spans="4:4" x14ac:dyDescent="0.25">
      <c r="D1494" t="s">
        <v>1509</v>
      </c>
    </row>
    <row r="1495" spans="4:4" x14ac:dyDescent="0.25">
      <c r="D1495" t="s">
        <v>1510</v>
      </c>
    </row>
    <row r="1496" spans="4:4" x14ac:dyDescent="0.25">
      <c r="D1496" t="s">
        <v>1511</v>
      </c>
    </row>
    <row r="1497" spans="4:4" x14ac:dyDescent="0.25">
      <c r="D1497" t="s">
        <v>1512</v>
      </c>
    </row>
    <row r="1498" spans="4:4" x14ac:dyDescent="0.25">
      <c r="D1498" t="s">
        <v>1513</v>
      </c>
    </row>
    <row r="1499" spans="4:4" x14ac:dyDescent="0.25">
      <c r="D1499" t="s">
        <v>1514</v>
      </c>
    </row>
    <row r="1500" spans="4:4" x14ac:dyDescent="0.25">
      <c r="D1500" t="s">
        <v>1515</v>
      </c>
    </row>
    <row r="1501" spans="4:4" x14ac:dyDescent="0.25">
      <c r="D1501" t="s">
        <v>1516</v>
      </c>
    </row>
    <row r="1502" spans="4:4" x14ac:dyDescent="0.25">
      <c r="D1502" t="s">
        <v>1517</v>
      </c>
    </row>
    <row r="1503" spans="4:4" x14ac:dyDescent="0.25">
      <c r="D1503" t="s">
        <v>1518</v>
      </c>
    </row>
    <row r="1504" spans="4:4" x14ac:dyDescent="0.25">
      <c r="D1504" t="s">
        <v>1519</v>
      </c>
    </row>
    <row r="1505" spans="4:4" x14ac:dyDescent="0.25">
      <c r="D1505" t="s">
        <v>1520</v>
      </c>
    </row>
    <row r="1506" spans="4:4" x14ac:dyDescent="0.25">
      <c r="D1506" t="s">
        <v>1521</v>
      </c>
    </row>
    <row r="1507" spans="4:4" x14ac:dyDescent="0.25">
      <c r="D1507" t="s">
        <v>1522</v>
      </c>
    </row>
    <row r="1508" spans="4:4" x14ac:dyDescent="0.25">
      <c r="D1508" t="s">
        <v>1523</v>
      </c>
    </row>
    <row r="1509" spans="4:4" x14ac:dyDescent="0.25">
      <c r="D1509" t="s">
        <v>1524</v>
      </c>
    </row>
    <row r="1510" spans="4:4" x14ac:dyDescent="0.25">
      <c r="D1510" t="s">
        <v>1525</v>
      </c>
    </row>
    <row r="1511" spans="4:4" x14ac:dyDescent="0.25">
      <c r="D1511" t="s">
        <v>1526</v>
      </c>
    </row>
    <row r="1512" spans="4:4" x14ac:dyDescent="0.25">
      <c r="D1512" t="s">
        <v>1527</v>
      </c>
    </row>
    <row r="1513" spans="4:4" x14ac:dyDescent="0.25">
      <c r="D1513" t="s">
        <v>1528</v>
      </c>
    </row>
    <row r="1514" spans="4:4" x14ac:dyDescent="0.25">
      <c r="D1514" t="s">
        <v>1529</v>
      </c>
    </row>
    <row r="1515" spans="4:4" x14ac:dyDescent="0.25">
      <c r="D1515" t="s">
        <v>1530</v>
      </c>
    </row>
    <row r="1516" spans="4:4" x14ac:dyDescent="0.25">
      <c r="D1516" t="s">
        <v>1531</v>
      </c>
    </row>
    <row r="1517" spans="4:4" x14ac:dyDescent="0.25">
      <c r="D1517" t="s">
        <v>1532</v>
      </c>
    </row>
    <row r="1518" spans="4:4" x14ac:dyDescent="0.25">
      <c r="D1518" t="s">
        <v>1533</v>
      </c>
    </row>
    <row r="1519" spans="4:4" x14ac:dyDescent="0.25">
      <c r="D1519" t="s">
        <v>1534</v>
      </c>
    </row>
    <row r="1520" spans="4:4" x14ac:dyDescent="0.25">
      <c r="D1520" t="s">
        <v>1535</v>
      </c>
    </row>
    <row r="1521" spans="4:4" x14ac:dyDescent="0.25">
      <c r="D1521" t="s">
        <v>1536</v>
      </c>
    </row>
    <row r="1522" spans="4:4" x14ac:dyDescent="0.25">
      <c r="D1522" t="s">
        <v>1537</v>
      </c>
    </row>
    <row r="1523" spans="4:4" x14ac:dyDescent="0.25">
      <c r="D1523" t="s">
        <v>1538</v>
      </c>
    </row>
    <row r="1524" spans="4:4" x14ac:dyDescent="0.25">
      <c r="D1524" t="s">
        <v>1539</v>
      </c>
    </row>
    <row r="1525" spans="4:4" x14ac:dyDescent="0.25">
      <c r="D1525" t="s">
        <v>1540</v>
      </c>
    </row>
    <row r="1526" spans="4:4" x14ac:dyDescent="0.25">
      <c r="D1526" t="s">
        <v>1541</v>
      </c>
    </row>
    <row r="1527" spans="4:4" x14ac:dyDescent="0.25">
      <c r="D1527" t="s">
        <v>1542</v>
      </c>
    </row>
    <row r="1528" spans="4:4" x14ac:dyDescent="0.25">
      <c r="D1528" t="s">
        <v>1543</v>
      </c>
    </row>
    <row r="1529" spans="4:4" x14ac:dyDescent="0.25">
      <c r="D1529" t="s">
        <v>1544</v>
      </c>
    </row>
    <row r="1530" spans="4:4" x14ac:dyDescent="0.25">
      <c r="D1530" t="s">
        <v>1545</v>
      </c>
    </row>
    <row r="1531" spans="4:4" x14ac:dyDescent="0.25">
      <c r="D1531" t="s">
        <v>1546</v>
      </c>
    </row>
    <row r="1532" spans="4:4" x14ac:dyDescent="0.25">
      <c r="D1532" t="s">
        <v>1547</v>
      </c>
    </row>
    <row r="1533" spans="4:4" x14ac:dyDescent="0.25">
      <c r="D1533" t="s">
        <v>1548</v>
      </c>
    </row>
    <row r="1534" spans="4:4" x14ac:dyDescent="0.25">
      <c r="D1534" t="s">
        <v>1549</v>
      </c>
    </row>
    <row r="1535" spans="4:4" x14ac:dyDescent="0.25">
      <c r="D1535" t="s">
        <v>1550</v>
      </c>
    </row>
    <row r="1536" spans="4:4" x14ac:dyDescent="0.25">
      <c r="D1536" t="s">
        <v>1551</v>
      </c>
    </row>
    <row r="1537" spans="4:4" x14ac:dyDescent="0.25">
      <c r="D1537" t="s">
        <v>1552</v>
      </c>
    </row>
    <row r="1538" spans="4:4" x14ac:dyDescent="0.25">
      <c r="D1538" t="s">
        <v>1553</v>
      </c>
    </row>
    <row r="1539" spans="4:4" x14ac:dyDescent="0.25">
      <c r="D1539" t="s">
        <v>1554</v>
      </c>
    </row>
    <row r="1540" spans="4:4" x14ac:dyDescent="0.25">
      <c r="D1540" t="s">
        <v>1555</v>
      </c>
    </row>
    <row r="1541" spans="4:4" x14ac:dyDescent="0.25">
      <c r="D1541" t="s">
        <v>1556</v>
      </c>
    </row>
    <row r="1542" spans="4:4" x14ac:dyDescent="0.25">
      <c r="D1542" t="s">
        <v>1557</v>
      </c>
    </row>
    <row r="1543" spans="4:4" x14ac:dyDescent="0.25">
      <c r="D1543" t="s">
        <v>1558</v>
      </c>
    </row>
    <row r="1544" spans="4:4" x14ac:dyDescent="0.25">
      <c r="D1544" t="s">
        <v>1559</v>
      </c>
    </row>
    <row r="1545" spans="4:4" x14ac:dyDescent="0.25">
      <c r="D1545" t="s">
        <v>1560</v>
      </c>
    </row>
  </sheetData>
  <phoneticPr fontId="1" type="noConversion"/>
  <pageMargins left="0.75" right="0.75" top="1" bottom="1" header="0.5" footer="0.5"/>
  <pageSetup paperSize="9" orientation="landscape" r:id="rId1"/>
  <headerFooter alignWithMargins="0">
    <oddHeader>&amp;C&amp;"Calibri"&amp;10&amp;K000000OFFICIAL&amp;1#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D24"/>
  <sheetViews>
    <sheetView showGridLines="0" tabSelected="1" topLeftCell="A4" zoomScale="130" zoomScaleNormal="130" workbookViewId="0">
      <selection activeCell="F10" sqref="F10"/>
    </sheetView>
  </sheetViews>
  <sheetFormatPr defaultColWidth="0" defaultRowHeight="12.5" zeroHeight="1" x14ac:dyDescent="0.25"/>
  <cols>
    <col min="1" max="1" width="9.1796875" customWidth="1"/>
    <col min="2" max="2" width="8" customWidth="1"/>
    <col min="3" max="3" width="10.453125" customWidth="1"/>
    <col min="4" max="4" width="11.453125" customWidth="1"/>
    <col min="5" max="7" width="9.1796875" customWidth="1"/>
    <col min="8" max="8" width="16.54296875" customWidth="1"/>
    <col min="9" max="9" width="9.1796875" customWidth="1"/>
    <col min="10" max="10" width="16.26953125" customWidth="1"/>
  </cols>
  <sheetData>
    <row r="1" spans="2:4" x14ac:dyDescent="0.25"/>
    <row r="2" spans="2:4" x14ac:dyDescent="0.25"/>
    <row r="3" spans="2:4" x14ac:dyDescent="0.25"/>
    <row r="4" spans="2:4" ht="18" x14ac:dyDescent="0.4">
      <c r="B4" s="2" t="s">
        <v>1561</v>
      </c>
    </row>
    <row r="5" spans="2:4" x14ac:dyDescent="0.25"/>
    <row r="6" spans="2:4" x14ac:dyDescent="0.25"/>
    <row r="7" spans="2:4" x14ac:dyDescent="0.25">
      <c r="B7" s="10" t="s">
        <v>1562</v>
      </c>
      <c r="D7" s="10" t="s">
        <v>1563</v>
      </c>
    </row>
    <row r="8" spans="2:4" x14ac:dyDescent="0.25"/>
    <row r="9" spans="2:4" x14ac:dyDescent="0.25"/>
    <row r="10" spans="2:4" x14ac:dyDescent="0.25"/>
    <row r="11" spans="2:4" x14ac:dyDescent="0.25"/>
    <row r="12" spans="2:4" x14ac:dyDescent="0.25"/>
    <row r="13" spans="2:4" x14ac:dyDescent="0.25"/>
    <row r="14" spans="2:4" x14ac:dyDescent="0.25"/>
    <row r="15" spans="2:4" x14ac:dyDescent="0.25"/>
    <row r="16" spans="2:4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</sheetData>
  <phoneticPr fontId="1" type="noConversion"/>
  <pageMargins left="0.75" right="0.75" top="1" bottom="1" header="0.5" footer="0.5"/>
  <pageSetup paperSize="9" orientation="portrait" r:id="rId1"/>
  <headerFooter alignWithMargins="0">
    <oddHeader>&amp;C&amp;"Calibri"&amp;10&amp;K000000OFFICIAL&amp;1#</oddHeader>
  </headerFooter>
  <drawing r:id="rId2"/>
  <legacyDrawing r:id="rId3"/>
  <controls>
    <mc:AlternateContent xmlns:mc="http://schemas.openxmlformats.org/markup-compatibility/2006">
      <mc:Choice Requires="x14">
        <control shapeId="1031" r:id="rId4" name="TextBox1">
          <controlPr defaultSize="0" autoLine="0" r:id="rId5">
            <anchor moveWithCells="1">
              <from>
                <xdr:col>5</xdr:col>
                <xdr:colOff>260350</xdr:colOff>
                <xdr:row>11</xdr:row>
                <xdr:rowOff>114300</xdr:rowOff>
              </from>
              <to>
                <xdr:col>7</xdr:col>
                <xdr:colOff>19050</xdr:colOff>
                <xdr:row>13</xdr:row>
                <xdr:rowOff>0</xdr:rowOff>
              </to>
            </anchor>
          </controlPr>
        </control>
      </mc:Choice>
      <mc:Fallback>
        <control shapeId="1031" r:id="rId4" name="TextBox1"/>
      </mc:Fallback>
    </mc:AlternateContent>
    <mc:AlternateContent xmlns:mc="http://schemas.openxmlformats.org/markup-compatibility/2006">
      <mc:Choice Requires="x14">
        <control shapeId="1032" r:id="rId6" name="TextBox2">
          <controlPr defaultSize="0" autoLine="0" r:id="rId7">
            <anchor moveWithCells="1">
              <from>
                <xdr:col>5</xdr:col>
                <xdr:colOff>260350</xdr:colOff>
                <xdr:row>7</xdr:row>
                <xdr:rowOff>101600</xdr:rowOff>
              </from>
              <to>
                <xdr:col>7</xdr:col>
                <xdr:colOff>19050</xdr:colOff>
                <xdr:row>8</xdr:row>
                <xdr:rowOff>146050</xdr:rowOff>
              </to>
            </anchor>
          </controlPr>
        </control>
      </mc:Choice>
      <mc:Fallback>
        <control shapeId="1032" r:id="rId6" name="TextBox2"/>
      </mc:Fallback>
    </mc:AlternateContent>
    <mc:AlternateContent xmlns:mc="http://schemas.openxmlformats.org/markup-compatibility/2006">
      <mc:Choice Requires="x14">
        <control shapeId="1033" r:id="rId8" name="TextBox3">
          <controlPr defaultSize="0" autoLine="0" r:id="rId9">
            <anchor moveWithCells="1">
              <from>
                <xdr:col>1</xdr:col>
                <xdr:colOff>196850</xdr:colOff>
                <xdr:row>15</xdr:row>
                <xdr:rowOff>31750</xdr:rowOff>
              </from>
              <to>
                <xdr:col>7</xdr:col>
                <xdr:colOff>990600</xdr:colOff>
                <xdr:row>16</xdr:row>
                <xdr:rowOff>95250</xdr:rowOff>
              </to>
            </anchor>
          </controlPr>
        </control>
      </mc:Choice>
      <mc:Fallback>
        <control shapeId="1033" r:id="rId8" name="TextBox3"/>
      </mc:Fallback>
    </mc:AlternateContent>
    <mc:AlternateContent xmlns:mc="http://schemas.openxmlformats.org/markup-compatibility/2006">
      <mc:Choice Requires="x14">
        <control shapeId="1025" r:id="rId10" name="List Box 1">
          <controlPr locked="0" defaultSize="0" autoLine="0" autoPict="0" macro="[0]!ListBox1_Change">
            <anchor moveWithCells="1">
              <from>
                <xdr:col>1</xdr:col>
                <xdr:colOff>196850</xdr:colOff>
                <xdr:row>7</xdr:row>
                <xdr:rowOff>114300</xdr:rowOff>
              </from>
              <to>
                <xdr:col>2</xdr:col>
                <xdr:colOff>654050</xdr:colOff>
                <xdr:row>13</xdr:row>
                <xdr:rowOff>44450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1" name="List Box 2">
          <controlPr locked="0" defaultSize="0" autoLine="0" autoPict="0" macro="[0]!ListBox2_Change">
            <anchor moveWithCells="1">
              <from>
                <xdr:col>3</xdr:col>
                <xdr:colOff>292100</xdr:colOff>
                <xdr:row>7</xdr:row>
                <xdr:rowOff>114300</xdr:rowOff>
              </from>
              <to>
                <xdr:col>4</xdr:col>
                <xdr:colOff>520700</xdr:colOff>
                <xdr:row>13</xdr:row>
                <xdr:rowOff>44450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2" name="List Box 3">
          <controlPr locked="0" defaultSize="0" autoLine="0" autoPict="0">
            <anchor moveWithCells="1">
              <from>
                <xdr:col>8</xdr:col>
                <xdr:colOff>6350</xdr:colOff>
                <xdr:row>7</xdr:row>
                <xdr:rowOff>76200</xdr:rowOff>
              </from>
              <to>
                <xdr:col>9</xdr:col>
                <xdr:colOff>387350</xdr:colOff>
                <xdr:row>13</xdr:row>
                <xdr:rowOff>6350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3" name="Button 5">
          <controlPr defaultSize="0" print="0" autoFill="0" autoPict="0" macro="[0]!Browse_Click">
            <anchor moveWithCells="1" sizeWithCells="1">
              <from>
                <xdr:col>8</xdr:col>
                <xdr:colOff>330200</xdr:colOff>
                <xdr:row>15</xdr:row>
                <xdr:rowOff>6350</xdr:rowOff>
              </from>
              <to>
                <xdr:col>9</xdr:col>
                <xdr:colOff>273050</xdr:colOff>
                <xdr:row>16</xdr:row>
                <xdr:rowOff>82550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4" name="Button 6">
          <controlPr defaultSize="0" print="0" autoFill="0" autoPict="0" macro="[0]!ExtractClob">
            <anchor moveWithCells="1" sizeWithCells="1">
              <from>
                <xdr:col>4</xdr:col>
                <xdr:colOff>298450</xdr:colOff>
                <xdr:row>18</xdr:row>
                <xdr:rowOff>25400</xdr:rowOff>
              </from>
              <to>
                <xdr:col>7</xdr:col>
                <xdr:colOff>266700</xdr:colOff>
                <xdr:row>19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5" name="Label 12">
          <controlPr defaultSize="0" autoFill="0" autoLine="0" autoPict="0">
            <anchor moveWithCells="1" sizeWithCells="1">
              <from>
                <xdr:col>5</xdr:col>
                <xdr:colOff>254000</xdr:colOff>
                <xdr:row>6</xdr:row>
                <xdr:rowOff>0</xdr:rowOff>
              </from>
              <to>
                <xdr:col>7</xdr:col>
                <xdr:colOff>31750</xdr:colOff>
                <xdr:row>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6" name="Label 13">
          <controlPr defaultSize="0" autoFill="0" autoLine="0" autoPict="0">
            <anchor moveWithCells="1" sizeWithCells="1">
              <from>
                <xdr:col>5</xdr:col>
                <xdr:colOff>266700</xdr:colOff>
                <xdr:row>10</xdr:row>
                <xdr:rowOff>31750</xdr:rowOff>
              </from>
              <to>
                <xdr:col>7</xdr:col>
                <xdr:colOff>44450</xdr:colOff>
                <xdr:row>11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7" name="Label 14">
          <controlPr defaultSize="0" autoFill="0" autoLine="0" autoPict="0">
            <anchor moveWithCells="1" sizeWithCells="1">
              <from>
                <xdr:col>8</xdr:col>
                <xdr:colOff>25400</xdr:colOff>
                <xdr:row>5</xdr:row>
                <xdr:rowOff>146050</xdr:rowOff>
              </from>
              <to>
                <xdr:col>9</xdr:col>
                <xdr:colOff>412750</xdr:colOff>
                <xdr:row>6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18" name="Button 21">
          <controlPr defaultSize="0" print="0" autoFill="0" autoPict="0" macro="[0]!GetDates_Click">
            <anchor moveWithCells="1" sizeWithCells="1">
              <from>
                <xdr:col>7</xdr:col>
                <xdr:colOff>196850</xdr:colOff>
                <xdr:row>9</xdr:row>
                <xdr:rowOff>44450</xdr:rowOff>
              </from>
              <to>
                <xdr:col>7</xdr:col>
                <xdr:colOff>996950</xdr:colOff>
                <xdr:row>10</xdr:row>
                <xdr:rowOff>120650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7089"/>
  <sheetViews>
    <sheetView showFormulas="1" workbookViewId="0">
      <selection activeCell="A5" sqref="A5"/>
    </sheetView>
  </sheetViews>
  <sheetFormatPr defaultRowHeight="12.5" x14ac:dyDescent="0.25"/>
  <cols>
    <col min="1" max="1" width="5.6328125" bestFit="1" customWidth="1"/>
    <col min="2" max="2" width="3" bestFit="1" customWidth="1"/>
    <col min="3" max="3" width="2.453125" bestFit="1" customWidth="1"/>
    <col min="4" max="5" width="3.453125" bestFit="1" customWidth="1"/>
    <col min="6" max="6" width="3" bestFit="1" customWidth="1"/>
    <col min="7" max="7" width="1.453125" bestFit="1" customWidth="1"/>
    <col min="8" max="8" width="2.453125" bestFit="1" customWidth="1"/>
    <col min="9" max="10" width="1.08984375" bestFit="1" customWidth="1"/>
    <col min="11" max="11" width="80.7265625" style="6" bestFit="1" customWidth="1"/>
    <col min="12" max="12" width="80.7265625" style="5" bestFit="1" customWidth="1"/>
    <col min="13" max="13" width="8" bestFit="1" customWidth="1"/>
    <col min="14" max="14" width="2.453125" bestFit="1" customWidth="1"/>
    <col min="15" max="15" width="2" bestFit="1" customWidth="1"/>
    <col min="16" max="16" width="2.453125" bestFit="1" customWidth="1"/>
    <col min="17" max="17" width="2.26953125" bestFit="1" customWidth="1"/>
  </cols>
  <sheetData>
    <row r="1" spans="1:18" x14ac:dyDescent="0.25">
      <c r="O1" t="s">
        <v>1564</v>
      </c>
      <c r="P1" t="s">
        <v>1565</v>
      </c>
    </row>
    <row r="4" spans="1:18" x14ac:dyDescent="0.25">
      <c r="A4" t="s">
        <v>1566</v>
      </c>
      <c r="O4" t="s">
        <v>1567</v>
      </c>
      <c r="P4" t="s">
        <v>1568</v>
      </c>
      <c r="R4" t="s">
        <v>1569</v>
      </c>
    </row>
    <row r="5" spans="1:18" x14ac:dyDescent="0.25">
      <c r="A5" t="s">
        <v>1570</v>
      </c>
      <c r="B5" t="s">
        <v>425</v>
      </c>
      <c r="C5">
        <v>2100</v>
      </c>
      <c r="D5">
        <v>242880</v>
      </c>
      <c r="E5">
        <v>243100</v>
      </c>
      <c r="F5" s="12">
        <v>46265</v>
      </c>
      <c r="G5">
        <v>38</v>
      </c>
      <c r="H5">
        <v>1039</v>
      </c>
      <c r="I5" t="s">
        <v>1571</v>
      </c>
      <c r="J5" t="s">
        <v>1571</v>
      </c>
      <c r="K5" t="s">
        <v>1598</v>
      </c>
      <c r="L5" t="s">
        <v>1599</v>
      </c>
      <c r="M5" t="s">
        <v>1572</v>
      </c>
      <c r="N5">
        <v>5600</v>
      </c>
      <c r="O5">
        <v>138</v>
      </c>
      <c r="P5">
        <v>0</v>
      </c>
      <c r="Q5">
        <v>0.21</v>
      </c>
      <c r="R5" s="3"/>
    </row>
    <row r="6" spans="1:18" x14ac:dyDescent="0.25">
      <c r="A6" t="s">
        <v>1573</v>
      </c>
      <c r="B6" t="s">
        <v>425</v>
      </c>
      <c r="C6">
        <v>2100</v>
      </c>
      <c r="D6">
        <v>242880</v>
      </c>
      <c r="E6">
        <v>243100</v>
      </c>
      <c r="F6" s="12">
        <v>46265</v>
      </c>
      <c r="G6">
        <v>38</v>
      </c>
      <c r="H6">
        <v>1039</v>
      </c>
      <c r="I6" t="s">
        <v>1571</v>
      </c>
      <c r="J6" t="s">
        <v>1571</v>
      </c>
      <c r="K6" t="s">
        <v>1600</v>
      </c>
      <c r="L6" t="s">
        <v>1601</v>
      </c>
      <c r="M6" t="s">
        <v>1572</v>
      </c>
      <c r="N6">
        <v>5619</v>
      </c>
      <c r="O6">
        <v>138</v>
      </c>
      <c r="P6">
        <v>0</v>
      </c>
      <c r="Q6">
        <v>0.21</v>
      </c>
    </row>
    <row r="7" spans="1:18" x14ac:dyDescent="0.25">
      <c r="A7" t="s">
        <v>1574</v>
      </c>
      <c r="B7" t="s">
        <v>425</v>
      </c>
      <c r="C7">
        <v>2100</v>
      </c>
      <c r="D7">
        <v>242880</v>
      </c>
      <c r="E7">
        <v>243100</v>
      </c>
      <c r="F7" s="12">
        <v>46265</v>
      </c>
      <c r="G7">
        <v>38</v>
      </c>
      <c r="H7">
        <v>1039</v>
      </c>
      <c r="I7" t="s">
        <v>1571</v>
      </c>
      <c r="J7" t="s">
        <v>1571</v>
      </c>
      <c r="K7" t="s">
        <v>1602</v>
      </c>
      <c r="L7" t="s">
        <v>1603</v>
      </c>
      <c r="M7" t="s">
        <v>1572</v>
      </c>
      <c r="N7">
        <v>7088</v>
      </c>
      <c r="O7">
        <v>138</v>
      </c>
      <c r="P7">
        <v>0</v>
      </c>
      <c r="Q7">
        <v>0.21</v>
      </c>
    </row>
    <row r="8" spans="1:18" x14ac:dyDescent="0.25">
      <c r="A8" t="s">
        <v>1575</v>
      </c>
      <c r="B8" t="s">
        <v>425</v>
      </c>
      <c r="C8">
        <v>2100</v>
      </c>
      <c r="D8">
        <v>242880</v>
      </c>
      <c r="E8">
        <v>243100</v>
      </c>
      <c r="F8" s="12">
        <v>46265</v>
      </c>
      <c r="G8">
        <v>38</v>
      </c>
      <c r="H8">
        <v>1039</v>
      </c>
      <c r="I8" t="s">
        <v>1571</v>
      </c>
      <c r="J8" t="s">
        <v>1571</v>
      </c>
      <c r="K8" t="s">
        <v>1604</v>
      </c>
      <c r="L8" t="s">
        <v>1605</v>
      </c>
      <c r="M8" t="s">
        <v>1572</v>
      </c>
      <c r="N8">
        <v>6576</v>
      </c>
      <c r="O8">
        <v>138</v>
      </c>
      <c r="P8">
        <v>0</v>
      </c>
      <c r="Q8">
        <v>0.21</v>
      </c>
    </row>
    <row r="9" spans="1:18" x14ac:dyDescent="0.25">
      <c r="A9" t="s">
        <v>1576</v>
      </c>
      <c r="B9" t="s">
        <v>425</v>
      </c>
      <c r="C9">
        <v>2100</v>
      </c>
      <c r="D9">
        <v>242880</v>
      </c>
      <c r="E9">
        <v>243100</v>
      </c>
      <c r="F9" s="12">
        <v>46265</v>
      </c>
      <c r="G9">
        <v>38</v>
      </c>
      <c r="H9">
        <v>1039</v>
      </c>
      <c r="I9" t="s">
        <v>1571</v>
      </c>
      <c r="J9" t="s">
        <v>1571</v>
      </c>
      <c r="K9" t="s">
        <v>1606</v>
      </c>
      <c r="L9" t="s">
        <v>1607</v>
      </c>
      <c r="M9" t="s">
        <v>1572</v>
      </c>
      <c r="N9">
        <v>6132</v>
      </c>
      <c r="O9">
        <v>138</v>
      </c>
      <c r="P9">
        <v>0</v>
      </c>
      <c r="Q9">
        <v>0.21</v>
      </c>
    </row>
    <row r="10" spans="1:18" x14ac:dyDescent="0.25">
      <c r="A10" t="s">
        <v>1577</v>
      </c>
      <c r="B10" t="s">
        <v>425</v>
      </c>
      <c r="C10">
        <v>2100</v>
      </c>
      <c r="D10">
        <v>242880</v>
      </c>
      <c r="E10">
        <v>243100</v>
      </c>
      <c r="F10" s="12">
        <v>46265</v>
      </c>
      <c r="G10">
        <v>38</v>
      </c>
      <c r="H10">
        <v>1039</v>
      </c>
      <c r="I10" t="s">
        <v>1571</v>
      </c>
      <c r="J10" t="s">
        <v>1571</v>
      </c>
      <c r="K10" t="s">
        <v>1608</v>
      </c>
      <c r="L10" t="s">
        <v>1609</v>
      </c>
      <c r="M10" t="s">
        <v>1572</v>
      </c>
      <c r="N10">
        <v>4156</v>
      </c>
      <c r="O10">
        <v>138</v>
      </c>
      <c r="P10">
        <v>0</v>
      </c>
      <c r="Q10">
        <v>0.21</v>
      </c>
    </row>
    <row r="11" spans="1:18" x14ac:dyDescent="0.25">
      <c r="A11" t="s">
        <v>1578</v>
      </c>
      <c r="B11" t="s">
        <v>425</v>
      </c>
      <c r="C11">
        <v>2100</v>
      </c>
      <c r="D11">
        <v>242880</v>
      </c>
      <c r="E11">
        <v>243100</v>
      </c>
      <c r="F11" s="12">
        <v>46265</v>
      </c>
      <c r="G11">
        <v>38</v>
      </c>
      <c r="H11">
        <v>1039</v>
      </c>
      <c r="I11" t="s">
        <v>1571</v>
      </c>
      <c r="J11" t="s">
        <v>1571</v>
      </c>
      <c r="K11" t="s">
        <v>1608</v>
      </c>
      <c r="L11" t="s">
        <v>1609</v>
      </c>
      <c r="M11" t="s">
        <v>1572</v>
      </c>
      <c r="N11">
        <v>4156</v>
      </c>
      <c r="O11">
        <v>138</v>
      </c>
      <c r="P11">
        <v>0</v>
      </c>
      <c r="Q11">
        <v>0.21</v>
      </c>
    </row>
    <row r="12" spans="1:18" x14ac:dyDescent="0.25">
      <c r="A12" t="s">
        <v>1579</v>
      </c>
      <c r="B12" t="s">
        <v>425</v>
      </c>
      <c r="C12">
        <v>2100</v>
      </c>
      <c r="D12">
        <v>242880</v>
      </c>
      <c r="E12">
        <v>243100</v>
      </c>
      <c r="F12" s="12">
        <v>46265</v>
      </c>
      <c r="G12">
        <v>38</v>
      </c>
      <c r="H12">
        <v>1039</v>
      </c>
      <c r="I12" t="s">
        <v>1571</v>
      </c>
      <c r="J12" t="s">
        <v>1571</v>
      </c>
      <c r="K12" t="s">
        <v>1610</v>
      </c>
      <c r="L12" t="s">
        <v>1611</v>
      </c>
      <c r="M12" t="s">
        <v>1572</v>
      </c>
      <c r="N12">
        <v>5131</v>
      </c>
      <c r="O12">
        <v>138</v>
      </c>
      <c r="P12">
        <v>0</v>
      </c>
      <c r="Q12">
        <v>0.21</v>
      </c>
    </row>
    <row r="13" spans="1:18" x14ac:dyDescent="0.25">
      <c r="A13" t="s">
        <v>1580</v>
      </c>
      <c r="B13" t="s">
        <v>425</v>
      </c>
      <c r="C13">
        <v>2100</v>
      </c>
      <c r="D13">
        <v>242880</v>
      </c>
      <c r="E13">
        <v>243100</v>
      </c>
      <c r="F13" s="12">
        <v>46265</v>
      </c>
      <c r="G13">
        <v>38</v>
      </c>
      <c r="H13">
        <v>1039</v>
      </c>
      <c r="I13" t="s">
        <v>1571</v>
      </c>
      <c r="J13" t="s">
        <v>1571</v>
      </c>
      <c r="K13" t="s">
        <v>1612</v>
      </c>
      <c r="L13" t="s">
        <v>1613</v>
      </c>
      <c r="M13" t="s">
        <v>1572</v>
      </c>
      <c r="N13">
        <v>5668</v>
      </c>
      <c r="O13">
        <v>138</v>
      </c>
      <c r="P13">
        <v>0</v>
      </c>
      <c r="Q13">
        <v>0.21</v>
      </c>
    </row>
    <row r="14" spans="1:18" x14ac:dyDescent="0.25">
      <c r="A14" t="s">
        <v>1581</v>
      </c>
      <c r="B14" t="s">
        <v>425</v>
      </c>
      <c r="C14">
        <v>2100</v>
      </c>
      <c r="D14">
        <v>242880</v>
      </c>
      <c r="E14">
        <v>243100</v>
      </c>
      <c r="F14" s="12">
        <v>46265</v>
      </c>
      <c r="G14">
        <v>38</v>
      </c>
      <c r="H14">
        <v>1039</v>
      </c>
      <c r="I14" t="s">
        <v>1571</v>
      </c>
      <c r="J14" t="s">
        <v>1571</v>
      </c>
      <c r="K14" t="s">
        <v>1614</v>
      </c>
      <c r="L14" t="s">
        <v>1615</v>
      </c>
      <c r="M14" t="s">
        <v>1572</v>
      </c>
      <c r="N14">
        <v>5591</v>
      </c>
      <c r="O14">
        <v>138</v>
      </c>
      <c r="P14">
        <v>0</v>
      </c>
      <c r="Q14">
        <v>0.21</v>
      </c>
    </row>
    <row r="15" spans="1:18" x14ac:dyDescent="0.25">
      <c r="A15" t="s">
        <v>1582</v>
      </c>
      <c r="B15" t="s">
        <v>425</v>
      </c>
      <c r="C15">
        <v>2100</v>
      </c>
      <c r="D15">
        <v>242880</v>
      </c>
      <c r="E15">
        <v>243100</v>
      </c>
      <c r="F15" s="12">
        <v>46265</v>
      </c>
      <c r="G15">
        <v>38</v>
      </c>
      <c r="H15">
        <v>1039</v>
      </c>
      <c r="I15" t="s">
        <v>1571</v>
      </c>
      <c r="J15" t="s">
        <v>1571</v>
      </c>
      <c r="K15" t="s">
        <v>1616</v>
      </c>
      <c r="L15" t="s">
        <v>1617</v>
      </c>
      <c r="M15" t="s">
        <v>1572</v>
      </c>
      <c r="N15">
        <v>5639</v>
      </c>
      <c r="O15">
        <v>138</v>
      </c>
      <c r="P15">
        <v>0</v>
      </c>
      <c r="Q15">
        <v>0.21</v>
      </c>
    </row>
    <row r="16" spans="1:18" x14ac:dyDescent="0.25">
      <c r="A16" t="s">
        <v>1583</v>
      </c>
      <c r="B16" t="s">
        <v>425</v>
      </c>
      <c r="C16">
        <v>2100</v>
      </c>
      <c r="D16">
        <v>242880</v>
      </c>
      <c r="E16">
        <v>243100</v>
      </c>
      <c r="F16" s="12">
        <v>46265</v>
      </c>
      <c r="G16">
        <v>38</v>
      </c>
      <c r="H16">
        <v>1039</v>
      </c>
      <c r="I16" t="s">
        <v>1571</v>
      </c>
      <c r="J16" t="s">
        <v>1571</v>
      </c>
      <c r="K16" t="s">
        <v>1618</v>
      </c>
      <c r="L16" t="s">
        <v>1619</v>
      </c>
      <c r="M16" t="s">
        <v>1572</v>
      </c>
      <c r="N16">
        <v>5404</v>
      </c>
      <c r="O16">
        <v>138</v>
      </c>
      <c r="P16">
        <v>0</v>
      </c>
      <c r="Q16">
        <v>0.21</v>
      </c>
    </row>
    <row r="17" spans="1:17" x14ac:dyDescent="0.25">
      <c r="A17" t="s">
        <v>1584</v>
      </c>
      <c r="B17" t="s">
        <v>425</v>
      </c>
      <c r="C17">
        <v>2100</v>
      </c>
      <c r="D17">
        <v>242880</v>
      </c>
      <c r="E17">
        <v>243100</v>
      </c>
      <c r="F17" s="12">
        <v>46265</v>
      </c>
      <c r="G17">
        <v>38</v>
      </c>
      <c r="H17">
        <v>1039</v>
      </c>
      <c r="I17" t="s">
        <v>1571</v>
      </c>
      <c r="J17" t="s">
        <v>1571</v>
      </c>
      <c r="K17" t="s">
        <v>1620</v>
      </c>
      <c r="L17" t="s">
        <v>1621</v>
      </c>
      <c r="M17" t="s">
        <v>1572</v>
      </c>
      <c r="N17">
        <v>6164</v>
      </c>
      <c r="O17">
        <v>138</v>
      </c>
      <c r="P17">
        <v>0</v>
      </c>
      <c r="Q17">
        <v>0.21</v>
      </c>
    </row>
    <row r="18" spans="1:17" x14ac:dyDescent="0.25">
      <c r="A18" t="s">
        <v>1570</v>
      </c>
      <c r="B18" t="s">
        <v>425</v>
      </c>
      <c r="C18">
        <v>2100</v>
      </c>
      <c r="D18">
        <v>243100</v>
      </c>
      <c r="E18">
        <v>243320</v>
      </c>
      <c r="F18" s="12">
        <v>46265</v>
      </c>
      <c r="G18">
        <v>38</v>
      </c>
      <c r="H18">
        <v>1044</v>
      </c>
      <c r="I18" t="s">
        <v>1571</v>
      </c>
      <c r="J18" t="s">
        <v>1571</v>
      </c>
      <c r="K18" t="s">
        <v>1622</v>
      </c>
      <c r="L18" t="s">
        <v>1623</v>
      </c>
      <c r="M18" t="s">
        <v>1572</v>
      </c>
      <c r="N18">
        <v>5691</v>
      </c>
      <c r="O18">
        <v>138</v>
      </c>
      <c r="P18">
        <v>220</v>
      </c>
      <c r="Q18">
        <v>0.21</v>
      </c>
    </row>
    <row r="19" spans="1:17" x14ac:dyDescent="0.25">
      <c r="A19" t="s">
        <v>1573</v>
      </c>
      <c r="B19" t="s">
        <v>425</v>
      </c>
      <c r="C19">
        <v>2100</v>
      </c>
      <c r="D19">
        <v>243100</v>
      </c>
      <c r="E19">
        <v>243320</v>
      </c>
      <c r="F19" s="12">
        <v>46265</v>
      </c>
      <c r="G19">
        <v>38</v>
      </c>
      <c r="H19">
        <v>1044</v>
      </c>
      <c r="I19" t="s">
        <v>1571</v>
      </c>
      <c r="J19" t="s">
        <v>1571</v>
      </c>
      <c r="K19" t="s">
        <v>1624</v>
      </c>
      <c r="L19" t="s">
        <v>1625</v>
      </c>
      <c r="M19" t="s">
        <v>1572</v>
      </c>
      <c r="N19">
        <v>5664</v>
      </c>
      <c r="O19">
        <v>138</v>
      </c>
      <c r="P19">
        <v>220</v>
      </c>
      <c r="Q19">
        <v>0.21</v>
      </c>
    </row>
    <row r="20" spans="1:17" x14ac:dyDescent="0.25">
      <c r="A20" t="s">
        <v>1574</v>
      </c>
      <c r="B20" t="s">
        <v>425</v>
      </c>
      <c r="C20">
        <v>2100</v>
      </c>
      <c r="D20">
        <v>243100</v>
      </c>
      <c r="E20">
        <v>243320</v>
      </c>
      <c r="F20" s="12">
        <v>46265</v>
      </c>
      <c r="G20">
        <v>38</v>
      </c>
      <c r="H20">
        <v>1044</v>
      </c>
      <c r="I20" t="s">
        <v>1571</v>
      </c>
      <c r="J20" t="s">
        <v>1571</v>
      </c>
      <c r="K20" t="s">
        <v>1626</v>
      </c>
      <c r="L20" t="s">
        <v>1627</v>
      </c>
      <c r="M20" t="s">
        <v>1572</v>
      </c>
      <c r="N20">
        <v>5666</v>
      </c>
      <c r="O20">
        <v>138</v>
      </c>
      <c r="P20">
        <v>220</v>
      </c>
      <c r="Q20">
        <v>0.21</v>
      </c>
    </row>
    <row r="21" spans="1:17" x14ac:dyDescent="0.25">
      <c r="A21" t="s">
        <v>1575</v>
      </c>
      <c r="B21" t="s">
        <v>425</v>
      </c>
      <c r="C21">
        <v>2100</v>
      </c>
      <c r="D21">
        <v>243100</v>
      </c>
      <c r="E21">
        <v>243320</v>
      </c>
      <c r="F21" s="12">
        <v>46265</v>
      </c>
      <c r="G21">
        <v>38</v>
      </c>
      <c r="H21">
        <v>1044</v>
      </c>
      <c r="I21" t="s">
        <v>1571</v>
      </c>
      <c r="J21" t="s">
        <v>1571</v>
      </c>
      <c r="K21" t="s">
        <v>1628</v>
      </c>
      <c r="L21" t="s">
        <v>1629</v>
      </c>
      <c r="M21" t="s">
        <v>1572</v>
      </c>
      <c r="N21">
        <v>5178</v>
      </c>
      <c r="O21">
        <v>138</v>
      </c>
      <c r="P21">
        <v>220</v>
      </c>
      <c r="Q21">
        <v>0.21</v>
      </c>
    </row>
    <row r="22" spans="1:17" x14ac:dyDescent="0.25">
      <c r="A22" t="s">
        <v>1576</v>
      </c>
      <c r="B22" t="s">
        <v>425</v>
      </c>
      <c r="C22">
        <v>2100</v>
      </c>
      <c r="D22">
        <v>243100</v>
      </c>
      <c r="E22">
        <v>243320</v>
      </c>
      <c r="F22" s="12">
        <v>46265</v>
      </c>
      <c r="G22">
        <v>38</v>
      </c>
      <c r="H22">
        <v>1044</v>
      </c>
      <c r="I22" t="s">
        <v>1571</v>
      </c>
      <c r="J22" t="s">
        <v>1571</v>
      </c>
      <c r="K22" t="s">
        <v>1630</v>
      </c>
      <c r="L22" t="s">
        <v>1631</v>
      </c>
      <c r="M22" t="s">
        <v>1572</v>
      </c>
      <c r="N22">
        <v>5587</v>
      </c>
      <c r="O22">
        <v>138</v>
      </c>
      <c r="P22">
        <v>220</v>
      </c>
      <c r="Q22">
        <v>0.21</v>
      </c>
    </row>
    <row r="23" spans="1:17" x14ac:dyDescent="0.25">
      <c r="A23" t="s">
        <v>1577</v>
      </c>
      <c r="B23" t="s">
        <v>425</v>
      </c>
      <c r="C23">
        <v>2100</v>
      </c>
      <c r="D23">
        <v>243100</v>
      </c>
      <c r="E23">
        <v>243320</v>
      </c>
      <c r="F23" s="12">
        <v>46265</v>
      </c>
      <c r="G23">
        <v>38</v>
      </c>
      <c r="H23">
        <v>1044</v>
      </c>
      <c r="I23" t="s">
        <v>1571</v>
      </c>
      <c r="J23" t="s">
        <v>1571</v>
      </c>
      <c r="K23" t="s">
        <v>1608</v>
      </c>
      <c r="L23" t="s">
        <v>1632</v>
      </c>
      <c r="M23" t="s">
        <v>1572</v>
      </c>
      <c r="N23">
        <v>4176</v>
      </c>
      <c r="O23">
        <v>138</v>
      </c>
      <c r="P23">
        <v>220</v>
      </c>
      <c r="Q23">
        <v>0.21</v>
      </c>
    </row>
    <row r="24" spans="1:17" x14ac:dyDescent="0.25">
      <c r="A24" t="s">
        <v>1578</v>
      </c>
      <c r="B24" t="s">
        <v>425</v>
      </c>
      <c r="C24">
        <v>2100</v>
      </c>
      <c r="D24">
        <v>243100</v>
      </c>
      <c r="E24">
        <v>243320</v>
      </c>
      <c r="F24" s="12">
        <v>46265</v>
      </c>
      <c r="G24">
        <v>38</v>
      </c>
      <c r="H24">
        <v>1044</v>
      </c>
      <c r="I24" t="s">
        <v>1571</v>
      </c>
      <c r="J24" t="s">
        <v>1571</v>
      </c>
      <c r="K24" t="s">
        <v>1608</v>
      </c>
      <c r="L24" t="s">
        <v>1632</v>
      </c>
      <c r="M24" t="s">
        <v>1572</v>
      </c>
      <c r="N24">
        <v>4176</v>
      </c>
      <c r="O24">
        <v>138</v>
      </c>
      <c r="P24">
        <v>220</v>
      </c>
      <c r="Q24">
        <v>0.21</v>
      </c>
    </row>
    <row r="25" spans="1:17" x14ac:dyDescent="0.25">
      <c r="A25" t="s">
        <v>1579</v>
      </c>
      <c r="B25" t="s">
        <v>425</v>
      </c>
      <c r="C25">
        <v>2100</v>
      </c>
      <c r="D25">
        <v>243100</v>
      </c>
      <c r="E25">
        <v>243320</v>
      </c>
      <c r="F25" s="12">
        <v>46265</v>
      </c>
      <c r="G25">
        <v>38</v>
      </c>
      <c r="H25">
        <v>1044</v>
      </c>
      <c r="I25" t="s">
        <v>1571</v>
      </c>
      <c r="J25" t="s">
        <v>1571</v>
      </c>
      <c r="K25" t="s">
        <v>1633</v>
      </c>
      <c r="L25" t="s">
        <v>1634</v>
      </c>
      <c r="M25" t="s">
        <v>1572</v>
      </c>
      <c r="N25">
        <v>5584</v>
      </c>
      <c r="O25">
        <v>138</v>
      </c>
      <c r="P25">
        <v>220</v>
      </c>
      <c r="Q25">
        <v>0.21</v>
      </c>
    </row>
    <row r="26" spans="1:17" x14ac:dyDescent="0.25">
      <c r="A26" t="s">
        <v>1580</v>
      </c>
      <c r="B26" t="s">
        <v>425</v>
      </c>
      <c r="C26">
        <v>2100</v>
      </c>
      <c r="D26">
        <v>243100</v>
      </c>
      <c r="E26">
        <v>243320</v>
      </c>
      <c r="F26" s="12">
        <v>46265</v>
      </c>
      <c r="G26">
        <v>38</v>
      </c>
      <c r="H26">
        <v>1044</v>
      </c>
      <c r="I26" t="s">
        <v>1571</v>
      </c>
      <c r="J26" t="s">
        <v>1571</v>
      </c>
      <c r="K26" t="s">
        <v>1635</v>
      </c>
      <c r="L26" t="s">
        <v>1636</v>
      </c>
      <c r="M26" t="s">
        <v>1572</v>
      </c>
      <c r="N26">
        <v>5634</v>
      </c>
      <c r="O26">
        <v>138</v>
      </c>
      <c r="P26">
        <v>220</v>
      </c>
      <c r="Q26">
        <v>0.21</v>
      </c>
    </row>
    <row r="27" spans="1:17" x14ac:dyDescent="0.25">
      <c r="A27" t="s">
        <v>1581</v>
      </c>
      <c r="B27" t="s">
        <v>425</v>
      </c>
      <c r="C27">
        <v>2100</v>
      </c>
      <c r="D27">
        <v>243100</v>
      </c>
      <c r="E27">
        <v>243320</v>
      </c>
      <c r="F27" s="12">
        <v>46265</v>
      </c>
      <c r="G27">
        <v>38</v>
      </c>
      <c r="H27">
        <v>1044</v>
      </c>
      <c r="I27" t="s">
        <v>1571</v>
      </c>
      <c r="J27" t="s">
        <v>1571</v>
      </c>
      <c r="K27" t="s">
        <v>1637</v>
      </c>
      <c r="L27" t="s">
        <v>1638</v>
      </c>
      <c r="M27" t="s">
        <v>1572</v>
      </c>
      <c r="N27">
        <v>5630</v>
      </c>
      <c r="O27">
        <v>138</v>
      </c>
      <c r="P27">
        <v>220</v>
      </c>
      <c r="Q27">
        <v>0.21</v>
      </c>
    </row>
    <row r="28" spans="1:17" x14ac:dyDescent="0.25">
      <c r="A28" t="s">
        <v>1582</v>
      </c>
      <c r="B28" t="s">
        <v>425</v>
      </c>
      <c r="C28">
        <v>2100</v>
      </c>
      <c r="D28">
        <v>243100</v>
      </c>
      <c r="E28">
        <v>243320</v>
      </c>
      <c r="F28" s="12">
        <v>46265</v>
      </c>
      <c r="G28">
        <v>38</v>
      </c>
      <c r="H28">
        <v>1044</v>
      </c>
      <c r="I28" t="s">
        <v>1571</v>
      </c>
      <c r="J28" t="s">
        <v>1571</v>
      </c>
      <c r="K28" t="s">
        <v>1639</v>
      </c>
      <c r="L28" t="s">
        <v>1640</v>
      </c>
      <c r="M28" t="s">
        <v>1572</v>
      </c>
      <c r="N28">
        <v>5658</v>
      </c>
      <c r="O28">
        <v>138</v>
      </c>
      <c r="P28">
        <v>220</v>
      </c>
      <c r="Q28">
        <v>0.21</v>
      </c>
    </row>
    <row r="29" spans="1:17" x14ac:dyDescent="0.25">
      <c r="A29" t="s">
        <v>1583</v>
      </c>
      <c r="B29" t="s">
        <v>425</v>
      </c>
      <c r="C29">
        <v>2100</v>
      </c>
      <c r="D29">
        <v>243100</v>
      </c>
      <c r="E29">
        <v>243320</v>
      </c>
      <c r="F29" s="12">
        <v>46265</v>
      </c>
      <c r="G29">
        <v>38</v>
      </c>
      <c r="H29">
        <v>1044</v>
      </c>
      <c r="I29" t="s">
        <v>1571</v>
      </c>
      <c r="J29" t="s">
        <v>1571</v>
      </c>
      <c r="K29" t="s">
        <v>1641</v>
      </c>
      <c r="L29" t="s">
        <v>1642</v>
      </c>
      <c r="M29" t="s">
        <v>1572</v>
      </c>
      <c r="N29">
        <v>5646</v>
      </c>
      <c r="O29">
        <v>138</v>
      </c>
      <c r="P29">
        <v>220</v>
      </c>
      <c r="Q29">
        <v>0.21</v>
      </c>
    </row>
    <row r="30" spans="1:17" x14ac:dyDescent="0.25">
      <c r="A30" t="s">
        <v>1584</v>
      </c>
      <c r="B30" t="s">
        <v>425</v>
      </c>
      <c r="C30">
        <v>2100</v>
      </c>
      <c r="D30">
        <v>243100</v>
      </c>
      <c r="E30">
        <v>243320</v>
      </c>
      <c r="F30" s="12">
        <v>46265</v>
      </c>
      <c r="G30">
        <v>38</v>
      </c>
      <c r="H30">
        <v>1044</v>
      </c>
      <c r="I30" t="s">
        <v>1571</v>
      </c>
      <c r="J30" t="s">
        <v>1571</v>
      </c>
      <c r="K30" t="s">
        <v>1643</v>
      </c>
      <c r="L30" t="s">
        <v>1644</v>
      </c>
      <c r="M30" t="s">
        <v>1572</v>
      </c>
      <c r="N30">
        <v>6135</v>
      </c>
      <c r="O30">
        <v>138</v>
      </c>
      <c r="P30">
        <v>220</v>
      </c>
      <c r="Q30">
        <v>0.21</v>
      </c>
    </row>
    <row r="31" spans="1:17" x14ac:dyDescent="0.25">
      <c r="A31" t="s">
        <v>1570</v>
      </c>
      <c r="B31" t="s">
        <v>425</v>
      </c>
      <c r="C31">
        <v>2100</v>
      </c>
      <c r="D31">
        <v>243320</v>
      </c>
      <c r="E31">
        <v>243540</v>
      </c>
      <c r="F31" s="12">
        <v>46265</v>
      </c>
      <c r="G31">
        <v>38</v>
      </c>
      <c r="H31">
        <v>1042</v>
      </c>
      <c r="I31" t="s">
        <v>1571</v>
      </c>
      <c r="J31" t="s">
        <v>1571</v>
      </c>
      <c r="K31" t="s">
        <v>1645</v>
      </c>
      <c r="L31" t="s">
        <v>1646</v>
      </c>
      <c r="M31" t="s">
        <v>1572</v>
      </c>
      <c r="N31">
        <v>5601</v>
      </c>
      <c r="O31">
        <v>138</v>
      </c>
      <c r="P31">
        <v>440</v>
      </c>
      <c r="Q31">
        <v>0.21</v>
      </c>
    </row>
    <row r="32" spans="1:17" x14ac:dyDescent="0.25">
      <c r="A32" t="s">
        <v>1573</v>
      </c>
      <c r="B32" t="s">
        <v>425</v>
      </c>
      <c r="C32">
        <v>2100</v>
      </c>
      <c r="D32">
        <v>243320</v>
      </c>
      <c r="E32">
        <v>243540</v>
      </c>
      <c r="F32" s="12">
        <v>46265</v>
      </c>
      <c r="G32">
        <v>38</v>
      </c>
      <c r="H32">
        <v>1042</v>
      </c>
      <c r="I32" t="s">
        <v>1571</v>
      </c>
      <c r="J32" t="s">
        <v>1571</v>
      </c>
      <c r="K32" t="s">
        <v>1647</v>
      </c>
      <c r="L32" t="s">
        <v>1648</v>
      </c>
      <c r="M32" t="s">
        <v>1572</v>
      </c>
      <c r="N32">
        <v>5643</v>
      </c>
      <c r="O32">
        <v>138</v>
      </c>
      <c r="P32">
        <v>440</v>
      </c>
      <c r="Q32">
        <v>0.21</v>
      </c>
    </row>
    <row r="33" spans="1:17" x14ac:dyDescent="0.25">
      <c r="A33" t="s">
        <v>1574</v>
      </c>
      <c r="B33" t="s">
        <v>425</v>
      </c>
      <c r="C33">
        <v>2100</v>
      </c>
      <c r="D33">
        <v>243320</v>
      </c>
      <c r="E33">
        <v>243540</v>
      </c>
      <c r="F33" s="12">
        <v>46265</v>
      </c>
      <c r="G33">
        <v>38</v>
      </c>
      <c r="H33">
        <v>1042</v>
      </c>
      <c r="I33" t="s">
        <v>1571</v>
      </c>
      <c r="J33" t="s">
        <v>1571</v>
      </c>
      <c r="K33" t="s">
        <v>1649</v>
      </c>
      <c r="L33" t="s">
        <v>1650</v>
      </c>
      <c r="M33" t="s">
        <v>1572</v>
      </c>
      <c r="N33">
        <v>5869</v>
      </c>
      <c r="O33">
        <v>138</v>
      </c>
      <c r="P33">
        <v>440</v>
      </c>
      <c r="Q33">
        <v>0.21</v>
      </c>
    </row>
    <row r="34" spans="1:17" x14ac:dyDescent="0.25">
      <c r="A34" t="s">
        <v>1575</v>
      </c>
      <c r="B34" t="s">
        <v>425</v>
      </c>
      <c r="C34">
        <v>2100</v>
      </c>
      <c r="D34">
        <v>243320</v>
      </c>
      <c r="E34">
        <v>243540</v>
      </c>
      <c r="F34" s="12">
        <v>46265</v>
      </c>
      <c r="G34">
        <v>38</v>
      </c>
      <c r="H34">
        <v>1042</v>
      </c>
      <c r="I34" t="s">
        <v>1571</v>
      </c>
      <c r="J34" t="s">
        <v>1571</v>
      </c>
      <c r="K34" t="s">
        <v>1651</v>
      </c>
      <c r="L34" t="s">
        <v>1652</v>
      </c>
      <c r="M34" t="s">
        <v>1572</v>
      </c>
      <c r="N34">
        <v>5563</v>
      </c>
      <c r="O34">
        <v>138</v>
      </c>
      <c r="P34">
        <v>440</v>
      </c>
      <c r="Q34">
        <v>0.21</v>
      </c>
    </row>
    <row r="35" spans="1:17" x14ac:dyDescent="0.25">
      <c r="A35" t="s">
        <v>1576</v>
      </c>
      <c r="B35" t="s">
        <v>425</v>
      </c>
      <c r="C35">
        <v>2100</v>
      </c>
      <c r="D35">
        <v>243320</v>
      </c>
      <c r="E35">
        <v>243540</v>
      </c>
      <c r="F35" s="12">
        <v>46265</v>
      </c>
      <c r="G35">
        <v>38</v>
      </c>
      <c r="H35">
        <v>1042</v>
      </c>
      <c r="I35" t="s">
        <v>1571</v>
      </c>
      <c r="J35" t="s">
        <v>1571</v>
      </c>
      <c r="K35" t="s">
        <v>1653</v>
      </c>
      <c r="L35" t="s">
        <v>1654</v>
      </c>
      <c r="M35" t="s">
        <v>1572</v>
      </c>
      <c r="N35">
        <v>5315</v>
      </c>
      <c r="O35">
        <v>138</v>
      </c>
      <c r="P35">
        <v>440</v>
      </c>
      <c r="Q35">
        <v>0.21</v>
      </c>
    </row>
    <row r="36" spans="1:17" x14ac:dyDescent="0.25">
      <c r="A36" t="s">
        <v>1577</v>
      </c>
      <c r="B36" t="s">
        <v>425</v>
      </c>
      <c r="C36">
        <v>2100</v>
      </c>
      <c r="D36">
        <v>243320</v>
      </c>
      <c r="E36">
        <v>243540</v>
      </c>
      <c r="F36" s="12">
        <v>46265</v>
      </c>
      <c r="G36">
        <v>38</v>
      </c>
      <c r="H36">
        <v>1042</v>
      </c>
      <c r="I36" t="s">
        <v>1571</v>
      </c>
      <c r="J36" t="s">
        <v>1571</v>
      </c>
      <c r="K36" t="s">
        <v>1655</v>
      </c>
      <c r="L36" t="s">
        <v>1656</v>
      </c>
      <c r="M36" t="s">
        <v>1572</v>
      </c>
      <c r="N36">
        <v>4185</v>
      </c>
      <c r="O36">
        <v>138</v>
      </c>
      <c r="P36">
        <v>440</v>
      </c>
      <c r="Q36">
        <v>0.21</v>
      </c>
    </row>
    <row r="37" spans="1:17" x14ac:dyDescent="0.25">
      <c r="A37" t="s">
        <v>1578</v>
      </c>
      <c r="B37" t="s">
        <v>425</v>
      </c>
      <c r="C37">
        <v>2100</v>
      </c>
      <c r="D37">
        <v>243320</v>
      </c>
      <c r="E37">
        <v>243540</v>
      </c>
      <c r="F37" s="12">
        <v>46265</v>
      </c>
      <c r="G37">
        <v>38</v>
      </c>
      <c r="H37">
        <v>1042</v>
      </c>
      <c r="I37" t="s">
        <v>1571</v>
      </c>
      <c r="J37" t="s">
        <v>1571</v>
      </c>
      <c r="K37" t="s">
        <v>1608</v>
      </c>
      <c r="L37" t="s">
        <v>1657</v>
      </c>
      <c r="M37" t="s">
        <v>1572</v>
      </c>
      <c r="N37">
        <v>4168</v>
      </c>
      <c r="O37">
        <v>138</v>
      </c>
      <c r="P37">
        <v>440</v>
      </c>
      <c r="Q37">
        <v>0.21</v>
      </c>
    </row>
    <row r="38" spans="1:17" x14ac:dyDescent="0.25">
      <c r="A38" t="s">
        <v>1579</v>
      </c>
      <c r="B38" t="s">
        <v>425</v>
      </c>
      <c r="C38">
        <v>2100</v>
      </c>
      <c r="D38">
        <v>243320</v>
      </c>
      <c r="E38">
        <v>243540</v>
      </c>
      <c r="F38" s="12">
        <v>46265</v>
      </c>
      <c r="G38">
        <v>38</v>
      </c>
      <c r="H38">
        <v>1042</v>
      </c>
      <c r="I38" t="s">
        <v>1571</v>
      </c>
      <c r="J38" t="s">
        <v>1571</v>
      </c>
      <c r="K38" t="s">
        <v>1658</v>
      </c>
      <c r="L38" t="s">
        <v>1659</v>
      </c>
      <c r="M38" t="s">
        <v>1572</v>
      </c>
      <c r="N38">
        <v>5413</v>
      </c>
      <c r="O38">
        <v>138</v>
      </c>
      <c r="P38">
        <v>440</v>
      </c>
      <c r="Q38">
        <v>0.21</v>
      </c>
    </row>
    <row r="39" spans="1:17" x14ac:dyDescent="0.25">
      <c r="A39" t="s">
        <v>1580</v>
      </c>
      <c r="B39" t="s">
        <v>425</v>
      </c>
      <c r="C39">
        <v>2100</v>
      </c>
      <c r="D39">
        <v>243320</v>
      </c>
      <c r="E39">
        <v>243540</v>
      </c>
      <c r="F39" s="12">
        <v>46265</v>
      </c>
      <c r="G39">
        <v>38</v>
      </c>
      <c r="H39">
        <v>1042</v>
      </c>
      <c r="I39" t="s">
        <v>1571</v>
      </c>
      <c r="J39" t="s">
        <v>1571</v>
      </c>
      <c r="K39" t="s">
        <v>1660</v>
      </c>
      <c r="L39" t="s">
        <v>1661</v>
      </c>
      <c r="M39" t="s">
        <v>1572</v>
      </c>
      <c r="N39">
        <v>5684</v>
      </c>
      <c r="O39">
        <v>138</v>
      </c>
      <c r="P39">
        <v>440</v>
      </c>
      <c r="Q39">
        <v>0.21</v>
      </c>
    </row>
    <row r="40" spans="1:17" x14ac:dyDescent="0.25">
      <c r="A40" t="s">
        <v>1581</v>
      </c>
      <c r="B40" t="s">
        <v>425</v>
      </c>
      <c r="C40">
        <v>2100</v>
      </c>
      <c r="D40">
        <v>243320</v>
      </c>
      <c r="E40">
        <v>243540</v>
      </c>
      <c r="F40" s="12">
        <v>46265</v>
      </c>
      <c r="G40">
        <v>38</v>
      </c>
      <c r="H40">
        <v>1042</v>
      </c>
      <c r="I40" t="s">
        <v>1571</v>
      </c>
      <c r="J40" t="s">
        <v>1571</v>
      </c>
      <c r="K40" t="s">
        <v>1662</v>
      </c>
      <c r="L40" t="s">
        <v>1663</v>
      </c>
      <c r="M40" t="s">
        <v>1572</v>
      </c>
      <c r="N40">
        <v>5629</v>
      </c>
      <c r="O40">
        <v>138</v>
      </c>
      <c r="P40">
        <v>440</v>
      </c>
      <c r="Q40">
        <v>0.21</v>
      </c>
    </row>
    <row r="41" spans="1:17" x14ac:dyDescent="0.25">
      <c r="A41" t="s">
        <v>1582</v>
      </c>
      <c r="B41" t="s">
        <v>425</v>
      </c>
      <c r="C41">
        <v>2100</v>
      </c>
      <c r="D41">
        <v>243320</v>
      </c>
      <c r="E41">
        <v>243540</v>
      </c>
      <c r="F41" s="12">
        <v>46265</v>
      </c>
      <c r="G41">
        <v>38</v>
      </c>
      <c r="H41">
        <v>1042</v>
      </c>
      <c r="I41" t="s">
        <v>1571</v>
      </c>
      <c r="J41" t="s">
        <v>1571</v>
      </c>
      <c r="K41" t="s">
        <v>1664</v>
      </c>
      <c r="L41" t="s">
        <v>1665</v>
      </c>
      <c r="M41" t="s">
        <v>1572</v>
      </c>
      <c r="N41">
        <v>5636</v>
      </c>
      <c r="O41">
        <v>138</v>
      </c>
      <c r="P41">
        <v>440</v>
      </c>
      <c r="Q41">
        <v>0.21</v>
      </c>
    </row>
    <row r="42" spans="1:17" x14ac:dyDescent="0.25">
      <c r="A42" t="s">
        <v>1583</v>
      </c>
      <c r="B42" t="s">
        <v>425</v>
      </c>
      <c r="C42">
        <v>2100</v>
      </c>
      <c r="D42">
        <v>243320</v>
      </c>
      <c r="E42">
        <v>243540</v>
      </c>
      <c r="F42" s="12">
        <v>46265</v>
      </c>
      <c r="G42">
        <v>38</v>
      </c>
      <c r="H42">
        <v>1042</v>
      </c>
      <c r="I42" t="s">
        <v>1571</v>
      </c>
      <c r="J42" t="s">
        <v>1571</v>
      </c>
      <c r="K42" t="s">
        <v>1666</v>
      </c>
      <c r="L42" t="s">
        <v>1667</v>
      </c>
      <c r="M42" t="s">
        <v>1572</v>
      </c>
      <c r="N42">
        <v>5461</v>
      </c>
      <c r="O42">
        <v>138</v>
      </c>
      <c r="P42">
        <v>440</v>
      </c>
      <c r="Q42">
        <v>0.21</v>
      </c>
    </row>
    <row r="43" spans="1:17" x14ac:dyDescent="0.25">
      <c r="A43" t="s">
        <v>1584</v>
      </c>
      <c r="B43" t="s">
        <v>425</v>
      </c>
      <c r="C43">
        <v>2100</v>
      </c>
      <c r="D43">
        <v>243320</v>
      </c>
      <c r="E43">
        <v>243540</v>
      </c>
      <c r="F43" s="12">
        <v>46265</v>
      </c>
      <c r="G43">
        <v>38</v>
      </c>
      <c r="H43">
        <v>1042</v>
      </c>
      <c r="I43" t="s">
        <v>1571</v>
      </c>
      <c r="J43" t="s">
        <v>1571</v>
      </c>
      <c r="K43" t="s">
        <v>1668</v>
      </c>
      <c r="L43" t="s">
        <v>1669</v>
      </c>
      <c r="M43" t="s">
        <v>1572</v>
      </c>
      <c r="N43">
        <v>6166</v>
      </c>
      <c r="O43">
        <v>138</v>
      </c>
      <c r="P43">
        <v>440</v>
      </c>
      <c r="Q43">
        <v>0.21</v>
      </c>
    </row>
    <row r="44" spans="1:17" x14ac:dyDescent="0.25">
      <c r="A44" t="s">
        <v>1570</v>
      </c>
      <c r="B44" t="s">
        <v>425</v>
      </c>
      <c r="C44">
        <v>2100</v>
      </c>
      <c r="D44">
        <v>243540</v>
      </c>
      <c r="E44">
        <v>243760</v>
      </c>
      <c r="F44" s="12">
        <v>46265</v>
      </c>
      <c r="G44">
        <v>38</v>
      </c>
      <c r="H44">
        <v>1055</v>
      </c>
      <c r="I44" t="s">
        <v>1571</v>
      </c>
      <c r="J44" t="s">
        <v>1571</v>
      </c>
      <c r="K44" t="s">
        <v>1670</v>
      </c>
      <c r="L44" t="s">
        <v>1671</v>
      </c>
      <c r="M44" t="s">
        <v>1572</v>
      </c>
      <c r="N44">
        <v>5761</v>
      </c>
      <c r="O44">
        <v>138</v>
      </c>
      <c r="P44">
        <v>660</v>
      </c>
      <c r="Q44">
        <v>0.21</v>
      </c>
    </row>
    <row r="45" spans="1:17" x14ac:dyDescent="0.25">
      <c r="A45" t="s">
        <v>1573</v>
      </c>
      <c r="B45" t="s">
        <v>425</v>
      </c>
      <c r="C45">
        <v>2100</v>
      </c>
      <c r="D45">
        <v>243540</v>
      </c>
      <c r="E45">
        <v>243760</v>
      </c>
      <c r="F45" s="12">
        <v>46265</v>
      </c>
      <c r="G45">
        <v>38</v>
      </c>
      <c r="H45">
        <v>1055</v>
      </c>
      <c r="I45" t="s">
        <v>1571</v>
      </c>
      <c r="J45" t="s">
        <v>1571</v>
      </c>
      <c r="K45" t="s">
        <v>1672</v>
      </c>
      <c r="L45" t="s">
        <v>1673</v>
      </c>
      <c r="M45" t="s">
        <v>1572</v>
      </c>
      <c r="N45">
        <v>5748</v>
      </c>
      <c r="O45">
        <v>138</v>
      </c>
      <c r="P45">
        <v>660</v>
      </c>
      <c r="Q45">
        <v>0.21</v>
      </c>
    </row>
    <row r="46" spans="1:17" x14ac:dyDescent="0.25">
      <c r="A46" t="s">
        <v>1574</v>
      </c>
      <c r="B46" t="s">
        <v>425</v>
      </c>
      <c r="C46">
        <v>2100</v>
      </c>
      <c r="D46">
        <v>243540</v>
      </c>
      <c r="E46">
        <v>243760</v>
      </c>
      <c r="F46" s="12">
        <v>46265</v>
      </c>
      <c r="G46">
        <v>38</v>
      </c>
      <c r="H46">
        <v>1055</v>
      </c>
      <c r="I46" t="s">
        <v>1571</v>
      </c>
      <c r="J46" t="s">
        <v>1571</v>
      </c>
      <c r="K46" t="s">
        <v>1674</v>
      </c>
      <c r="L46" t="s">
        <v>1675</v>
      </c>
      <c r="M46" t="s">
        <v>1572</v>
      </c>
      <c r="N46">
        <v>6815</v>
      </c>
      <c r="O46">
        <v>138</v>
      </c>
      <c r="P46">
        <v>660</v>
      </c>
      <c r="Q46">
        <v>0.21</v>
      </c>
    </row>
    <row r="47" spans="1:17" x14ac:dyDescent="0.25">
      <c r="A47" t="s">
        <v>1575</v>
      </c>
      <c r="B47" t="s">
        <v>425</v>
      </c>
      <c r="C47">
        <v>2100</v>
      </c>
      <c r="D47">
        <v>243540</v>
      </c>
      <c r="E47">
        <v>243760</v>
      </c>
      <c r="F47" s="12">
        <v>46265</v>
      </c>
      <c r="G47">
        <v>38</v>
      </c>
      <c r="H47">
        <v>1055</v>
      </c>
      <c r="I47" t="s">
        <v>1571</v>
      </c>
      <c r="J47" t="s">
        <v>1571</v>
      </c>
      <c r="K47" t="s">
        <v>1676</v>
      </c>
      <c r="L47" t="s">
        <v>1677</v>
      </c>
      <c r="M47" t="s">
        <v>1572</v>
      </c>
      <c r="N47">
        <v>6982</v>
      </c>
      <c r="O47">
        <v>138</v>
      </c>
      <c r="P47">
        <v>660</v>
      </c>
      <c r="Q47">
        <v>0.21</v>
      </c>
    </row>
    <row r="48" spans="1:17" x14ac:dyDescent="0.25">
      <c r="A48" t="s">
        <v>1576</v>
      </c>
      <c r="B48" t="s">
        <v>425</v>
      </c>
      <c r="C48">
        <v>2100</v>
      </c>
      <c r="D48">
        <v>243540</v>
      </c>
      <c r="E48">
        <v>243760</v>
      </c>
      <c r="F48" s="12">
        <v>46265</v>
      </c>
      <c r="G48">
        <v>38</v>
      </c>
      <c r="H48">
        <v>1055</v>
      </c>
      <c r="I48" t="s">
        <v>1571</v>
      </c>
      <c r="J48" t="s">
        <v>1571</v>
      </c>
      <c r="K48" t="s">
        <v>1678</v>
      </c>
      <c r="L48" t="s">
        <v>1679</v>
      </c>
      <c r="M48" t="s">
        <v>1572</v>
      </c>
      <c r="N48">
        <v>6223</v>
      </c>
      <c r="O48">
        <v>138</v>
      </c>
      <c r="P48">
        <v>660</v>
      </c>
      <c r="Q48">
        <v>0.21</v>
      </c>
    </row>
    <row r="49" spans="1:17" x14ac:dyDescent="0.25">
      <c r="A49" t="s">
        <v>1577</v>
      </c>
      <c r="B49" t="s">
        <v>425</v>
      </c>
      <c r="C49">
        <v>2100</v>
      </c>
      <c r="D49">
        <v>243540</v>
      </c>
      <c r="E49">
        <v>243760</v>
      </c>
      <c r="F49" s="12">
        <v>46265</v>
      </c>
      <c r="G49">
        <v>38</v>
      </c>
      <c r="H49">
        <v>1055</v>
      </c>
      <c r="I49" t="s">
        <v>1571</v>
      </c>
      <c r="J49" t="s">
        <v>1571</v>
      </c>
      <c r="K49" t="s">
        <v>1608</v>
      </c>
      <c r="L49" t="s">
        <v>1680</v>
      </c>
      <c r="M49" t="s">
        <v>1572</v>
      </c>
      <c r="N49">
        <v>4220</v>
      </c>
      <c r="O49">
        <v>138</v>
      </c>
      <c r="P49">
        <v>660</v>
      </c>
      <c r="Q49">
        <v>0.21</v>
      </c>
    </row>
    <row r="50" spans="1:17" x14ac:dyDescent="0.25">
      <c r="A50" t="s">
        <v>1578</v>
      </c>
      <c r="B50" t="s">
        <v>425</v>
      </c>
      <c r="C50">
        <v>2100</v>
      </c>
      <c r="D50">
        <v>243540</v>
      </c>
      <c r="E50">
        <v>243760</v>
      </c>
      <c r="F50" s="12">
        <v>46265</v>
      </c>
      <c r="G50">
        <v>38</v>
      </c>
      <c r="H50">
        <v>1055</v>
      </c>
      <c r="I50" t="s">
        <v>1571</v>
      </c>
      <c r="J50" t="s">
        <v>1571</v>
      </c>
      <c r="K50" t="s">
        <v>1608</v>
      </c>
      <c r="L50" t="s">
        <v>1680</v>
      </c>
      <c r="M50" t="s">
        <v>1572</v>
      </c>
      <c r="N50">
        <v>4220</v>
      </c>
      <c r="O50">
        <v>138</v>
      </c>
      <c r="P50">
        <v>660</v>
      </c>
      <c r="Q50">
        <v>0.21</v>
      </c>
    </row>
    <row r="51" spans="1:17" x14ac:dyDescent="0.25">
      <c r="A51" t="s">
        <v>1579</v>
      </c>
      <c r="B51" t="s">
        <v>425</v>
      </c>
      <c r="C51">
        <v>2100</v>
      </c>
      <c r="D51">
        <v>243540</v>
      </c>
      <c r="E51">
        <v>243760</v>
      </c>
      <c r="F51" s="12">
        <v>46265</v>
      </c>
      <c r="G51">
        <v>38</v>
      </c>
      <c r="H51">
        <v>1055</v>
      </c>
      <c r="I51" t="s">
        <v>1571</v>
      </c>
      <c r="J51" t="s">
        <v>1571</v>
      </c>
      <c r="K51" t="s">
        <v>1681</v>
      </c>
      <c r="L51" t="s">
        <v>1682</v>
      </c>
      <c r="M51" t="s">
        <v>1572</v>
      </c>
      <c r="N51">
        <v>5663</v>
      </c>
      <c r="O51">
        <v>138</v>
      </c>
      <c r="P51">
        <v>660</v>
      </c>
      <c r="Q51">
        <v>0.21</v>
      </c>
    </row>
    <row r="52" spans="1:17" x14ac:dyDescent="0.25">
      <c r="A52" t="s">
        <v>1580</v>
      </c>
      <c r="B52" t="s">
        <v>425</v>
      </c>
      <c r="C52">
        <v>2100</v>
      </c>
      <c r="D52">
        <v>243540</v>
      </c>
      <c r="E52">
        <v>243760</v>
      </c>
      <c r="F52" s="12">
        <v>46265</v>
      </c>
      <c r="G52">
        <v>38</v>
      </c>
      <c r="H52">
        <v>1055</v>
      </c>
      <c r="I52" t="s">
        <v>1571</v>
      </c>
      <c r="J52" t="s">
        <v>1571</v>
      </c>
      <c r="K52" t="s">
        <v>1683</v>
      </c>
      <c r="L52" t="s">
        <v>1684</v>
      </c>
      <c r="M52" t="s">
        <v>1572</v>
      </c>
      <c r="N52">
        <v>5717</v>
      </c>
      <c r="O52">
        <v>138</v>
      </c>
      <c r="P52">
        <v>660</v>
      </c>
      <c r="Q52">
        <v>0.21</v>
      </c>
    </row>
    <row r="53" spans="1:17" x14ac:dyDescent="0.25">
      <c r="A53" t="s">
        <v>1581</v>
      </c>
      <c r="B53" t="s">
        <v>425</v>
      </c>
      <c r="C53">
        <v>2100</v>
      </c>
      <c r="D53">
        <v>243540</v>
      </c>
      <c r="E53">
        <v>243760</v>
      </c>
      <c r="F53" s="12">
        <v>46265</v>
      </c>
      <c r="G53">
        <v>38</v>
      </c>
      <c r="H53">
        <v>1055</v>
      </c>
      <c r="I53" t="s">
        <v>1571</v>
      </c>
      <c r="J53" t="s">
        <v>1571</v>
      </c>
      <c r="K53" t="s">
        <v>1685</v>
      </c>
      <c r="L53" t="s">
        <v>1686</v>
      </c>
      <c r="M53" t="s">
        <v>1572</v>
      </c>
      <c r="N53">
        <v>5702</v>
      </c>
      <c r="O53">
        <v>138</v>
      </c>
      <c r="P53">
        <v>660</v>
      </c>
      <c r="Q53">
        <v>0.21</v>
      </c>
    </row>
    <row r="54" spans="1:17" x14ac:dyDescent="0.25">
      <c r="A54" t="s">
        <v>1582</v>
      </c>
      <c r="B54" t="s">
        <v>425</v>
      </c>
      <c r="C54">
        <v>2100</v>
      </c>
      <c r="D54">
        <v>243540</v>
      </c>
      <c r="E54">
        <v>243760</v>
      </c>
      <c r="F54" s="12">
        <v>46265</v>
      </c>
      <c r="G54">
        <v>38</v>
      </c>
      <c r="H54">
        <v>1055</v>
      </c>
      <c r="I54" t="s">
        <v>1571</v>
      </c>
      <c r="J54" t="s">
        <v>1571</v>
      </c>
      <c r="K54" t="s">
        <v>1687</v>
      </c>
      <c r="L54" t="s">
        <v>1688</v>
      </c>
      <c r="M54" t="s">
        <v>1572</v>
      </c>
      <c r="N54">
        <v>5662</v>
      </c>
      <c r="O54">
        <v>138</v>
      </c>
      <c r="P54">
        <v>660</v>
      </c>
      <c r="Q54">
        <v>0.21</v>
      </c>
    </row>
    <row r="55" spans="1:17" x14ac:dyDescent="0.25">
      <c r="A55" t="s">
        <v>1583</v>
      </c>
      <c r="B55" t="s">
        <v>425</v>
      </c>
      <c r="C55">
        <v>2100</v>
      </c>
      <c r="D55">
        <v>243540</v>
      </c>
      <c r="E55">
        <v>243760</v>
      </c>
      <c r="F55" s="12">
        <v>46265</v>
      </c>
      <c r="G55">
        <v>38</v>
      </c>
      <c r="H55">
        <v>1055</v>
      </c>
      <c r="I55" t="s">
        <v>1571</v>
      </c>
      <c r="J55" t="s">
        <v>1571</v>
      </c>
      <c r="K55" t="s">
        <v>1689</v>
      </c>
      <c r="L55" t="s">
        <v>1690</v>
      </c>
      <c r="M55" t="s">
        <v>1572</v>
      </c>
      <c r="N55">
        <v>5364</v>
      </c>
      <c r="O55">
        <v>138</v>
      </c>
      <c r="P55">
        <v>660</v>
      </c>
      <c r="Q55">
        <v>0.21</v>
      </c>
    </row>
    <row r="56" spans="1:17" x14ac:dyDescent="0.25">
      <c r="A56" t="s">
        <v>1584</v>
      </c>
      <c r="B56" t="s">
        <v>425</v>
      </c>
      <c r="C56">
        <v>2100</v>
      </c>
      <c r="D56">
        <v>243540</v>
      </c>
      <c r="E56">
        <v>243760</v>
      </c>
      <c r="F56" s="12">
        <v>46265</v>
      </c>
      <c r="G56">
        <v>38</v>
      </c>
      <c r="H56">
        <v>1055</v>
      </c>
      <c r="I56" t="s">
        <v>1571</v>
      </c>
      <c r="J56" t="s">
        <v>1571</v>
      </c>
      <c r="K56" t="s">
        <v>1691</v>
      </c>
      <c r="L56" t="s">
        <v>1692</v>
      </c>
      <c r="M56" t="s">
        <v>1572</v>
      </c>
      <c r="N56">
        <v>6251</v>
      </c>
      <c r="O56">
        <v>138</v>
      </c>
      <c r="P56">
        <v>660</v>
      </c>
      <c r="Q56">
        <v>0.21</v>
      </c>
    </row>
    <row r="57" spans="1:17" x14ac:dyDescent="0.25">
      <c r="A57" t="s">
        <v>1570</v>
      </c>
      <c r="B57" t="s">
        <v>425</v>
      </c>
      <c r="C57">
        <v>2100</v>
      </c>
      <c r="D57">
        <v>243760</v>
      </c>
      <c r="E57">
        <v>243980</v>
      </c>
      <c r="F57" s="12">
        <v>46265</v>
      </c>
      <c r="G57">
        <v>38</v>
      </c>
      <c r="H57">
        <v>1036</v>
      </c>
      <c r="I57" t="s">
        <v>1571</v>
      </c>
      <c r="J57" t="s">
        <v>1571</v>
      </c>
      <c r="K57" t="s">
        <v>1693</v>
      </c>
      <c r="L57" t="s">
        <v>1694</v>
      </c>
      <c r="M57" t="s">
        <v>1572</v>
      </c>
      <c r="N57">
        <v>5645</v>
      </c>
      <c r="O57">
        <v>138</v>
      </c>
      <c r="P57">
        <v>880</v>
      </c>
      <c r="Q57">
        <v>0.21</v>
      </c>
    </row>
    <row r="58" spans="1:17" x14ac:dyDescent="0.25">
      <c r="A58" t="s">
        <v>1573</v>
      </c>
      <c r="B58" t="s">
        <v>425</v>
      </c>
      <c r="C58">
        <v>2100</v>
      </c>
      <c r="D58">
        <v>243760</v>
      </c>
      <c r="E58">
        <v>243980</v>
      </c>
      <c r="F58" s="12">
        <v>46265</v>
      </c>
      <c r="G58">
        <v>38</v>
      </c>
      <c r="H58">
        <v>1036</v>
      </c>
      <c r="I58" t="s">
        <v>1571</v>
      </c>
      <c r="J58" t="s">
        <v>1571</v>
      </c>
      <c r="K58" t="s">
        <v>1695</v>
      </c>
      <c r="L58" t="s">
        <v>1696</v>
      </c>
      <c r="M58" t="s">
        <v>1572</v>
      </c>
      <c r="N58">
        <v>5555</v>
      </c>
      <c r="O58">
        <v>138</v>
      </c>
      <c r="P58">
        <v>880</v>
      </c>
      <c r="Q58">
        <v>0.21</v>
      </c>
    </row>
    <row r="59" spans="1:17" x14ac:dyDescent="0.25">
      <c r="A59" t="s">
        <v>1574</v>
      </c>
      <c r="B59" t="s">
        <v>425</v>
      </c>
      <c r="C59">
        <v>2100</v>
      </c>
      <c r="D59">
        <v>243760</v>
      </c>
      <c r="E59">
        <v>243980</v>
      </c>
      <c r="F59" s="12">
        <v>46265</v>
      </c>
      <c r="G59">
        <v>38</v>
      </c>
      <c r="H59">
        <v>1036</v>
      </c>
      <c r="I59" t="s">
        <v>1571</v>
      </c>
      <c r="J59" t="s">
        <v>1571</v>
      </c>
      <c r="K59" t="s">
        <v>1697</v>
      </c>
      <c r="L59" t="s">
        <v>1698</v>
      </c>
      <c r="M59" t="s">
        <v>1572</v>
      </c>
      <c r="N59">
        <v>7155</v>
      </c>
      <c r="O59">
        <v>138</v>
      </c>
      <c r="P59">
        <v>880</v>
      </c>
      <c r="Q59">
        <v>0.21</v>
      </c>
    </row>
    <row r="60" spans="1:17" x14ac:dyDescent="0.25">
      <c r="A60" t="s">
        <v>1575</v>
      </c>
      <c r="B60" t="s">
        <v>425</v>
      </c>
      <c r="C60">
        <v>2100</v>
      </c>
      <c r="D60">
        <v>243760</v>
      </c>
      <c r="E60">
        <v>243980</v>
      </c>
      <c r="F60" s="12">
        <v>46265</v>
      </c>
      <c r="G60">
        <v>38</v>
      </c>
      <c r="H60">
        <v>1036</v>
      </c>
      <c r="I60" t="s">
        <v>1571</v>
      </c>
      <c r="J60" t="s">
        <v>1571</v>
      </c>
      <c r="K60" t="s">
        <v>1699</v>
      </c>
      <c r="L60" t="s">
        <v>1700</v>
      </c>
      <c r="M60" t="s">
        <v>1572</v>
      </c>
      <c r="N60">
        <v>7165</v>
      </c>
      <c r="O60">
        <v>138</v>
      </c>
      <c r="P60">
        <v>880</v>
      </c>
      <c r="Q60">
        <v>0.21</v>
      </c>
    </row>
    <row r="61" spans="1:17" x14ac:dyDescent="0.25">
      <c r="A61" t="s">
        <v>1576</v>
      </c>
      <c r="B61" t="s">
        <v>425</v>
      </c>
      <c r="C61">
        <v>2100</v>
      </c>
      <c r="D61">
        <v>243760</v>
      </c>
      <c r="E61">
        <v>243980</v>
      </c>
      <c r="F61" s="12">
        <v>46265</v>
      </c>
      <c r="G61">
        <v>38</v>
      </c>
      <c r="H61">
        <v>1036</v>
      </c>
      <c r="I61" t="s">
        <v>1571</v>
      </c>
      <c r="J61" t="s">
        <v>1571</v>
      </c>
      <c r="K61" t="s">
        <v>1701</v>
      </c>
      <c r="L61" t="s">
        <v>1702</v>
      </c>
      <c r="M61" t="s">
        <v>1572</v>
      </c>
      <c r="N61">
        <v>6096</v>
      </c>
      <c r="O61">
        <v>138</v>
      </c>
      <c r="P61">
        <v>880</v>
      </c>
      <c r="Q61">
        <v>0.21</v>
      </c>
    </row>
    <row r="62" spans="1:17" x14ac:dyDescent="0.25">
      <c r="A62" t="s">
        <v>1577</v>
      </c>
      <c r="B62" t="s">
        <v>425</v>
      </c>
      <c r="C62">
        <v>2100</v>
      </c>
      <c r="D62">
        <v>243760</v>
      </c>
      <c r="E62">
        <v>243980</v>
      </c>
      <c r="F62" s="12">
        <v>46265</v>
      </c>
      <c r="G62">
        <v>38</v>
      </c>
      <c r="H62">
        <v>1036</v>
      </c>
      <c r="I62" t="s">
        <v>1571</v>
      </c>
      <c r="J62" t="s">
        <v>1571</v>
      </c>
      <c r="K62" t="s">
        <v>1608</v>
      </c>
      <c r="L62" t="s">
        <v>1703</v>
      </c>
      <c r="M62" t="s">
        <v>1572</v>
      </c>
      <c r="N62">
        <v>4144</v>
      </c>
      <c r="O62">
        <v>138</v>
      </c>
      <c r="P62">
        <v>880</v>
      </c>
      <c r="Q62">
        <v>0.21</v>
      </c>
    </row>
    <row r="63" spans="1:17" x14ac:dyDescent="0.25">
      <c r="A63" t="s">
        <v>1578</v>
      </c>
      <c r="B63" t="s">
        <v>425</v>
      </c>
      <c r="C63">
        <v>2100</v>
      </c>
      <c r="D63">
        <v>243760</v>
      </c>
      <c r="E63">
        <v>243980</v>
      </c>
      <c r="F63" s="12">
        <v>46265</v>
      </c>
      <c r="G63">
        <v>38</v>
      </c>
      <c r="H63">
        <v>1036</v>
      </c>
      <c r="I63" t="s">
        <v>1571</v>
      </c>
      <c r="J63" t="s">
        <v>1571</v>
      </c>
      <c r="K63" t="s">
        <v>1608</v>
      </c>
      <c r="L63" t="s">
        <v>1703</v>
      </c>
      <c r="M63" t="s">
        <v>1572</v>
      </c>
      <c r="N63">
        <v>4144</v>
      </c>
      <c r="O63">
        <v>138</v>
      </c>
      <c r="P63">
        <v>880</v>
      </c>
      <c r="Q63">
        <v>0.21</v>
      </c>
    </row>
    <row r="64" spans="1:17" x14ac:dyDescent="0.25">
      <c r="A64" t="s">
        <v>1579</v>
      </c>
      <c r="B64" t="s">
        <v>425</v>
      </c>
      <c r="C64">
        <v>2100</v>
      </c>
      <c r="D64">
        <v>243760</v>
      </c>
      <c r="E64">
        <v>243980</v>
      </c>
      <c r="F64" s="12">
        <v>46265</v>
      </c>
      <c r="G64">
        <v>38</v>
      </c>
      <c r="H64">
        <v>1036</v>
      </c>
      <c r="I64" t="s">
        <v>1571</v>
      </c>
      <c r="J64" t="s">
        <v>1571</v>
      </c>
      <c r="K64" t="s">
        <v>1704</v>
      </c>
      <c r="L64" t="s">
        <v>1705</v>
      </c>
      <c r="M64" t="s">
        <v>1572</v>
      </c>
      <c r="N64">
        <v>5369</v>
      </c>
      <c r="O64">
        <v>138</v>
      </c>
      <c r="P64">
        <v>880</v>
      </c>
      <c r="Q64">
        <v>0.21</v>
      </c>
    </row>
    <row r="65" spans="1:17" x14ac:dyDescent="0.25">
      <c r="A65" t="s">
        <v>1580</v>
      </c>
      <c r="B65" t="s">
        <v>425</v>
      </c>
      <c r="C65">
        <v>2100</v>
      </c>
      <c r="D65">
        <v>243760</v>
      </c>
      <c r="E65">
        <v>243980</v>
      </c>
      <c r="F65" s="12">
        <v>46265</v>
      </c>
      <c r="G65">
        <v>38</v>
      </c>
      <c r="H65">
        <v>1036</v>
      </c>
      <c r="I65" t="s">
        <v>1571</v>
      </c>
      <c r="J65" t="s">
        <v>1571</v>
      </c>
      <c r="K65" t="s">
        <v>1706</v>
      </c>
      <c r="L65" t="s">
        <v>1707</v>
      </c>
      <c r="M65" t="s">
        <v>1572</v>
      </c>
      <c r="N65">
        <v>5584</v>
      </c>
      <c r="O65">
        <v>138</v>
      </c>
      <c r="P65">
        <v>880</v>
      </c>
      <c r="Q65">
        <v>0.21</v>
      </c>
    </row>
    <row r="66" spans="1:17" x14ac:dyDescent="0.25">
      <c r="A66" t="s">
        <v>1581</v>
      </c>
      <c r="B66" t="s">
        <v>425</v>
      </c>
      <c r="C66">
        <v>2100</v>
      </c>
      <c r="D66">
        <v>243760</v>
      </c>
      <c r="E66">
        <v>243980</v>
      </c>
      <c r="F66" s="12">
        <v>46265</v>
      </c>
      <c r="G66">
        <v>38</v>
      </c>
      <c r="H66">
        <v>1036</v>
      </c>
      <c r="I66" t="s">
        <v>1571</v>
      </c>
      <c r="J66" t="s">
        <v>1571</v>
      </c>
      <c r="K66" t="s">
        <v>1708</v>
      </c>
      <c r="L66" t="s">
        <v>1709</v>
      </c>
      <c r="M66" t="s">
        <v>1572</v>
      </c>
      <c r="N66">
        <v>5519</v>
      </c>
      <c r="O66">
        <v>138</v>
      </c>
      <c r="P66">
        <v>880</v>
      </c>
      <c r="Q66">
        <v>0.21</v>
      </c>
    </row>
    <row r="67" spans="1:17" x14ac:dyDescent="0.25">
      <c r="A67" t="s">
        <v>1582</v>
      </c>
      <c r="B67" t="s">
        <v>425</v>
      </c>
      <c r="C67">
        <v>2100</v>
      </c>
      <c r="D67">
        <v>243760</v>
      </c>
      <c r="E67">
        <v>243980</v>
      </c>
      <c r="F67" s="12">
        <v>46265</v>
      </c>
      <c r="G67">
        <v>38</v>
      </c>
      <c r="H67">
        <v>1036</v>
      </c>
      <c r="I67" t="s">
        <v>1571</v>
      </c>
      <c r="J67" t="s">
        <v>1571</v>
      </c>
      <c r="K67" t="s">
        <v>1710</v>
      </c>
      <c r="L67" t="s">
        <v>1711</v>
      </c>
      <c r="M67" t="s">
        <v>1572</v>
      </c>
      <c r="N67">
        <v>5586</v>
      </c>
      <c r="O67">
        <v>138</v>
      </c>
      <c r="P67">
        <v>880</v>
      </c>
      <c r="Q67">
        <v>0.21</v>
      </c>
    </row>
    <row r="68" spans="1:17" x14ac:dyDescent="0.25">
      <c r="A68" t="s">
        <v>1583</v>
      </c>
      <c r="B68" t="s">
        <v>425</v>
      </c>
      <c r="C68">
        <v>2100</v>
      </c>
      <c r="D68">
        <v>243760</v>
      </c>
      <c r="E68">
        <v>243980</v>
      </c>
      <c r="F68" s="12">
        <v>46265</v>
      </c>
      <c r="G68">
        <v>38</v>
      </c>
      <c r="H68">
        <v>1036</v>
      </c>
      <c r="I68" t="s">
        <v>1571</v>
      </c>
      <c r="J68" t="s">
        <v>1571</v>
      </c>
      <c r="K68" t="s">
        <v>1712</v>
      </c>
      <c r="L68" t="s">
        <v>1713</v>
      </c>
      <c r="M68" t="s">
        <v>1572</v>
      </c>
      <c r="N68">
        <v>5563</v>
      </c>
      <c r="O68">
        <v>138</v>
      </c>
      <c r="P68">
        <v>880</v>
      </c>
      <c r="Q68">
        <v>0.21</v>
      </c>
    </row>
    <row r="69" spans="1:17" x14ac:dyDescent="0.25">
      <c r="A69" t="s">
        <v>1584</v>
      </c>
      <c r="B69" t="s">
        <v>425</v>
      </c>
      <c r="C69">
        <v>2100</v>
      </c>
      <c r="D69">
        <v>243760</v>
      </c>
      <c r="E69">
        <v>243980</v>
      </c>
      <c r="F69" s="12">
        <v>46265</v>
      </c>
      <c r="G69">
        <v>38</v>
      </c>
      <c r="H69">
        <v>1036</v>
      </c>
      <c r="I69" t="s">
        <v>1571</v>
      </c>
      <c r="J69" t="s">
        <v>1571</v>
      </c>
      <c r="K69" t="s">
        <v>1714</v>
      </c>
      <c r="L69" t="s">
        <v>1715</v>
      </c>
      <c r="M69" t="s">
        <v>1572</v>
      </c>
      <c r="N69">
        <v>6151</v>
      </c>
      <c r="O69">
        <v>138</v>
      </c>
      <c r="P69">
        <v>880</v>
      </c>
      <c r="Q69">
        <v>0.21</v>
      </c>
    </row>
    <row r="70" spans="1:17" x14ac:dyDescent="0.25">
      <c r="A70" t="s">
        <v>1570</v>
      </c>
      <c r="B70" t="s">
        <v>425</v>
      </c>
      <c r="C70">
        <v>2100</v>
      </c>
      <c r="D70">
        <v>243980</v>
      </c>
      <c r="E70">
        <v>244200</v>
      </c>
      <c r="F70" s="12">
        <v>46265</v>
      </c>
      <c r="G70">
        <v>38</v>
      </c>
      <c r="H70">
        <v>1047</v>
      </c>
      <c r="I70" t="s">
        <v>1571</v>
      </c>
      <c r="J70" t="s">
        <v>1571</v>
      </c>
      <c r="K70" t="s">
        <v>1716</v>
      </c>
      <c r="L70" t="s">
        <v>1717</v>
      </c>
      <c r="M70" t="s">
        <v>1572</v>
      </c>
      <c r="N70">
        <v>5692</v>
      </c>
      <c r="O70">
        <v>138</v>
      </c>
      <c r="P70">
        <v>1100</v>
      </c>
      <c r="Q70">
        <v>0.21</v>
      </c>
    </row>
    <row r="71" spans="1:17" x14ac:dyDescent="0.25">
      <c r="A71" t="s">
        <v>1573</v>
      </c>
      <c r="B71" t="s">
        <v>425</v>
      </c>
      <c r="C71">
        <v>2100</v>
      </c>
      <c r="D71">
        <v>243980</v>
      </c>
      <c r="E71">
        <v>244200</v>
      </c>
      <c r="F71" s="12">
        <v>46265</v>
      </c>
      <c r="G71">
        <v>38</v>
      </c>
      <c r="H71">
        <v>1047</v>
      </c>
      <c r="I71" t="s">
        <v>1571</v>
      </c>
      <c r="J71" t="s">
        <v>1571</v>
      </c>
      <c r="K71" t="s">
        <v>1718</v>
      </c>
      <c r="L71" t="s">
        <v>1719</v>
      </c>
      <c r="M71" t="s">
        <v>1572</v>
      </c>
      <c r="N71">
        <v>5628</v>
      </c>
      <c r="O71">
        <v>138</v>
      </c>
      <c r="P71">
        <v>1100</v>
      </c>
      <c r="Q71">
        <v>0.21</v>
      </c>
    </row>
    <row r="72" spans="1:17" x14ac:dyDescent="0.25">
      <c r="A72" t="s">
        <v>1574</v>
      </c>
      <c r="B72" t="s">
        <v>425</v>
      </c>
      <c r="C72">
        <v>2100</v>
      </c>
      <c r="D72">
        <v>243980</v>
      </c>
      <c r="E72">
        <v>244200</v>
      </c>
      <c r="F72" s="12">
        <v>46265</v>
      </c>
      <c r="G72">
        <v>38</v>
      </c>
      <c r="H72">
        <v>1047</v>
      </c>
      <c r="I72" t="s">
        <v>1571</v>
      </c>
      <c r="J72" t="s">
        <v>1571</v>
      </c>
      <c r="K72" t="s">
        <v>1720</v>
      </c>
      <c r="L72" t="s">
        <v>1721</v>
      </c>
      <c r="M72" t="s">
        <v>1572</v>
      </c>
      <c r="N72">
        <v>6930</v>
      </c>
      <c r="O72">
        <v>138</v>
      </c>
      <c r="P72">
        <v>1100</v>
      </c>
      <c r="Q72">
        <v>0.21</v>
      </c>
    </row>
    <row r="73" spans="1:17" x14ac:dyDescent="0.25">
      <c r="A73" t="s">
        <v>1575</v>
      </c>
      <c r="B73" t="s">
        <v>425</v>
      </c>
      <c r="C73">
        <v>2100</v>
      </c>
      <c r="D73">
        <v>243980</v>
      </c>
      <c r="E73">
        <v>244200</v>
      </c>
      <c r="F73" s="12">
        <v>46265</v>
      </c>
      <c r="G73">
        <v>38</v>
      </c>
      <c r="H73">
        <v>1047</v>
      </c>
      <c r="I73" t="s">
        <v>1571</v>
      </c>
      <c r="J73" t="s">
        <v>1571</v>
      </c>
      <c r="K73" t="s">
        <v>1722</v>
      </c>
      <c r="L73" t="s">
        <v>1723</v>
      </c>
      <c r="M73" t="s">
        <v>1572</v>
      </c>
      <c r="N73">
        <v>6880</v>
      </c>
      <c r="O73">
        <v>138</v>
      </c>
      <c r="P73">
        <v>1100</v>
      </c>
      <c r="Q73">
        <v>0.21</v>
      </c>
    </row>
    <row r="74" spans="1:17" x14ac:dyDescent="0.25">
      <c r="A74" t="s">
        <v>1576</v>
      </c>
      <c r="B74" t="s">
        <v>425</v>
      </c>
      <c r="C74">
        <v>2100</v>
      </c>
      <c r="D74">
        <v>243980</v>
      </c>
      <c r="E74">
        <v>244200</v>
      </c>
      <c r="F74" s="12">
        <v>46265</v>
      </c>
      <c r="G74">
        <v>38</v>
      </c>
      <c r="H74">
        <v>1047</v>
      </c>
      <c r="I74" t="s">
        <v>1571</v>
      </c>
      <c r="J74" t="s">
        <v>1571</v>
      </c>
      <c r="K74" t="s">
        <v>1724</v>
      </c>
      <c r="L74" t="s">
        <v>1725</v>
      </c>
      <c r="M74" t="s">
        <v>1572</v>
      </c>
      <c r="N74">
        <v>6146</v>
      </c>
      <c r="O74">
        <v>138</v>
      </c>
      <c r="P74">
        <v>1100</v>
      </c>
      <c r="Q74">
        <v>0.21</v>
      </c>
    </row>
    <row r="75" spans="1:17" x14ac:dyDescent="0.25">
      <c r="A75" t="s">
        <v>1577</v>
      </c>
      <c r="B75" t="s">
        <v>425</v>
      </c>
      <c r="C75">
        <v>2100</v>
      </c>
      <c r="D75">
        <v>243980</v>
      </c>
      <c r="E75">
        <v>244200</v>
      </c>
      <c r="F75" s="12">
        <v>46265</v>
      </c>
      <c r="G75">
        <v>38</v>
      </c>
      <c r="H75">
        <v>1047</v>
      </c>
      <c r="I75" t="s">
        <v>1571</v>
      </c>
      <c r="J75" t="s">
        <v>1571</v>
      </c>
      <c r="K75" t="s">
        <v>1608</v>
      </c>
      <c r="L75" t="s">
        <v>1726</v>
      </c>
      <c r="M75" t="s">
        <v>1572</v>
      </c>
      <c r="N75">
        <v>4188</v>
      </c>
      <c r="O75">
        <v>138</v>
      </c>
      <c r="P75">
        <v>1100</v>
      </c>
      <c r="Q75">
        <v>0.21</v>
      </c>
    </row>
    <row r="76" spans="1:17" x14ac:dyDescent="0.25">
      <c r="A76" t="s">
        <v>1578</v>
      </c>
      <c r="B76" t="s">
        <v>425</v>
      </c>
      <c r="C76">
        <v>2100</v>
      </c>
      <c r="D76">
        <v>243980</v>
      </c>
      <c r="E76">
        <v>244200</v>
      </c>
      <c r="F76" s="12">
        <v>46265</v>
      </c>
      <c r="G76">
        <v>38</v>
      </c>
      <c r="H76">
        <v>1047</v>
      </c>
      <c r="I76" t="s">
        <v>1571</v>
      </c>
      <c r="J76" t="s">
        <v>1571</v>
      </c>
      <c r="K76" t="s">
        <v>1608</v>
      </c>
      <c r="L76" t="s">
        <v>1726</v>
      </c>
      <c r="M76" t="s">
        <v>1572</v>
      </c>
      <c r="N76">
        <v>4188</v>
      </c>
      <c r="O76">
        <v>138</v>
      </c>
      <c r="P76">
        <v>1100</v>
      </c>
      <c r="Q76">
        <v>0.21</v>
      </c>
    </row>
    <row r="77" spans="1:17" x14ac:dyDescent="0.25">
      <c r="A77" t="s">
        <v>1579</v>
      </c>
      <c r="B77" t="s">
        <v>425</v>
      </c>
      <c r="C77">
        <v>2100</v>
      </c>
      <c r="D77">
        <v>243980</v>
      </c>
      <c r="E77">
        <v>244200</v>
      </c>
      <c r="F77" s="12">
        <v>46265</v>
      </c>
      <c r="G77">
        <v>38</v>
      </c>
      <c r="H77">
        <v>1047</v>
      </c>
      <c r="I77" t="s">
        <v>1571</v>
      </c>
      <c r="J77" t="s">
        <v>1571</v>
      </c>
      <c r="K77" t="s">
        <v>1727</v>
      </c>
      <c r="L77" t="s">
        <v>1728</v>
      </c>
      <c r="M77" t="s">
        <v>1572</v>
      </c>
      <c r="N77">
        <v>5872</v>
      </c>
      <c r="O77">
        <v>138</v>
      </c>
      <c r="P77">
        <v>1100</v>
      </c>
      <c r="Q77">
        <v>0.21</v>
      </c>
    </row>
    <row r="78" spans="1:17" x14ac:dyDescent="0.25">
      <c r="A78" t="s">
        <v>1580</v>
      </c>
      <c r="B78" t="s">
        <v>425</v>
      </c>
      <c r="C78">
        <v>2100</v>
      </c>
      <c r="D78">
        <v>243980</v>
      </c>
      <c r="E78">
        <v>244200</v>
      </c>
      <c r="F78" s="12">
        <v>46265</v>
      </c>
      <c r="G78">
        <v>38</v>
      </c>
      <c r="H78">
        <v>1047</v>
      </c>
      <c r="I78" t="s">
        <v>1571</v>
      </c>
      <c r="J78" t="s">
        <v>1571</v>
      </c>
      <c r="K78" t="s">
        <v>1729</v>
      </c>
      <c r="L78" t="s">
        <v>1730</v>
      </c>
      <c r="M78" t="s">
        <v>1572</v>
      </c>
      <c r="N78">
        <v>5619</v>
      </c>
      <c r="O78">
        <v>138</v>
      </c>
      <c r="P78">
        <v>1100</v>
      </c>
      <c r="Q78">
        <v>0.21</v>
      </c>
    </row>
    <row r="79" spans="1:17" x14ac:dyDescent="0.25">
      <c r="A79" t="s">
        <v>1581</v>
      </c>
      <c r="B79" t="s">
        <v>425</v>
      </c>
      <c r="C79">
        <v>2100</v>
      </c>
      <c r="D79">
        <v>243980</v>
      </c>
      <c r="E79">
        <v>244200</v>
      </c>
      <c r="F79" s="12">
        <v>46265</v>
      </c>
      <c r="G79">
        <v>38</v>
      </c>
      <c r="H79">
        <v>1047</v>
      </c>
      <c r="I79" t="s">
        <v>1571</v>
      </c>
      <c r="J79" t="s">
        <v>1571</v>
      </c>
      <c r="K79" t="s">
        <v>1731</v>
      </c>
      <c r="L79" t="s">
        <v>1732</v>
      </c>
      <c r="M79" t="s">
        <v>1572</v>
      </c>
      <c r="N79">
        <v>5669</v>
      </c>
      <c r="O79">
        <v>138</v>
      </c>
      <c r="P79">
        <v>1100</v>
      </c>
      <c r="Q79">
        <v>0.21</v>
      </c>
    </row>
    <row r="80" spans="1:17" x14ac:dyDescent="0.25">
      <c r="A80" t="s">
        <v>1582</v>
      </c>
      <c r="B80" t="s">
        <v>425</v>
      </c>
      <c r="C80">
        <v>2100</v>
      </c>
      <c r="D80">
        <v>243980</v>
      </c>
      <c r="E80">
        <v>244200</v>
      </c>
      <c r="F80" s="12">
        <v>46265</v>
      </c>
      <c r="G80">
        <v>38</v>
      </c>
      <c r="H80">
        <v>1047</v>
      </c>
      <c r="I80" t="s">
        <v>1571</v>
      </c>
      <c r="J80" t="s">
        <v>1571</v>
      </c>
      <c r="K80" t="s">
        <v>1733</v>
      </c>
      <c r="L80" t="s">
        <v>1734</v>
      </c>
      <c r="M80" t="s">
        <v>1572</v>
      </c>
      <c r="N80">
        <v>5663</v>
      </c>
      <c r="O80">
        <v>138</v>
      </c>
      <c r="P80">
        <v>1100</v>
      </c>
      <c r="Q80">
        <v>0.21</v>
      </c>
    </row>
    <row r="81" spans="1:17" x14ac:dyDescent="0.25">
      <c r="A81" t="s">
        <v>1583</v>
      </c>
      <c r="B81" t="s">
        <v>425</v>
      </c>
      <c r="C81">
        <v>2100</v>
      </c>
      <c r="D81">
        <v>243980</v>
      </c>
      <c r="E81">
        <v>244200</v>
      </c>
      <c r="F81" s="12">
        <v>46265</v>
      </c>
      <c r="G81">
        <v>38</v>
      </c>
      <c r="H81">
        <v>1047</v>
      </c>
      <c r="I81" t="s">
        <v>1571</v>
      </c>
      <c r="J81" t="s">
        <v>1571</v>
      </c>
      <c r="K81" t="s">
        <v>1735</v>
      </c>
      <c r="L81" t="s">
        <v>1736</v>
      </c>
      <c r="M81" t="s">
        <v>1572</v>
      </c>
      <c r="N81">
        <v>5998</v>
      </c>
      <c r="O81">
        <v>138</v>
      </c>
      <c r="P81">
        <v>1100</v>
      </c>
      <c r="Q81">
        <v>0.21</v>
      </c>
    </row>
    <row r="82" spans="1:17" x14ac:dyDescent="0.25">
      <c r="A82" t="s">
        <v>1584</v>
      </c>
      <c r="B82" t="s">
        <v>425</v>
      </c>
      <c r="C82">
        <v>2100</v>
      </c>
      <c r="D82">
        <v>243980</v>
      </c>
      <c r="E82">
        <v>244200</v>
      </c>
      <c r="F82" s="12">
        <v>46265</v>
      </c>
      <c r="G82">
        <v>38</v>
      </c>
      <c r="H82">
        <v>1047</v>
      </c>
      <c r="I82" t="s">
        <v>1571</v>
      </c>
      <c r="J82" t="s">
        <v>1571</v>
      </c>
      <c r="K82" t="s">
        <v>1737</v>
      </c>
      <c r="L82" t="s">
        <v>1738</v>
      </c>
      <c r="M82" t="s">
        <v>1572</v>
      </c>
      <c r="N82">
        <v>6207</v>
      </c>
      <c r="O82">
        <v>138</v>
      </c>
      <c r="P82">
        <v>1100</v>
      </c>
      <c r="Q82">
        <v>0.21</v>
      </c>
    </row>
    <row r="83" spans="1:17" x14ac:dyDescent="0.25">
      <c r="A83" t="s">
        <v>1570</v>
      </c>
      <c r="B83" t="s">
        <v>425</v>
      </c>
      <c r="C83">
        <v>2100</v>
      </c>
      <c r="D83">
        <v>244200</v>
      </c>
      <c r="E83">
        <v>244420</v>
      </c>
      <c r="F83" s="12">
        <v>46265</v>
      </c>
      <c r="G83">
        <v>38</v>
      </c>
      <c r="H83">
        <v>1046</v>
      </c>
      <c r="I83" t="s">
        <v>1571</v>
      </c>
      <c r="J83" t="s">
        <v>1571</v>
      </c>
      <c r="K83" t="s">
        <v>1739</v>
      </c>
      <c r="L83" t="s">
        <v>1740</v>
      </c>
      <c r="M83" t="s">
        <v>1572</v>
      </c>
      <c r="N83">
        <v>5598</v>
      </c>
      <c r="O83">
        <v>138</v>
      </c>
      <c r="P83">
        <v>1320</v>
      </c>
      <c r="Q83">
        <v>0.21</v>
      </c>
    </row>
    <row r="84" spans="1:17" x14ac:dyDescent="0.25">
      <c r="A84" t="s">
        <v>1573</v>
      </c>
      <c r="B84" t="s">
        <v>425</v>
      </c>
      <c r="C84">
        <v>2100</v>
      </c>
      <c r="D84">
        <v>244200</v>
      </c>
      <c r="E84">
        <v>244420</v>
      </c>
      <c r="F84" s="12">
        <v>46265</v>
      </c>
      <c r="G84">
        <v>38</v>
      </c>
      <c r="H84">
        <v>1046</v>
      </c>
      <c r="I84" t="s">
        <v>1571</v>
      </c>
      <c r="J84" t="s">
        <v>1571</v>
      </c>
      <c r="K84" t="s">
        <v>1741</v>
      </c>
      <c r="L84" t="s">
        <v>1742</v>
      </c>
      <c r="M84" t="s">
        <v>1572</v>
      </c>
      <c r="N84">
        <v>5591</v>
      </c>
      <c r="O84">
        <v>138</v>
      </c>
      <c r="P84">
        <v>1320</v>
      </c>
      <c r="Q84">
        <v>0.21</v>
      </c>
    </row>
    <row r="85" spans="1:17" x14ac:dyDescent="0.25">
      <c r="A85" t="s">
        <v>1574</v>
      </c>
      <c r="B85" t="s">
        <v>425</v>
      </c>
      <c r="C85">
        <v>2100</v>
      </c>
      <c r="D85">
        <v>244200</v>
      </c>
      <c r="E85">
        <v>244420</v>
      </c>
      <c r="F85" s="12">
        <v>46265</v>
      </c>
      <c r="G85">
        <v>38</v>
      </c>
      <c r="H85">
        <v>1046</v>
      </c>
      <c r="I85" t="s">
        <v>1571</v>
      </c>
      <c r="J85" t="s">
        <v>1571</v>
      </c>
      <c r="K85" t="s">
        <v>1743</v>
      </c>
      <c r="L85" t="s">
        <v>1744</v>
      </c>
      <c r="M85" t="s">
        <v>1572</v>
      </c>
      <c r="N85">
        <v>5719</v>
      </c>
      <c r="O85">
        <v>138</v>
      </c>
      <c r="P85">
        <v>1320</v>
      </c>
      <c r="Q85">
        <v>0.21</v>
      </c>
    </row>
    <row r="86" spans="1:17" x14ac:dyDescent="0.25">
      <c r="A86" t="s">
        <v>1575</v>
      </c>
      <c r="B86" t="s">
        <v>425</v>
      </c>
      <c r="C86">
        <v>2100</v>
      </c>
      <c r="D86">
        <v>244200</v>
      </c>
      <c r="E86">
        <v>244420</v>
      </c>
      <c r="F86" s="12">
        <v>46265</v>
      </c>
      <c r="G86">
        <v>38</v>
      </c>
      <c r="H86">
        <v>1046</v>
      </c>
      <c r="I86" t="s">
        <v>1571</v>
      </c>
      <c r="J86" t="s">
        <v>1571</v>
      </c>
      <c r="K86" t="s">
        <v>1745</v>
      </c>
      <c r="L86" t="s">
        <v>1746</v>
      </c>
      <c r="M86" t="s">
        <v>1572</v>
      </c>
      <c r="N86">
        <v>5627</v>
      </c>
      <c r="O86">
        <v>138</v>
      </c>
      <c r="P86">
        <v>1320</v>
      </c>
      <c r="Q86">
        <v>0.21</v>
      </c>
    </row>
    <row r="87" spans="1:17" x14ac:dyDescent="0.25">
      <c r="A87" t="s">
        <v>1576</v>
      </c>
      <c r="B87" t="s">
        <v>425</v>
      </c>
      <c r="C87">
        <v>2100</v>
      </c>
      <c r="D87">
        <v>244200</v>
      </c>
      <c r="E87">
        <v>244420</v>
      </c>
      <c r="F87" s="12">
        <v>46265</v>
      </c>
      <c r="G87">
        <v>38</v>
      </c>
      <c r="H87">
        <v>1046</v>
      </c>
      <c r="I87" t="s">
        <v>1571</v>
      </c>
      <c r="J87" t="s">
        <v>1571</v>
      </c>
      <c r="K87" t="s">
        <v>1747</v>
      </c>
      <c r="L87" t="s">
        <v>1748</v>
      </c>
      <c r="M87" t="s">
        <v>1572</v>
      </c>
      <c r="N87">
        <v>5325</v>
      </c>
      <c r="O87">
        <v>138</v>
      </c>
      <c r="P87">
        <v>1320</v>
      </c>
      <c r="Q87">
        <v>0.21</v>
      </c>
    </row>
    <row r="88" spans="1:17" x14ac:dyDescent="0.25">
      <c r="A88" t="s">
        <v>1577</v>
      </c>
      <c r="B88" t="s">
        <v>425</v>
      </c>
      <c r="C88">
        <v>2100</v>
      </c>
      <c r="D88">
        <v>244200</v>
      </c>
      <c r="E88">
        <v>244420</v>
      </c>
      <c r="F88" s="12">
        <v>46265</v>
      </c>
      <c r="G88">
        <v>38</v>
      </c>
      <c r="H88">
        <v>1046</v>
      </c>
      <c r="I88" t="s">
        <v>1571</v>
      </c>
      <c r="J88" t="s">
        <v>1571</v>
      </c>
      <c r="K88" t="s">
        <v>1749</v>
      </c>
      <c r="L88" t="s">
        <v>1750</v>
      </c>
      <c r="M88" t="s">
        <v>1572</v>
      </c>
      <c r="N88">
        <v>4216</v>
      </c>
      <c r="O88">
        <v>138</v>
      </c>
      <c r="P88">
        <v>1320</v>
      </c>
      <c r="Q88">
        <v>0.21</v>
      </c>
    </row>
    <row r="89" spans="1:17" x14ac:dyDescent="0.25">
      <c r="A89" t="s">
        <v>1578</v>
      </c>
      <c r="B89" t="s">
        <v>425</v>
      </c>
      <c r="C89">
        <v>2100</v>
      </c>
      <c r="D89">
        <v>244200</v>
      </c>
      <c r="E89">
        <v>244420</v>
      </c>
      <c r="F89" s="12">
        <v>46265</v>
      </c>
      <c r="G89">
        <v>38</v>
      </c>
      <c r="H89">
        <v>1046</v>
      </c>
      <c r="I89" t="s">
        <v>1571</v>
      </c>
      <c r="J89" t="s">
        <v>1571</v>
      </c>
      <c r="K89" t="s">
        <v>1608</v>
      </c>
      <c r="L89" t="s">
        <v>1751</v>
      </c>
      <c r="M89" t="s">
        <v>1572</v>
      </c>
      <c r="N89">
        <v>4184</v>
      </c>
      <c r="O89">
        <v>138</v>
      </c>
      <c r="P89">
        <v>1320</v>
      </c>
      <c r="Q89">
        <v>0.21</v>
      </c>
    </row>
    <row r="90" spans="1:17" x14ac:dyDescent="0.25">
      <c r="A90" t="s">
        <v>1579</v>
      </c>
      <c r="B90" t="s">
        <v>425</v>
      </c>
      <c r="C90">
        <v>2100</v>
      </c>
      <c r="D90">
        <v>244200</v>
      </c>
      <c r="E90">
        <v>244420</v>
      </c>
      <c r="F90" s="12">
        <v>46265</v>
      </c>
      <c r="G90">
        <v>38</v>
      </c>
      <c r="H90">
        <v>1046</v>
      </c>
      <c r="I90" t="s">
        <v>1571</v>
      </c>
      <c r="J90" t="s">
        <v>1571</v>
      </c>
      <c r="K90" s="5" t="s">
        <v>1752</v>
      </c>
      <c r="L90" s="5" t="s">
        <v>1753</v>
      </c>
      <c r="M90" t="s">
        <v>1572</v>
      </c>
      <c r="N90">
        <v>5328</v>
      </c>
      <c r="O90">
        <v>138</v>
      </c>
      <c r="P90">
        <v>1320</v>
      </c>
      <c r="Q90">
        <v>0.21</v>
      </c>
    </row>
    <row r="91" spans="1:17" x14ac:dyDescent="0.25">
      <c r="A91" t="s">
        <v>1580</v>
      </c>
      <c r="B91" t="s">
        <v>425</v>
      </c>
      <c r="C91">
        <v>2100</v>
      </c>
      <c r="D91">
        <v>244200</v>
      </c>
      <c r="E91">
        <v>244420</v>
      </c>
      <c r="F91" s="12">
        <v>46265</v>
      </c>
      <c r="G91">
        <v>38</v>
      </c>
      <c r="H91">
        <v>1046</v>
      </c>
      <c r="I91" t="s">
        <v>1571</v>
      </c>
      <c r="J91" t="s">
        <v>1571</v>
      </c>
      <c r="K91" s="5" t="s">
        <v>1754</v>
      </c>
      <c r="L91" s="5" t="s">
        <v>1755</v>
      </c>
      <c r="M91" t="s">
        <v>1572</v>
      </c>
      <c r="N91">
        <v>5684</v>
      </c>
      <c r="O91">
        <v>138</v>
      </c>
      <c r="P91">
        <v>1320</v>
      </c>
      <c r="Q91">
        <v>0.21</v>
      </c>
    </row>
    <row r="92" spans="1:17" x14ac:dyDescent="0.25">
      <c r="A92" t="s">
        <v>1581</v>
      </c>
      <c r="B92" t="s">
        <v>425</v>
      </c>
      <c r="C92">
        <v>2100</v>
      </c>
      <c r="D92">
        <v>244200</v>
      </c>
      <c r="E92">
        <v>244420</v>
      </c>
      <c r="F92" s="12">
        <v>46265</v>
      </c>
      <c r="G92">
        <v>38</v>
      </c>
      <c r="H92">
        <v>1046</v>
      </c>
      <c r="I92" t="s">
        <v>1571</v>
      </c>
      <c r="J92" t="s">
        <v>1571</v>
      </c>
      <c r="K92" s="5" t="s">
        <v>1756</v>
      </c>
      <c r="L92" s="5" t="s">
        <v>1757</v>
      </c>
      <c r="M92" t="s">
        <v>1572</v>
      </c>
      <c r="N92">
        <v>5575</v>
      </c>
      <c r="O92">
        <v>138</v>
      </c>
      <c r="P92">
        <v>1320</v>
      </c>
      <c r="Q92">
        <v>0.21</v>
      </c>
    </row>
    <row r="93" spans="1:17" x14ac:dyDescent="0.25">
      <c r="A93" t="s">
        <v>1582</v>
      </c>
      <c r="B93" t="s">
        <v>425</v>
      </c>
      <c r="C93">
        <v>2100</v>
      </c>
      <c r="D93">
        <v>244200</v>
      </c>
      <c r="E93">
        <v>244420</v>
      </c>
      <c r="F93" s="12">
        <v>46265</v>
      </c>
      <c r="G93">
        <v>38</v>
      </c>
      <c r="H93">
        <v>1046</v>
      </c>
      <c r="I93" t="s">
        <v>1571</v>
      </c>
      <c r="J93" t="s">
        <v>1571</v>
      </c>
      <c r="K93" s="5" t="s">
        <v>1758</v>
      </c>
      <c r="L93" s="5" t="s">
        <v>1759</v>
      </c>
      <c r="M93" t="s">
        <v>1572</v>
      </c>
      <c r="N93">
        <v>5680</v>
      </c>
      <c r="O93">
        <v>138</v>
      </c>
      <c r="P93">
        <v>1320</v>
      </c>
      <c r="Q93">
        <v>0.21</v>
      </c>
    </row>
    <row r="94" spans="1:17" x14ac:dyDescent="0.25">
      <c r="A94" t="s">
        <v>1583</v>
      </c>
      <c r="B94" t="s">
        <v>425</v>
      </c>
      <c r="C94">
        <v>2100</v>
      </c>
      <c r="D94">
        <v>244200</v>
      </c>
      <c r="E94">
        <v>244420</v>
      </c>
      <c r="F94" s="12">
        <v>46265</v>
      </c>
      <c r="G94">
        <v>38</v>
      </c>
      <c r="H94">
        <v>1046</v>
      </c>
      <c r="I94" t="s">
        <v>1571</v>
      </c>
      <c r="J94" t="s">
        <v>1571</v>
      </c>
      <c r="K94" s="5" t="s">
        <v>1760</v>
      </c>
      <c r="L94" s="5" t="s">
        <v>1761</v>
      </c>
      <c r="M94" t="s">
        <v>1572</v>
      </c>
      <c r="N94">
        <v>5816</v>
      </c>
      <c r="O94">
        <v>138</v>
      </c>
      <c r="P94">
        <v>1320</v>
      </c>
      <c r="Q94">
        <v>0.21</v>
      </c>
    </row>
    <row r="95" spans="1:17" x14ac:dyDescent="0.25">
      <c r="A95" t="s">
        <v>1584</v>
      </c>
      <c r="B95" t="s">
        <v>425</v>
      </c>
      <c r="C95">
        <v>2100</v>
      </c>
      <c r="D95">
        <v>244200</v>
      </c>
      <c r="E95">
        <v>244420</v>
      </c>
      <c r="F95" s="12">
        <v>46265</v>
      </c>
      <c r="G95">
        <v>38</v>
      </c>
      <c r="H95">
        <v>1046</v>
      </c>
      <c r="I95" t="s">
        <v>1571</v>
      </c>
      <c r="J95" t="s">
        <v>1571</v>
      </c>
      <c r="K95" s="5" t="s">
        <v>1762</v>
      </c>
      <c r="L95" s="5" t="s">
        <v>1763</v>
      </c>
      <c r="M95" t="s">
        <v>1572</v>
      </c>
      <c r="N95">
        <v>6185</v>
      </c>
      <c r="O95">
        <v>138</v>
      </c>
      <c r="P95">
        <v>1320</v>
      </c>
      <c r="Q95">
        <v>0.21</v>
      </c>
    </row>
    <row r="96" spans="1:17" x14ac:dyDescent="0.25">
      <c r="A96" t="s">
        <v>1570</v>
      </c>
      <c r="B96" t="s">
        <v>425</v>
      </c>
      <c r="C96">
        <v>2100</v>
      </c>
      <c r="D96">
        <v>244420</v>
      </c>
      <c r="E96">
        <v>244640</v>
      </c>
      <c r="F96" s="12">
        <v>46265</v>
      </c>
      <c r="G96">
        <v>38</v>
      </c>
      <c r="H96">
        <v>1044</v>
      </c>
      <c r="I96" t="s">
        <v>1571</v>
      </c>
      <c r="J96" t="s">
        <v>1571</v>
      </c>
      <c r="K96" s="5" t="s">
        <v>1764</v>
      </c>
      <c r="L96" s="5" t="s">
        <v>1765</v>
      </c>
      <c r="M96" t="s">
        <v>1572</v>
      </c>
      <c r="N96">
        <v>5625</v>
      </c>
      <c r="O96">
        <v>138</v>
      </c>
      <c r="P96">
        <v>1540</v>
      </c>
      <c r="Q96">
        <v>0.21</v>
      </c>
    </row>
    <row r="97" spans="1:17" x14ac:dyDescent="0.25">
      <c r="A97" t="s">
        <v>1570</v>
      </c>
      <c r="B97" t="s">
        <v>425</v>
      </c>
      <c r="C97">
        <v>2100</v>
      </c>
      <c r="D97">
        <v>244420</v>
      </c>
      <c r="E97">
        <v>244640</v>
      </c>
      <c r="F97" s="12">
        <v>46265</v>
      </c>
      <c r="G97">
        <v>38</v>
      </c>
      <c r="H97">
        <v>4</v>
      </c>
      <c r="I97" t="s">
        <v>1571</v>
      </c>
      <c r="J97" t="s">
        <v>1571</v>
      </c>
      <c r="K97" s="5" t="s">
        <v>1766</v>
      </c>
      <c r="L97" s="5" t="s">
        <v>1572</v>
      </c>
      <c r="M97" t="s">
        <v>1572</v>
      </c>
      <c r="N97">
        <v>19</v>
      </c>
      <c r="O97">
        <v>138</v>
      </c>
      <c r="P97">
        <v>1540</v>
      </c>
      <c r="Q97">
        <v>55</v>
      </c>
    </row>
    <row r="98" spans="1:17" x14ac:dyDescent="0.25">
      <c r="A98" t="s">
        <v>1573</v>
      </c>
      <c r="B98" t="s">
        <v>425</v>
      </c>
      <c r="C98">
        <v>2100</v>
      </c>
      <c r="D98">
        <v>244420</v>
      </c>
      <c r="E98">
        <v>244640</v>
      </c>
      <c r="F98" s="12">
        <v>46265</v>
      </c>
      <c r="G98">
        <v>38</v>
      </c>
      <c r="H98">
        <v>1044</v>
      </c>
      <c r="I98" t="s">
        <v>1571</v>
      </c>
      <c r="J98" t="s">
        <v>1571</v>
      </c>
      <c r="K98" s="5" t="s">
        <v>1767</v>
      </c>
      <c r="L98" s="5" t="s">
        <v>1768</v>
      </c>
      <c r="M98" t="s">
        <v>1572</v>
      </c>
      <c r="N98">
        <v>5644</v>
      </c>
      <c r="O98">
        <v>138</v>
      </c>
      <c r="P98">
        <v>1540</v>
      </c>
      <c r="Q98">
        <v>0.21</v>
      </c>
    </row>
    <row r="99" spans="1:17" x14ac:dyDescent="0.25">
      <c r="A99" t="s">
        <v>1573</v>
      </c>
      <c r="B99" t="s">
        <v>425</v>
      </c>
      <c r="C99">
        <v>2100</v>
      </c>
      <c r="D99">
        <v>244420</v>
      </c>
      <c r="E99">
        <v>244640</v>
      </c>
      <c r="F99" s="12">
        <v>46265</v>
      </c>
      <c r="G99">
        <v>38</v>
      </c>
      <c r="H99">
        <v>4</v>
      </c>
      <c r="I99" t="s">
        <v>1571</v>
      </c>
      <c r="J99" t="s">
        <v>1571</v>
      </c>
      <c r="K99" s="5" t="s">
        <v>1769</v>
      </c>
      <c r="L99" s="5" t="s">
        <v>1572</v>
      </c>
      <c r="M99" t="s">
        <v>1572</v>
      </c>
      <c r="N99">
        <v>19</v>
      </c>
      <c r="O99">
        <v>138</v>
      </c>
      <c r="P99">
        <v>1540</v>
      </c>
      <c r="Q99">
        <v>55</v>
      </c>
    </row>
    <row r="100" spans="1:17" x14ac:dyDescent="0.25">
      <c r="A100" t="s">
        <v>1574</v>
      </c>
      <c r="B100" t="s">
        <v>425</v>
      </c>
      <c r="C100">
        <v>2100</v>
      </c>
      <c r="D100">
        <v>244420</v>
      </c>
      <c r="E100">
        <v>244640</v>
      </c>
      <c r="F100" s="12">
        <v>46265</v>
      </c>
      <c r="G100">
        <v>38</v>
      </c>
      <c r="H100">
        <v>1044</v>
      </c>
      <c r="I100" t="s">
        <v>1571</v>
      </c>
      <c r="J100" t="s">
        <v>1571</v>
      </c>
      <c r="K100" s="5" t="s">
        <v>1770</v>
      </c>
      <c r="L100" s="5" t="s">
        <v>1771</v>
      </c>
      <c r="M100" t="s">
        <v>1572</v>
      </c>
      <c r="N100">
        <v>6917</v>
      </c>
      <c r="O100">
        <v>138</v>
      </c>
      <c r="P100">
        <v>1540</v>
      </c>
      <c r="Q100">
        <v>0.21</v>
      </c>
    </row>
    <row r="101" spans="1:17" x14ac:dyDescent="0.25">
      <c r="A101" t="s">
        <v>1574</v>
      </c>
      <c r="B101" t="s">
        <v>425</v>
      </c>
      <c r="C101">
        <v>2100</v>
      </c>
      <c r="D101">
        <v>244420</v>
      </c>
      <c r="E101">
        <v>244640</v>
      </c>
      <c r="F101" s="12">
        <v>46265</v>
      </c>
      <c r="G101">
        <v>38</v>
      </c>
      <c r="H101">
        <v>4</v>
      </c>
      <c r="I101" t="s">
        <v>1571</v>
      </c>
      <c r="J101" t="s">
        <v>1571</v>
      </c>
      <c r="K101" s="5" t="s">
        <v>1772</v>
      </c>
      <c r="L101" s="5" t="s">
        <v>1572</v>
      </c>
      <c r="M101" t="s">
        <v>1572</v>
      </c>
      <c r="N101">
        <v>28</v>
      </c>
      <c r="O101">
        <v>138</v>
      </c>
      <c r="P101">
        <v>1540</v>
      </c>
      <c r="Q101">
        <v>55</v>
      </c>
    </row>
    <row r="102" spans="1:17" x14ac:dyDescent="0.25">
      <c r="A102" t="s">
        <v>1575</v>
      </c>
      <c r="B102" t="s">
        <v>425</v>
      </c>
      <c r="C102">
        <v>2100</v>
      </c>
      <c r="D102">
        <v>244420</v>
      </c>
      <c r="E102">
        <v>244640</v>
      </c>
      <c r="F102" s="12">
        <v>46265</v>
      </c>
      <c r="G102">
        <v>38</v>
      </c>
      <c r="H102">
        <v>1044</v>
      </c>
      <c r="I102" t="s">
        <v>1571</v>
      </c>
      <c r="J102" t="s">
        <v>1571</v>
      </c>
      <c r="K102" s="5" t="s">
        <v>1773</v>
      </c>
      <c r="L102" s="5" t="s">
        <v>1774</v>
      </c>
      <c r="M102" t="s">
        <v>1572</v>
      </c>
      <c r="N102">
        <v>6781</v>
      </c>
      <c r="O102">
        <v>138</v>
      </c>
      <c r="P102">
        <v>1540</v>
      </c>
      <c r="Q102">
        <v>0.21</v>
      </c>
    </row>
    <row r="103" spans="1:17" x14ac:dyDescent="0.25">
      <c r="A103" t="s">
        <v>1575</v>
      </c>
      <c r="B103" t="s">
        <v>425</v>
      </c>
      <c r="C103">
        <v>2100</v>
      </c>
      <c r="D103">
        <v>244420</v>
      </c>
      <c r="E103">
        <v>244640</v>
      </c>
      <c r="F103" s="12">
        <v>46265</v>
      </c>
      <c r="G103">
        <v>38</v>
      </c>
      <c r="H103">
        <v>4</v>
      </c>
      <c r="I103" t="s">
        <v>1571</v>
      </c>
      <c r="J103" t="s">
        <v>1571</v>
      </c>
      <c r="K103" s="5" t="s">
        <v>1775</v>
      </c>
      <c r="L103" s="5" t="s">
        <v>1572</v>
      </c>
      <c r="M103" t="s">
        <v>1572</v>
      </c>
      <c r="N103">
        <v>26</v>
      </c>
      <c r="O103">
        <v>138</v>
      </c>
      <c r="P103">
        <v>1540</v>
      </c>
      <c r="Q103">
        <v>55</v>
      </c>
    </row>
    <row r="104" spans="1:17" x14ac:dyDescent="0.25">
      <c r="A104" t="s">
        <v>1576</v>
      </c>
      <c r="B104" t="s">
        <v>425</v>
      </c>
      <c r="C104">
        <v>2100</v>
      </c>
      <c r="D104">
        <v>244420</v>
      </c>
      <c r="E104">
        <v>244640</v>
      </c>
      <c r="F104" s="12">
        <v>46265</v>
      </c>
      <c r="G104">
        <v>38</v>
      </c>
      <c r="H104">
        <v>1044</v>
      </c>
      <c r="I104" t="s">
        <v>1571</v>
      </c>
      <c r="J104" t="s">
        <v>1571</v>
      </c>
      <c r="K104" s="5" t="s">
        <v>1776</v>
      </c>
      <c r="L104" s="5" t="s">
        <v>1777</v>
      </c>
      <c r="M104" t="s">
        <v>1572</v>
      </c>
      <c r="N104">
        <v>6138</v>
      </c>
      <c r="O104">
        <v>138</v>
      </c>
      <c r="P104">
        <v>1540</v>
      </c>
      <c r="Q104">
        <v>0.21</v>
      </c>
    </row>
    <row r="105" spans="1:17" x14ac:dyDescent="0.25">
      <c r="A105" t="s">
        <v>1576</v>
      </c>
      <c r="B105" t="s">
        <v>425</v>
      </c>
      <c r="C105">
        <v>2100</v>
      </c>
      <c r="D105">
        <v>244420</v>
      </c>
      <c r="E105">
        <v>244640</v>
      </c>
      <c r="F105" s="12">
        <v>46265</v>
      </c>
      <c r="G105">
        <v>38</v>
      </c>
      <c r="H105">
        <v>4</v>
      </c>
      <c r="I105" t="s">
        <v>1571</v>
      </c>
      <c r="J105" t="s">
        <v>1571</v>
      </c>
      <c r="K105" s="5" t="s">
        <v>1778</v>
      </c>
      <c r="L105" s="5" t="s">
        <v>1572</v>
      </c>
      <c r="M105" t="s">
        <v>1572</v>
      </c>
      <c r="N105">
        <v>23</v>
      </c>
      <c r="O105">
        <v>138</v>
      </c>
      <c r="P105">
        <v>1540</v>
      </c>
      <c r="Q105">
        <v>55</v>
      </c>
    </row>
    <row r="106" spans="1:17" x14ac:dyDescent="0.25">
      <c r="A106" t="s">
        <v>1577</v>
      </c>
      <c r="B106" t="s">
        <v>425</v>
      </c>
      <c r="C106">
        <v>2100</v>
      </c>
      <c r="D106">
        <v>244420</v>
      </c>
      <c r="E106">
        <v>244640</v>
      </c>
      <c r="F106" s="12">
        <v>46265</v>
      </c>
      <c r="G106">
        <v>38</v>
      </c>
      <c r="H106">
        <v>1044</v>
      </c>
      <c r="I106" t="s">
        <v>1571</v>
      </c>
      <c r="J106" t="s">
        <v>1571</v>
      </c>
      <c r="K106" s="5" t="s">
        <v>1608</v>
      </c>
      <c r="L106" s="5" t="s">
        <v>1632</v>
      </c>
      <c r="M106" t="s">
        <v>1572</v>
      </c>
      <c r="N106">
        <v>4176</v>
      </c>
      <c r="O106">
        <v>138</v>
      </c>
      <c r="P106">
        <v>1540</v>
      </c>
      <c r="Q106">
        <v>0.21</v>
      </c>
    </row>
    <row r="107" spans="1:17" x14ac:dyDescent="0.25">
      <c r="A107" t="s">
        <v>1577</v>
      </c>
      <c r="B107" t="s">
        <v>425</v>
      </c>
      <c r="C107">
        <v>2100</v>
      </c>
      <c r="D107">
        <v>244420</v>
      </c>
      <c r="E107">
        <v>244640</v>
      </c>
      <c r="F107" s="12">
        <v>46265</v>
      </c>
      <c r="G107">
        <v>38</v>
      </c>
      <c r="H107">
        <v>4</v>
      </c>
      <c r="I107" t="s">
        <v>1571</v>
      </c>
      <c r="J107" t="s">
        <v>1571</v>
      </c>
      <c r="K107" s="5" t="s">
        <v>1594</v>
      </c>
      <c r="L107" s="5" t="s">
        <v>1572</v>
      </c>
      <c r="M107" t="s">
        <v>1572</v>
      </c>
      <c r="N107">
        <v>16</v>
      </c>
      <c r="O107">
        <v>138</v>
      </c>
      <c r="P107">
        <v>1540</v>
      </c>
      <c r="Q107">
        <v>55</v>
      </c>
    </row>
    <row r="108" spans="1:17" x14ac:dyDescent="0.25">
      <c r="A108" t="s">
        <v>1578</v>
      </c>
      <c r="B108" t="s">
        <v>425</v>
      </c>
      <c r="C108">
        <v>2100</v>
      </c>
      <c r="D108">
        <v>244420</v>
      </c>
      <c r="E108">
        <v>244640</v>
      </c>
      <c r="F108" s="12">
        <v>46265</v>
      </c>
      <c r="G108">
        <v>38</v>
      </c>
      <c r="H108">
        <v>1044</v>
      </c>
      <c r="I108" t="s">
        <v>1571</v>
      </c>
      <c r="J108" t="s">
        <v>1571</v>
      </c>
      <c r="K108" s="5" t="s">
        <v>1608</v>
      </c>
      <c r="L108" s="5" t="s">
        <v>1632</v>
      </c>
      <c r="M108" t="s">
        <v>1572</v>
      </c>
      <c r="N108">
        <v>4176</v>
      </c>
      <c r="O108">
        <v>138</v>
      </c>
      <c r="P108">
        <v>1540</v>
      </c>
      <c r="Q108">
        <v>0.21</v>
      </c>
    </row>
    <row r="109" spans="1:17" x14ac:dyDescent="0.25">
      <c r="A109" t="s">
        <v>1578</v>
      </c>
      <c r="B109" t="s">
        <v>425</v>
      </c>
      <c r="C109">
        <v>2100</v>
      </c>
      <c r="D109">
        <v>244420</v>
      </c>
      <c r="E109">
        <v>244640</v>
      </c>
      <c r="F109" s="12">
        <v>46265</v>
      </c>
      <c r="G109">
        <v>38</v>
      </c>
      <c r="H109">
        <v>4</v>
      </c>
      <c r="I109" t="s">
        <v>1571</v>
      </c>
      <c r="J109" t="s">
        <v>1571</v>
      </c>
      <c r="K109" s="5" t="s">
        <v>1594</v>
      </c>
      <c r="L109" s="5" t="s">
        <v>1572</v>
      </c>
      <c r="M109" t="s">
        <v>1572</v>
      </c>
      <c r="N109">
        <v>16</v>
      </c>
      <c r="O109">
        <v>138</v>
      </c>
      <c r="P109">
        <v>1540</v>
      </c>
      <c r="Q109">
        <v>55</v>
      </c>
    </row>
    <row r="110" spans="1:17" x14ac:dyDescent="0.25">
      <c r="A110" t="s">
        <v>1579</v>
      </c>
      <c r="B110" t="s">
        <v>425</v>
      </c>
      <c r="C110">
        <v>2100</v>
      </c>
      <c r="D110">
        <v>244420</v>
      </c>
      <c r="E110">
        <v>244640</v>
      </c>
      <c r="F110" s="12">
        <v>46265</v>
      </c>
      <c r="G110">
        <v>38</v>
      </c>
      <c r="H110">
        <v>1044</v>
      </c>
      <c r="I110" t="s">
        <v>1571</v>
      </c>
      <c r="J110" t="s">
        <v>1571</v>
      </c>
      <c r="K110" s="5" t="s">
        <v>1779</v>
      </c>
      <c r="L110" s="5" t="s">
        <v>1780</v>
      </c>
      <c r="M110" t="s">
        <v>1572</v>
      </c>
      <c r="N110">
        <v>5336</v>
      </c>
      <c r="O110">
        <v>138</v>
      </c>
      <c r="P110">
        <v>1540</v>
      </c>
      <c r="Q110">
        <v>0.21</v>
      </c>
    </row>
    <row r="111" spans="1:17" x14ac:dyDescent="0.25">
      <c r="A111" t="s">
        <v>1579</v>
      </c>
      <c r="B111" t="s">
        <v>425</v>
      </c>
      <c r="C111">
        <v>2100</v>
      </c>
      <c r="D111">
        <v>244420</v>
      </c>
      <c r="E111">
        <v>244640</v>
      </c>
      <c r="F111" s="12">
        <v>46265</v>
      </c>
      <c r="G111">
        <v>38</v>
      </c>
      <c r="H111">
        <v>4</v>
      </c>
      <c r="I111" t="s">
        <v>1571</v>
      </c>
      <c r="J111" t="s">
        <v>1571</v>
      </c>
      <c r="K111" s="5" t="s">
        <v>1781</v>
      </c>
      <c r="L111" s="5" t="s">
        <v>1572</v>
      </c>
      <c r="M111" t="s">
        <v>1572</v>
      </c>
      <c r="N111">
        <v>20</v>
      </c>
      <c r="O111">
        <v>138</v>
      </c>
      <c r="P111">
        <v>1540</v>
      </c>
      <c r="Q111">
        <v>55</v>
      </c>
    </row>
    <row r="112" spans="1:17" x14ac:dyDescent="0.25">
      <c r="A112" t="s">
        <v>1580</v>
      </c>
      <c r="B112" t="s">
        <v>425</v>
      </c>
      <c r="C112">
        <v>2100</v>
      </c>
      <c r="D112">
        <v>244420</v>
      </c>
      <c r="E112">
        <v>244640</v>
      </c>
      <c r="F112" s="12">
        <v>46265</v>
      </c>
      <c r="G112">
        <v>38</v>
      </c>
      <c r="H112">
        <v>1044</v>
      </c>
      <c r="I112" t="s">
        <v>1571</v>
      </c>
      <c r="J112" t="s">
        <v>1571</v>
      </c>
      <c r="K112" s="5" t="s">
        <v>1782</v>
      </c>
      <c r="L112" s="5" t="s">
        <v>1783</v>
      </c>
      <c r="M112" t="s">
        <v>1572</v>
      </c>
      <c r="N112">
        <v>5626</v>
      </c>
      <c r="O112">
        <v>138</v>
      </c>
      <c r="P112">
        <v>1540</v>
      </c>
      <c r="Q112">
        <v>0.21</v>
      </c>
    </row>
    <row r="113" spans="1:17" x14ac:dyDescent="0.25">
      <c r="A113" t="s">
        <v>1580</v>
      </c>
      <c r="B113" t="s">
        <v>425</v>
      </c>
      <c r="C113">
        <v>2100</v>
      </c>
      <c r="D113">
        <v>244420</v>
      </c>
      <c r="E113">
        <v>244640</v>
      </c>
      <c r="F113" s="12">
        <v>46265</v>
      </c>
      <c r="G113">
        <v>38</v>
      </c>
      <c r="H113">
        <v>4</v>
      </c>
      <c r="I113" t="s">
        <v>1571</v>
      </c>
      <c r="J113" t="s">
        <v>1571</v>
      </c>
      <c r="K113" s="5" t="s">
        <v>1784</v>
      </c>
      <c r="L113" s="5" t="s">
        <v>1572</v>
      </c>
      <c r="M113" t="s">
        <v>1572</v>
      </c>
      <c r="N113">
        <v>24</v>
      </c>
      <c r="O113">
        <v>138</v>
      </c>
      <c r="P113">
        <v>1540</v>
      </c>
      <c r="Q113">
        <v>55</v>
      </c>
    </row>
    <row r="114" spans="1:17" x14ac:dyDescent="0.25">
      <c r="A114" t="s">
        <v>1581</v>
      </c>
      <c r="B114" t="s">
        <v>425</v>
      </c>
      <c r="C114">
        <v>2100</v>
      </c>
      <c r="D114">
        <v>244420</v>
      </c>
      <c r="E114">
        <v>244640</v>
      </c>
      <c r="F114" s="12">
        <v>46265</v>
      </c>
      <c r="G114">
        <v>38</v>
      </c>
      <c r="H114">
        <v>1044</v>
      </c>
      <c r="I114" t="s">
        <v>1571</v>
      </c>
      <c r="J114" t="s">
        <v>1571</v>
      </c>
      <c r="K114" s="5" t="s">
        <v>1785</v>
      </c>
      <c r="L114" s="5" t="s">
        <v>1786</v>
      </c>
      <c r="M114" t="s">
        <v>1572</v>
      </c>
      <c r="N114">
        <v>5665</v>
      </c>
      <c r="O114">
        <v>138</v>
      </c>
      <c r="P114">
        <v>1540</v>
      </c>
      <c r="Q114">
        <v>0.21</v>
      </c>
    </row>
    <row r="115" spans="1:17" x14ac:dyDescent="0.25">
      <c r="A115" t="s">
        <v>1581</v>
      </c>
      <c r="B115" t="s">
        <v>425</v>
      </c>
      <c r="C115">
        <v>2100</v>
      </c>
      <c r="D115">
        <v>244420</v>
      </c>
      <c r="E115">
        <v>244640</v>
      </c>
      <c r="F115" s="12">
        <v>46265</v>
      </c>
      <c r="G115">
        <v>38</v>
      </c>
      <c r="H115">
        <v>4</v>
      </c>
      <c r="I115" t="s">
        <v>1571</v>
      </c>
      <c r="J115" t="s">
        <v>1571</v>
      </c>
      <c r="K115" s="5" t="s">
        <v>1787</v>
      </c>
      <c r="L115" s="5" t="s">
        <v>1572</v>
      </c>
      <c r="M115" t="s">
        <v>1572</v>
      </c>
      <c r="N115">
        <v>23</v>
      </c>
      <c r="O115">
        <v>138</v>
      </c>
      <c r="P115">
        <v>1540</v>
      </c>
      <c r="Q115">
        <v>55</v>
      </c>
    </row>
    <row r="116" spans="1:17" x14ac:dyDescent="0.25">
      <c r="A116" t="s">
        <v>1582</v>
      </c>
      <c r="B116" t="s">
        <v>425</v>
      </c>
      <c r="C116">
        <v>2100</v>
      </c>
      <c r="D116">
        <v>244420</v>
      </c>
      <c r="E116">
        <v>244640</v>
      </c>
      <c r="F116" s="12">
        <v>46265</v>
      </c>
      <c r="G116">
        <v>38</v>
      </c>
      <c r="H116">
        <v>1044</v>
      </c>
      <c r="I116" t="s">
        <v>1571</v>
      </c>
      <c r="J116" t="s">
        <v>1571</v>
      </c>
      <c r="K116" s="5" t="s">
        <v>1788</v>
      </c>
      <c r="L116" s="5" t="s">
        <v>1789</v>
      </c>
      <c r="M116" t="s">
        <v>1572</v>
      </c>
      <c r="N116">
        <v>5621</v>
      </c>
      <c r="O116">
        <v>138</v>
      </c>
      <c r="P116">
        <v>1540</v>
      </c>
      <c r="Q116">
        <v>0.21</v>
      </c>
    </row>
    <row r="117" spans="1:17" x14ac:dyDescent="0.25">
      <c r="A117" t="s">
        <v>1582</v>
      </c>
      <c r="B117" t="s">
        <v>425</v>
      </c>
      <c r="C117">
        <v>2100</v>
      </c>
      <c r="D117">
        <v>244420</v>
      </c>
      <c r="E117">
        <v>244640</v>
      </c>
      <c r="F117" s="12">
        <v>46265</v>
      </c>
      <c r="G117">
        <v>38</v>
      </c>
      <c r="H117">
        <v>4</v>
      </c>
      <c r="I117" t="s">
        <v>1571</v>
      </c>
      <c r="J117" t="s">
        <v>1571</v>
      </c>
      <c r="K117" s="5" t="s">
        <v>1790</v>
      </c>
      <c r="L117" s="5" t="s">
        <v>1572</v>
      </c>
      <c r="M117" t="s">
        <v>1572</v>
      </c>
      <c r="N117">
        <v>19</v>
      </c>
      <c r="O117">
        <v>138</v>
      </c>
      <c r="P117">
        <v>1540</v>
      </c>
      <c r="Q117">
        <v>55</v>
      </c>
    </row>
    <row r="118" spans="1:17" x14ac:dyDescent="0.25">
      <c r="A118" t="s">
        <v>1583</v>
      </c>
      <c r="B118" t="s">
        <v>425</v>
      </c>
      <c r="C118">
        <v>2100</v>
      </c>
      <c r="D118">
        <v>244420</v>
      </c>
      <c r="E118">
        <v>244640</v>
      </c>
      <c r="F118" s="12">
        <v>46265</v>
      </c>
      <c r="G118">
        <v>38</v>
      </c>
      <c r="H118">
        <v>1044</v>
      </c>
      <c r="I118" t="s">
        <v>1571</v>
      </c>
      <c r="J118" t="s">
        <v>1571</v>
      </c>
      <c r="K118" s="5" t="s">
        <v>1791</v>
      </c>
      <c r="L118" s="5" t="s">
        <v>1792</v>
      </c>
      <c r="M118" t="s">
        <v>1572</v>
      </c>
      <c r="N118">
        <v>5789</v>
      </c>
      <c r="O118">
        <v>138</v>
      </c>
      <c r="P118">
        <v>1540</v>
      </c>
      <c r="Q118">
        <v>0.21</v>
      </c>
    </row>
    <row r="119" spans="1:17" x14ac:dyDescent="0.25">
      <c r="A119" t="s">
        <v>1583</v>
      </c>
      <c r="B119" t="s">
        <v>425</v>
      </c>
      <c r="C119">
        <v>2100</v>
      </c>
      <c r="D119">
        <v>244420</v>
      </c>
      <c r="E119">
        <v>244640</v>
      </c>
      <c r="F119" s="12">
        <v>46265</v>
      </c>
      <c r="G119">
        <v>38</v>
      </c>
      <c r="H119">
        <v>4</v>
      </c>
      <c r="I119" t="s">
        <v>1571</v>
      </c>
      <c r="J119" t="s">
        <v>1571</v>
      </c>
      <c r="K119" s="5" t="s">
        <v>1793</v>
      </c>
      <c r="L119" s="5" t="s">
        <v>1572</v>
      </c>
      <c r="M119" t="s">
        <v>1572</v>
      </c>
      <c r="N119">
        <v>24</v>
      </c>
      <c r="O119">
        <v>138</v>
      </c>
      <c r="P119">
        <v>1540</v>
      </c>
      <c r="Q119">
        <v>55</v>
      </c>
    </row>
    <row r="120" spans="1:17" x14ac:dyDescent="0.25">
      <c r="A120" t="s">
        <v>1584</v>
      </c>
      <c r="B120" t="s">
        <v>425</v>
      </c>
      <c r="C120">
        <v>2100</v>
      </c>
      <c r="D120">
        <v>244420</v>
      </c>
      <c r="E120">
        <v>244640</v>
      </c>
      <c r="F120" s="12">
        <v>46265</v>
      </c>
      <c r="G120">
        <v>38</v>
      </c>
      <c r="H120">
        <v>1044</v>
      </c>
      <c r="I120" t="s">
        <v>1571</v>
      </c>
      <c r="J120" t="s">
        <v>1571</v>
      </c>
      <c r="K120" s="5" t="s">
        <v>1794</v>
      </c>
      <c r="L120" s="5" t="s">
        <v>1795</v>
      </c>
      <c r="M120" t="s">
        <v>1572</v>
      </c>
      <c r="N120">
        <v>6155</v>
      </c>
      <c r="O120">
        <v>138</v>
      </c>
      <c r="P120">
        <v>1540</v>
      </c>
      <c r="Q120">
        <v>0.21</v>
      </c>
    </row>
    <row r="121" spans="1:17" x14ac:dyDescent="0.25">
      <c r="A121" t="s">
        <v>1584</v>
      </c>
      <c r="B121" t="s">
        <v>425</v>
      </c>
      <c r="C121">
        <v>2100</v>
      </c>
      <c r="D121">
        <v>244420</v>
      </c>
      <c r="E121">
        <v>244640</v>
      </c>
      <c r="F121" s="12">
        <v>46265</v>
      </c>
      <c r="G121">
        <v>38</v>
      </c>
      <c r="H121">
        <v>4</v>
      </c>
      <c r="I121" t="s">
        <v>1571</v>
      </c>
      <c r="J121" t="s">
        <v>1571</v>
      </c>
      <c r="K121" s="5" t="s">
        <v>1796</v>
      </c>
      <c r="L121" s="5" t="s">
        <v>1572</v>
      </c>
      <c r="M121" t="s">
        <v>1572</v>
      </c>
      <c r="N121">
        <v>24</v>
      </c>
      <c r="O121">
        <v>138</v>
      </c>
      <c r="P121">
        <v>1540</v>
      </c>
      <c r="Q121">
        <v>55</v>
      </c>
    </row>
    <row r="122" spans="1:17" x14ac:dyDescent="0.25">
      <c r="A122" t="s">
        <v>1570</v>
      </c>
      <c r="B122" t="s">
        <v>425</v>
      </c>
      <c r="C122">
        <v>2100</v>
      </c>
      <c r="D122">
        <v>244640</v>
      </c>
      <c r="E122">
        <v>244860</v>
      </c>
      <c r="F122" s="12">
        <v>46265</v>
      </c>
      <c r="G122">
        <v>38</v>
      </c>
      <c r="H122">
        <v>8</v>
      </c>
      <c r="I122" t="s">
        <v>1571</v>
      </c>
      <c r="J122" t="s">
        <v>1571</v>
      </c>
      <c r="K122" s="5" t="s">
        <v>1797</v>
      </c>
      <c r="L122" s="5" t="s">
        <v>1572</v>
      </c>
      <c r="M122" t="s">
        <v>1572</v>
      </c>
      <c r="N122">
        <v>44</v>
      </c>
      <c r="O122">
        <v>139</v>
      </c>
      <c r="P122">
        <v>0</v>
      </c>
      <c r="Q122">
        <v>27.5</v>
      </c>
    </row>
    <row r="123" spans="1:17" x14ac:dyDescent="0.25">
      <c r="A123" t="s">
        <v>1570</v>
      </c>
      <c r="B123" t="s">
        <v>425</v>
      </c>
      <c r="C123">
        <v>2100</v>
      </c>
      <c r="D123">
        <v>244640</v>
      </c>
      <c r="E123">
        <v>244860</v>
      </c>
      <c r="F123" s="12">
        <v>46265</v>
      </c>
      <c r="G123">
        <v>38</v>
      </c>
      <c r="H123">
        <v>1039</v>
      </c>
      <c r="I123" t="s">
        <v>1571</v>
      </c>
      <c r="J123" t="s">
        <v>1571</v>
      </c>
      <c r="K123" s="5" t="s">
        <v>1798</v>
      </c>
      <c r="L123" s="5" t="s">
        <v>1799</v>
      </c>
      <c r="M123" t="s">
        <v>1572</v>
      </c>
      <c r="N123">
        <v>5595</v>
      </c>
      <c r="O123">
        <v>139</v>
      </c>
      <c r="P123">
        <v>0</v>
      </c>
      <c r="Q123">
        <v>0.21</v>
      </c>
    </row>
    <row r="124" spans="1:17" x14ac:dyDescent="0.25">
      <c r="A124" t="s">
        <v>1573</v>
      </c>
      <c r="B124" t="s">
        <v>425</v>
      </c>
      <c r="C124">
        <v>2100</v>
      </c>
      <c r="D124">
        <v>244640</v>
      </c>
      <c r="E124">
        <v>244860</v>
      </c>
      <c r="F124" s="12">
        <v>46265</v>
      </c>
      <c r="G124">
        <v>38</v>
      </c>
      <c r="H124">
        <v>8</v>
      </c>
      <c r="I124" t="s">
        <v>1571</v>
      </c>
      <c r="J124" t="s">
        <v>1571</v>
      </c>
      <c r="K124" s="5" t="s">
        <v>1800</v>
      </c>
      <c r="L124" s="5" t="s">
        <v>1572</v>
      </c>
      <c r="M124" t="s">
        <v>1572</v>
      </c>
      <c r="N124">
        <v>40</v>
      </c>
      <c r="O124">
        <v>139</v>
      </c>
      <c r="P124">
        <v>0</v>
      </c>
      <c r="Q124">
        <v>27.5</v>
      </c>
    </row>
    <row r="125" spans="1:17" x14ac:dyDescent="0.25">
      <c r="A125" t="s">
        <v>1573</v>
      </c>
      <c r="B125" t="s">
        <v>425</v>
      </c>
      <c r="C125">
        <v>2100</v>
      </c>
      <c r="D125">
        <v>244640</v>
      </c>
      <c r="E125">
        <v>244860</v>
      </c>
      <c r="F125" s="12">
        <v>46265</v>
      </c>
      <c r="G125">
        <v>38</v>
      </c>
      <c r="H125">
        <v>1039</v>
      </c>
      <c r="I125" t="s">
        <v>1571</v>
      </c>
      <c r="J125" t="s">
        <v>1571</v>
      </c>
      <c r="K125" s="5" t="s">
        <v>1801</v>
      </c>
      <c r="L125" s="5" t="s">
        <v>1802</v>
      </c>
      <c r="M125" t="s">
        <v>1572</v>
      </c>
      <c r="N125">
        <v>5586</v>
      </c>
      <c r="O125">
        <v>139</v>
      </c>
      <c r="P125">
        <v>0</v>
      </c>
      <c r="Q125">
        <v>0.21</v>
      </c>
    </row>
    <row r="126" spans="1:17" x14ac:dyDescent="0.25">
      <c r="A126" t="s">
        <v>1574</v>
      </c>
      <c r="B126" t="s">
        <v>425</v>
      </c>
      <c r="C126">
        <v>2100</v>
      </c>
      <c r="D126">
        <v>244640</v>
      </c>
      <c r="E126">
        <v>244860</v>
      </c>
      <c r="F126" s="12">
        <v>46265</v>
      </c>
      <c r="G126">
        <v>38</v>
      </c>
      <c r="H126">
        <v>8</v>
      </c>
      <c r="I126" t="s">
        <v>1571</v>
      </c>
      <c r="J126" t="s">
        <v>1571</v>
      </c>
      <c r="K126" s="5" t="s">
        <v>1803</v>
      </c>
      <c r="L126" s="5" t="s">
        <v>1572</v>
      </c>
      <c r="M126" t="s">
        <v>1572</v>
      </c>
      <c r="N126">
        <v>55</v>
      </c>
      <c r="O126">
        <v>139</v>
      </c>
      <c r="P126">
        <v>0</v>
      </c>
      <c r="Q126">
        <v>27.5</v>
      </c>
    </row>
    <row r="127" spans="1:17" x14ac:dyDescent="0.25">
      <c r="A127" t="s">
        <v>1574</v>
      </c>
      <c r="B127" t="s">
        <v>425</v>
      </c>
      <c r="C127">
        <v>2100</v>
      </c>
      <c r="D127">
        <v>244640</v>
      </c>
      <c r="E127">
        <v>244860</v>
      </c>
      <c r="F127" s="12">
        <v>46265</v>
      </c>
      <c r="G127">
        <v>38</v>
      </c>
      <c r="H127">
        <v>1039</v>
      </c>
      <c r="I127" t="s">
        <v>1571</v>
      </c>
      <c r="J127" t="s">
        <v>1571</v>
      </c>
      <c r="K127" s="5" t="s">
        <v>1804</v>
      </c>
      <c r="L127" s="5" t="s">
        <v>1805</v>
      </c>
      <c r="M127" t="s">
        <v>1572</v>
      </c>
      <c r="N127">
        <v>6376</v>
      </c>
      <c r="O127">
        <v>139</v>
      </c>
      <c r="P127">
        <v>0</v>
      </c>
      <c r="Q127">
        <v>0.21</v>
      </c>
    </row>
    <row r="128" spans="1:17" x14ac:dyDescent="0.25">
      <c r="A128" t="s">
        <v>1575</v>
      </c>
      <c r="B128" t="s">
        <v>425</v>
      </c>
      <c r="C128">
        <v>2100</v>
      </c>
      <c r="D128">
        <v>244640</v>
      </c>
      <c r="E128">
        <v>244860</v>
      </c>
      <c r="F128" s="12">
        <v>46265</v>
      </c>
      <c r="G128">
        <v>38</v>
      </c>
      <c r="H128">
        <v>8</v>
      </c>
      <c r="I128" t="s">
        <v>1571</v>
      </c>
      <c r="J128" t="s">
        <v>1571</v>
      </c>
      <c r="K128" s="5" t="s">
        <v>1806</v>
      </c>
      <c r="L128" s="5" t="s">
        <v>1572</v>
      </c>
      <c r="M128" t="s">
        <v>1572</v>
      </c>
      <c r="N128">
        <v>55</v>
      </c>
      <c r="O128">
        <v>139</v>
      </c>
      <c r="P128">
        <v>0</v>
      </c>
      <c r="Q128">
        <v>27.5</v>
      </c>
    </row>
    <row r="129" spans="1:17" x14ac:dyDescent="0.25">
      <c r="A129" t="s">
        <v>1575</v>
      </c>
      <c r="B129" t="s">
        <v>425</v>
      </c>
      <c r="C129">
        <v>2100</v>
      </c>
      <c r="D129">
        <v>244640</v>
      </c>
      <c r="E129">
        <v>244860</v>
      </c>
      <c r="F129" s="12">
        <v>46265</v>
      </c>
      <c r="G129">
        <v>38</v>
      </c>
      <c r="H129">
        <v>1039</v>
      </c>
      <c r="I129" t="s">
        <v>1571</v>
      </c>
      <c r="J129" t="s">
        <v>1571</v>
      </c>
      <c r="K129" s="5" t="s">
        <v>1807</v>
      </c>
      <c r="L129" s="5" t="s">
        <v>1808</v>
      </c>
      <c r="M129" t="s">
        <v>1572</v>
      </c>
      <c r="N129">
        <v>5770</v>
      </c>
      <c r="O129">
        <v>139</v>
      </c>
      <c r="P129">
        <v>0</v>
      </c>
      <c r="Q129">
        <v>0.21</v>
      </c>
    </row>
    <row r="130" spans="1:17" x14ac:dyDescent="0.25">
      <c r="A130" t="s">
        <v>1576</v>
      </c>
      <c r="B130" t="s">
        <v>425</v>
      </c>
      <c r="C130">
        <v>2100</v>
      </c>
      <c r="D130">
        <v>244640</v>
      </c>
      <c r="E130">
        <v>244860</v>
      </c>
      <c r="F130" s="12">
        <v>46265</v>
      </c>
      <c r="G130">
        <v>38</v>
      </c>
      <c r="H130">
        <v>8</v>
      </c>
      <c r="I130" t="s">
        <v>1571</v>
      </c>
      <c r="J130" t="s">
        <v>1571</v>
      </c>
      <c r="K130" s="5" t="s">
        <v>1809</v>
      </c>
      <c r="L130" s="5" t="s">
        <v>1572</v>
      </c>
      <c r="M130" t="s">
        <v>1572</v>
      </c>
      <c r="N130">
        <v>48</v>
      </c>
      <c r="O130">
        <v>139</v>
      </c>
      <c r="P130">
        <v>0</v>
      </c>
      <c r="Q130">
        <v>27.5</v>
      </c>
    </row>
    <row r="131" spans="1:17" x14ac:dyDescent="0.25">
      <c r="A131" t="s">
        <v>1576</v>
      </c>
      <c r="B131" t="s">
        <v>425</v>
      </c>
      <c r="C131">
        <v>2100</v>
      </c>
      <c r="D131">
        <v>244640</v>
      </c>
      <c r="E131">
        <v>244860</v>
      </c>
      <c r="F131" s="12">
        <v>46265</v>
      </c>
      <c r="G131">
        <v>38</v>
      </c>
      <c r="H131">
        <v>1039</v>
      </c>
      <c r="I131" t="s">
        <v>1571</v>
      </c>
      <c r="J131" t="s">
        <v>1571</v>
      </c>
      <c r="K131" s="5" t="s">
        <v>1810</v>
      </c>
      <c r="L131" s="5" t="s">
        <v>1811</v>
      </c>
      <c r="M131" t="s">
        <v>1572</v>
      </c>
      <c r="N131">
        <v>5646</v>
      </c>
      <c r="O131">
        <v>139</v>
      </c>
      <c r="P131">
        <v>0</v>
      </c>
      <c r="Q131">
        <v>0.21</v>
      </c>
    </row>
    <row r="132" spans="1:17" x14ac:dyDescent="0.25">
      <c r="A132" t="s">
        <v>1577</v>
      </c>
      <c r="B132" t="s">
        <v>425</v>
      </c>
      <c r="C132">
        <v>2100</v>
      </c>
      <c r="D132">
        <v>244640</v>
      </c>
      <c r="E132">
        <v>244860</v>
      </c>
      <c r="F132" s="12">
        <v>46265</v>
      </c>
      <c r="G132">
        <v>38</v>
      </c>
      <c r="H132">
        <v>8</v>
      </c>
      <c r="I132" t="s">
        <v>1571</v>
      </c>
      <c r="J132" t="s">
        <v>1571</v>
      </c>
      <c r="K132" s="5" t="s">
        <v>1595</v>
      </c>
      <c r="L132" s="5" t="s">
        <v>1572</v>
      </c>
      <c r="M132" t="s">
        <v>1572</v>
      </c>
      <c r="N132">
        <v>32</v>
      </c>
      <c r="O132">
        <v>139</v>
      </c>
      <c r="P132">
        <v>0</v>
      </c>
      <c r="Q132">
        <v>27.5</v>
      </c>
    </row>
    <row r="133" spans="1:17" x14ac:dyDescent="0.25">
      <c r="A133" t="s">
        <v>1577</v>
      </c>
      <c r="B133" t="s">
        <v>425</v>
      </c>
      <c r="C133">
        <v>2100</v>
      </c>
      <c r="D133">
        <v>244640</v>
      </c>
      <c r="E133">
        <v>244860</v>
      </c>
      <c r="F133" s="12">
        <v>46265</v>
      </c>
      <c r="G133">
        <v>38</v>
      </c>
      <c r="H133">
        <v>1039</v>
      </c>
      <c r="I133" t="s">
        <v>1571</v>
      </c>
      <c r="J133" t="s">
        <v>1571</v>
      </c>
      <c r="K133" s="5" t="s">
        <v>1608</v>
      </c>
      <c r="L133" s="5" t="s">
        <v>1609</v>
      </c>
      <c r="M133" t="s">
        <v>1572</v>
      </c>
      <c r="N133">
        <v>4156</v>
      </c>
      <c r="O133">
        <v>139</v>
      </c>
      <c r="P133">
        <v>0</v>
      </c>
      <c r="Q133">
        <v>0.21</v>
      </c>
    </row>
    <row r="134" spans="1:17" x14ac:dyDescent="0.25">
      <c r="A134" t="s">
        <v>1578</v>
      </c>
      <c r="B134" t="s">
        <v>425</v>
      </c>
      <c r="C134">
        <v>2100</v>
      </c>
      <c r="D134">
        <v>244640</v>
      </c>
      <c r="E134">
        <v>244860</v>
      </c>
      <c r="F134" s="12">
        <v>46265</v>
      </c>
      <c r="G134">
        <v>38</v>
      </c>
      <c r="H134">
        <v>8</v>
      </c>
      <c r="I134" t="s">
        <v>1571</v>
      </c>
      <c r="J134" t="s">
        <v>1571</v>
      </c>
      <c r="K134" s="5" t="s">
        <v>1595</v>
      </c>
      <c r="L134" s="5" t="s">
        <v>1572</v>
      </c>
      <c r="M134" t="s">
        <v>1572</v>
      </c>
      <c r="N134">
        <v>32</v>
      </c>
      <c r="O134">
        <v>139</v>
      </c>
      <c r="P134">
        <v>0</v>
      </c>
      <c r="Q134">
        <v>27.5</v>
      </c>
    </row>
    <row r="135" spans="1:17" x14ac:dyDescent="0.25">
      <c r="A135" t="s">
        <v>1578</v>
      </c>
      <c r="B135" t="s">
        <v>425</v>
      </c>
      <c r="C135">
        <v>2100</v>
      </c>
      <c r="D135">
        <v>244640</v>
      </c>
      <c r="E135">
        <v>244860</v>
      </c>
      <c r="F135" s="12">
        <v>46265</v>
      </c>
      <c r="G135">
        <v>38</v>
      </c>
      <c r="H135">
        <v>1039</v>
      </c>
      <c r="I135" t="s">
        <v>1571</v>
      </c>
      <c r="J135" t="s">
        <v>1571</v>
      </c>
      <c r="K135" s="5" t="s">
        <v>1608</v>
      </c>
      <c r="L135" s="5" t="s">
        <v>1609</v>
      </c>
      <c r="M135" t="s">
        <v>1572</v>
      </c>
      <c r="N135">
        <v>4156</v>
      </c>
      <c r="O135">
        <v>139</v>
      </c>
      <c r="P135">
        <v>0</v>
      </c>
      <c r="Q135">
        <v>0.21</v>
      </c>
    </row>
    <row r="136" spans="1:17" x14ac:dyDescent="0.25">
      <c r="A136" t="s">
        <v>1579</v>
      </c>
      <c r="B136" t="s">
        <v>425</v>
      </c>
      <c r="C136">
        <v>2100</v>
      </c>
      <c r="D136">
        <v>244640</v>
      </c>
      <c r="E136">
        <v>244860</v>
      </c>
      <c r="F136" s="12">
        <v>46265</v>
      </c>
      <c r="G136">
        <v>38</v>
      </c>
      <c r="H136">
        <v>8</v>
      </c>
      <c r="I136" t="s">
        <v>1571</v>
      </c>
      <c r="J136" t="s">
        <v>1571</v>
      </c>
      <c r="K136" s="5" t="s">
        <v>1812</v>
      </c>
      <c r="L136" s="5" t="s">
        <v>1572</v>
      </c>
      <c r="M136" t="s">
        <v>1572</v>
      </c>
      <c r="N136">
        <v>39</v>
      </c>
      <c r="O136">
        <v>139</v>
      </c>
      <c r="P136">
        <v>0</v>
      </c>
      <c r="Q136">
        <v>27.5</v>
      </c>
    </row>
    <row r="137" spans="1:17" x14ac:dyDescent="0.25">
      <c r="A137" t="s">
        <v>1579</v>
      </c>
      <c r="B137" t="s">
        <v>425</v>
      </c>
      <c r="C137">
        <v>2100</v>
      </c>
      <c r="D137">
        <v>244640</v>
      </c>
      <c r="E137">
        <v>244860</v>
      </c>
      <c r="F137" s="12">
        <v>46265</v>
      </c>
      <c r="G137">
        <v>38</v>
      </c>
      <c r="H137">
        <v>1039</v>
      </c>
      <c r="I137" t="s">
        <v>1571</v>
      </c>
      <c r="J137" t="s">
        <v>1571</v>
      </c>
      <c r="K137" s="5" t="s">
        <v>1813</v>
      </c>
      <c r="L137" s="5" t="s">
        <v>1814</v>
      </c>
      <c r="M137" t="s">
        <v>1572</v>
      </c>
      <c r="N137">
        <v>5157</v>
      </c>
      <c r="O137">
        <v>139</v>
      </c>
      <c r="P137">
        <v>0</v>
      </c>
      <c r="Q137">
        <v>0.21</v>
      </c>
    </row>
    <row r="138" spans="1:17" x14ac:dyDescent="0.25">
      <c r="A138" t="s">
        <v>1580</v>
      </c>
      <c r="B138" t="s">
        <v>425</v>
      </c>
      <c r="C138">
        <v>2100</v>
      </c>
      <c r="D138">
        <v>244640</v>
      </c>
      <c r="E138">
        <v>244860</v>
      </c>
      <c r="F138" s="12">
        <v>46265</v>
      </c>
      <c r="G138">
        <v>38</v>
      </c>
      <c r="H138">
        <v>8</v>
      </c>
      <c r="I138" t="s">
        <v>1571</v>
      </c>
      <c r="J138" t="s">
        <v>1571</v>
      </c>
      <c r="K138" s="5" t="s">
        <v>1815</v>
      </c>
      <c r="L138" s="5" t="s">
        <v>1572</v>
      </c>
      <c r="M138" t="s">
        <v>1572</v>
      </c>
      <c r="N138">
        <v>48</v>
      </c>
      <c r="O138">
        <v>139</v>
      </c>
      <c r="P138">
        <v>0</v>
      </c>
      <c r="Q138">
        <v>27.5</v>
      </c>
    </row>
    <row r="139" spans="1:17" x14ac:dyDescent="0.25">
      <c r="A139" t="s">
        <v>1580</v>
      </c>
      <c r="B139" t="s">
        <v>425</v>
      </c>
      <c r="C139">
        <v>2100</v>
      </c>
      <c r="D139">
        <v>244640</v>
      </c>
      <c r="E139">
        <v>244860</v>
      </c>
      <c r="F139" s="12">
        <v>46265</v>
      </c>
      <c r="G139">
        <v>38</v>
      </c>
      <c r="H139">
        <v>1039</v>
      </c>
      <c r="I139" t="s">
        <v>1571</v>
      </c>
      <c r="J139" t="s">
        <v>1571</v>
      </c>
      <c r="K139" s="5" t="s">
        <v>1816</v>
      </c>
      <c r="L139" s="5" t="s">
        <v>1817</v>
      </c>
      <c r="M139" t="s">
        <v>1572</v>
      </c>
      <c r="N139">
        <v>5649</v>
      </c>
      <c r="O139">
        <v>139</v>
      </c>
      <c r="P139">
        <v>0</v>
      </c>
      <c r="Q139">
        <v>0.21</v>
      </c>
    </row>
    <row r="140" spans="1:17" x14ac:dyDescent="0.25">
      <c r="A140" t="s">
        <v>1581</v>
      </c>
      <c r="B140" t="s">
        <v>425</v>
      </c>
      <c r="C140">
        <v>2100</v>
      </c>
      <c r="D140">
        <v>244640</v>
      </c>
      <c r="E140">
        <v>244860</v>
      </c>
      <c r="F140" s="12">
        <v>46265</v>
      </c>
      <c r="G140">
        <v>38</v>
      </c>
      <c r="H140">
        <v>8</v>
      </c>
      <c r="I140" t="s">
        <v>1571</v>
      </c>
      <c r="J140" t="s">
        <v>1571</v>
      </c>
      <c r="K140" s="5" t="s">
        <v>1818</v>
      </c>
      <c r="L140" s="5" t="s">
        <v>1572</v>
      </c>
      <c r="M140" t="s">
        <v>1572</v>
      </c>
      <c r="N140">
        <v>47</v>
      </c>
      <c r="O140">
        <v>139</v>
      </c>
      <c r="P140">
        <v>0</v>
      </c>
      <c r="Q140">
        <v>27.5</v>
      </c>
    </row>
    <row r="141" spans="1:17" x14ac:dyDescent="0.25">
      <c r="A141" t="s">
        <v>1581</v>
      </c>
      <c r="B141" t="s">
        <v>425</v>
      </c>
      <c r="C141">
        <v>2100</v>
      </c>
      <c r="D141">
        <v>244640</v>
      </c>
      <c r="E141">
        <v>244860</v>
      </c>
      <c r="F141" s="12">
        <v>46265</v>
      </c>
      <c r="G141">
        <v>38</v>
      </c>
      <c r="H141">
        <v>1039</v>
      </c>
      <c r="I141" t="s">
        <v>1571</v>
      </c>
      <c r="J141" t="s">
        <v>1571</v>
      </c>
      <c r="K141" s="5" t="s">
        <v>1819</v>
      </c>
      <c r="L141" s="5" t="s">
        <v>1820</v>
      </c>
      <c r="M141" t="s">
        <v>1572</v>
      </c>
      <c r="N141">
        <v>5684</v>
      </c>
      <c r="O141">
        <v>139</v>
      </c>
      <c r="P141">
        <v>0</v>
      </c>
      <c r="Q141">
        <v>0.21</v>
      </c>
    </row>
    <row r="142" spans="1:17" x14ac:dyDescent="0.25">
      <c r="A142" t="s">
        <v>1582</v>
      </c>
      <c r="B142" t="s">
        <v>425</v>
      </c>
      <c r="C142">
        <v>2100</v>
      </c>
      <c r="D142">
        <v>244640</v>
      </c>
      <c r="E142">
        <v>244860</v>
      </c>
      <c r="F142" s="12">
        <v>46265</v>
      </c>
      <c r="G142">
        <v>38</v>
      </c>
      <c r="H142">
        <v>8</v>
      </c>
      <c r="I142" t="s">
        <v>1571</v>
      </c>
      <c r="J142" t="s">
        <v>1571</v>
      </c>
      <c r="K142" s="5" t="s">
        <v>1821</v>
      </c>
      <c r="L142" s="5" t="s">
        <v>1572</v>
      </c>
      <c r="M142" t="s">
        <v>1572</v>
      </c>
      <c r="N142">
        <v>39</v>
      </c>
      <c r="O142">
        <v>139</v>
      </c>
      <c r="P142">
        <v>0</v>
      </c>
      <c r="Q142">
        <v>27.5</v>
      </c>
    </row>
    <row r="143" spans="1:17" x14ac:dyDescent="0.25">
      <c r="A143" t="s">
        <v>1582</v>
      </c>
      <c r="B143" t="s">
        <v>425</v>
      </c>
      <c r="C143">
        <v>2100</v>
      </c>
      <c r="D143">
        <v>244640</v>
      </c>
      <c r="E143">
        <v>244860</v>
      </c>
      <c r="F143" s="12">
        <v>46265</v>
      </c>
      <c r="G143">
        <v>38</v>
      </c>
      <c r="H143">
        <v>1039</v>
      </c>
      <c r="I143" t="s">
        <v>1571</v>
      </c>
      <c r="J143" t="s">
        <v>1571</v>
      </c>
      <c r="K143" s="5" t="s">
        <v>1822</v>
      </c>
      <c r="L143" s="5" t="s">
        <v>1823</v>
      </c>
      <c r="M143" t="s">
        <v>1572</v>
      </c>
      <c r="N143">
        <v>5617</v>
      </c>
      <c r="O143">
        <v>139</v>
      </c>
      <c r="P143">
        <v>0</v>
      </c>
      <c r="Q143">
        <v>0.21</v>
      </c>
    </row>
    <row r="144" spans="1:17" x14ac:dyDescent="0.25">
      <c r="A144" t="s">
        <v>1583</v>
      </c>
      <c r="B144" t="s">
        <v>425</v>
      </c>
      <c r="C144">
        <v>2100</v>
      </c>
      <c r="D144">
        <v>244640</v>
      </c>
      <c r="E144">
        <v>244860</v>
      </c>
      <c r="F144" s="12">
        <v>46265</v>
      </c>
      <c r="G144">
        <v>38</v>
      </c>
      <c r="H144">
        <v>8</v>
      </c>
      <c r="I144" t="s">
        <v>1571</v>
      </c>
      <c r="J144" t="s">
        <v>1571</v>
      </c>
      <c r="K144" s="5" t="s">
        <v>1824</v>
      </c>
      <c r="L144" s="5" t="s">
        <v>1572</v>
      </c>
      <c r="M144" t="s">
        <v>1572</v>
      </c>
      <c r="N144">
        <v>42</v>
      </c>
      <c r="O144">
        <v>139</v>
      </c>
      <c r="P144">
        <v>0</v>
      </c>
      <c r="Q144">
        <v>27.5</v>
      </c>
    </row>
    <row r="145" spans="1:17" x14ac:dyDescent="0.25">
      <c r="A145" t="s">
        <v>1583</v>
      </c>
      <c r="B145" t="s">
        <v>425</v>
      </c>
      <c r="C145">
        <v>2100</v>
      </c>
      <c r="D145">
        <v>244640</v>
      </c>
      <c r="E145">
        <v>244860</v>
      </c>
      <c r="F145" s="12">
        <v>46265</v>
      </c>
      <c r="G145">
        <v>38</v>
      </c>
      <c r="H145">
        <v>1039</v>
      </c>
      <c r="I145" t="s">
        <v>1571</v>
      </c>
      <c r="J145" t="s">
        <v>1571</v>
      </c>
      <c r="K145" s="5" t="s">
        <v>1825</v>
      </c>
      <c r="L145" s="5" t="s">
        <v>1826</v>
      </c>
      <c r="M145" t="s">
        <v>1572</v>
      </c>
      <c r="N145">
        <v>5457</v>
      </c>
      <c r="O145">
        <v>139</v>
      </c>
      <c r="P145">
        <v>0</v>
      </c>
      <c r="Q145">
        <v>0.21</v>
      </c>
    </row>
    <row r="146" spans="1:17" x14ac:dyDescent="0.25">
      <c r="A146" t="s">
        <v>1584</v>
      </c>
      <c r="B146" t="s">
        <v>425</v>
      </c>
      <c r="C146">
        <v>2100</v>
      </c>
      <c r="D146">
        <v>244640</v>
      </c>
      <c r="E146">
        <v>244860</v>
      </c>
      <c r="F146" s="12">
        <v>46265</v>
      </c>
      <c r="G146">
        <v>38</v>
      </c>
      <c r="H146">
        <v>8</v>
      </c>
      <c r="I146" t="s">
        <v>1571</v>
      </c>
      <c r="J146" t="s">
        <v>1571</v>
      </c>
      <c r="K146" s="5" t="s">
        <v>1827</v>
      </c>
      <c r="L146" s="5" t="s">
        <v>1572</v>
      </c>
      <c r="M146" t="s">
        <v>1572</v>
      </c>
      <c r="N146">
        <v>48</v>
      </c>
      <c r="O146">
        <v>139</v>
      </c>
      <c r="P146">
        <v>0</v>
      </c>
      <c r="Q146">
        <v>27.5</v>
      </c>
    </row>
    <row r="147" spans="1:17" x14ac:dyDescent="0.25">
      <c r="A147" t="s">
        <v>1584</v>
      </c>
      <c r="B147" t="s">
        <v>425</v>
      </c>
      <c r="C147">
        <v>2100</v>
      </c>
      <c r="D147">
        <v>244640</v>
      </c>
      <c r="E147">
        <v>244860</v>
      </c>
      <c r="F147" s="12">
        <v>46265</v>
      </c>
      <c r="G147">
        <v>38</v>
      </c>
      <c r="H147">
        <v>1039</v>
      </c>
      <c r="I147" t="s">
        <v>1571</v>
      </c>
      <c r="J147" t="s">
        <v>1571</v>
      </c>
      <c r="K147" s="5" t="s">
        <v>1828</v>
      </c>
      <c r="L147" s="5" t="s">
        <v>1829</v>
      </c>
      <c r="M147" t="s">
        <v>1572</v>
      </c>
      <c r="N147">
        <v>6128</v>
      </c>
      <c r="O147">
        <v>139</v>
      </c>
      <c r="P147">
        <v>0</v>
      </c>
      <c r="Q147">
        <v>0.21</v>
      </c>
    </row>
    <row r="148" spans="1:17" x14ac:dyDescent="0.25">
      <c r="A148" t="s">
        <v>1570</v>
      </c>
      <c r="B148" t="s">
        <v>425</v>
      </c>
      <c r="C148">
        <v>2100</v>
      </c>
      <c r="D148">
        <v>244860</v>
      </c>
      <c r="E148">
        <v>245080</v>
      </c>
      <c r="F148" s="12">
        <v>46265</v>
      </c>
      <c r="G148">
        <v>38</v>
      </c>
      <c r="H148">
        <v>1041</v>
      </c>
      <c r="I148" t="s">
        <v>1571</v>
      </c>
      <c r="J148" t="s">
        <v>1571</v>
      </c>
      <c r="K148" s="5" t="s">
        <v>1830</v>
      </c>
      <c r="L148" s="5" t="s">
        <v>1831</v>
      </c>
      <c r="M148" t="s">
        <v>1572</v>
      </c>
      <c r="N148">
        <v>5631</v>
      </c>
      <c r="O148">
        <v>139</v>
      </c>
      <c r="P148">
        <v>220</v>
      </c>
      <c r="Q148">
        <v>0.21</v>
      </c>
    </row>
    <row r="149" spans="1:17" x14ac:dyDescent="0.25">
      <c r="A149" t="s">
        <v>1573</v>
      </c>
      <c r="B149" t="s">
        <v>425</v>
      </c>
      <c r="C149">
        <v>2100</v>
      </c>
      <c r="D149">
        <v>244860</v>
      </c>
      <c r="E149">
        <v>245080</v>
      </c>
      <c r="F149" s="12">
        <v>46265</v>
      </c>
      <c r="G149">
        <v>38</v>
      </c>
      <c r="H149">
        <v>1041</v>
      </c>
      <c r="I149" t="s">
        <v>1571</v>
      </c>
      <c r="J149" t="s">
        <v>1571</v>
      </c>
      <c r="K149" s="5" t="s">
        <v>1832</v>
      </c>
      <c r="L149" s="5" t="s">
        <v>1833</v>
      </c>
      <c r="M149" t="s">
        <v>1572</v>
      </c>
      <c r="N149">
        <v>5626</v>
      </c>
      <c r="O149">
        <v>139</v>
      </c>
      <c r="P149">
        <v>220</v>
      </c>
      <c r="Q149">
        <v>0.21</v>
      </c>
    </row>
    <row r="150" spans="1:17" x14ac:dyDescent="0.25">
      <c r="A150" t="s">
        <v>1574</v>
      </c>
      <c r="B150" t="s">
        <v>425</v>
      </c>
      <c r="C150">
        <v>2100</v>
      </c>
      <c r="D150">
        <v>244860</v>
      </c>
      <c r="E150">
        <v>245080</v>
      </c>
      <c r="F150" s="12">
        <v>46265</v>
      </c>
      <c r="G150">
        <v>38</v>
      </c>
      <c r="H150">
        <v>1041</v>
      </c>
      <c r="I150" t="s">
        <v>1571</v>
      </c>
      <c r="J150" t="s">
        <v>1571</v>
      </c>
      <c r="K150" s="5" t="s">
        <v>1834</v>
      </c>
      <c r="L150" s="5" t="s">
        <v>1835</v>
      </c>
      <c r="M150" t="s">
        <v>1572</v>
      </c>
      <c r="N150">
        <v>5850</v>
      </c>
      <c r="O150">
        <v>139</v>
      </c>
      <c r="P150">
        <v>220</v>
      </c>
      <c r="Q150">
        <v>0.21</v>
      </c>
    </row>
    <row r="151" spans="1:17" x14ac:dyDescent="0.25">
      <c r="A151" t="s">
        <v>1575</v>
      </c>
      <c r="B151" t="s">
        <v>425</v>
      </c>
      <c r="C151">
        <v>2100</v>
      </c>
      <c r="D151">
        <v>244860</v>
      </c>
      <c r="E151">
        <v>245080</v>
      </c>
      <c r="F151" s="12">
        <v>46265</v>
      </c>
      <c r="G151">
        <v>38</v>
      </c>
      <c r="H151">
        <v>1041</v>
      </c>
      <c r="I151" t="s">
        <v>1571</v>
      </c>
      <c r="J151" t="s">
        <v>1571</v>
      </c>
      <c r="K151" s="5" t="s">
        <v>1836</v>
      </c>
      <c r="L151" s="5" t="s">
        <v>1837</v>
      </c>
      <c r="M151" t="s">
        <v>1572</v>
      </c>
      <c r="N151">
        <v>5167</v>
      </c>
      <c r="O151">
        <v>139</v>
      </c>
      <c r="P151">
        <v>220</v>
      </c>
      <c r="Q151">
        <v>0.21</v>
      </c>
    </row>
    <row r="152" spans="1:17" x14ac:dyDescent="0.25">
      <c r="A152" t="s">
        <v>1576</v>
      </c>
      <c r="B152" t="s">
        <v>425</v>
      </c>
      <c r="C152">
        <v>2100</v>
      </c>
      <c r="D152">
        <v>244860</v>
      </c>
      <c r="E152">
        <v>245080</v>
      </c>
      <c r="F152" s="12">
        <v>46265</v>
      </c>
      <c r="G152">
        <v>38</v>
      </c>
      <c r="H152">
        <v>1041</v>
      </c>
      <c r="I152" t="s">
        <v>1571</v>
      </c>
      <c r="J152" t="s">
        <v>1571</v>
      </c>
      <c r="K152" s="5" t="s">
        <v>1838</v>
      </c>
      <c r="L152" s="5" t="s">
        <v>1839</v>
      </c>
      <c r="M152" t="s">
        <v>1572</v>
      </c>
      <c r="N152">
        <v>5730</v>
      </c>
      <c r="O152">
        <v>139</v>
      </c>
      <c r="P152">
        <v>220</v>
      </c>
      <c r="Q152">
        <v>0.21</v>
      </c>
    </row>
    <row r="153" spans="1:17" x14ac:dyDescent="0.25">
      <c r="A153" t="s">
        <v>1577</v>
      </c>
      <c r="B153" t="s">
        <v>425</v>
      </c>
      <c r="C153">
        <v>2100</v>
      </c>
      <c r="D153">
        <v>244860</v>
      </c>
      <c r="E153">
        <v>245080</v>
      </c>
      <c r="F153" s="12">
        <v>46265</v>
      </c>
      <c r="G153">
        <v>38</v>
      </c>
      <c r="H153">
        <v>1041</v>
      </c>
      <c r="I153" t="s">
        <v>1571</v>
      </c>
      <c r="J153" t="s">
        <v>1571</v>
      </c>
      <c r="K153" s="5" t="s">
        <v>1608</v>
      </c>
      <c r="L153" s="5" t="s">
        <v>1840</v>
      </c>
      <c r="M153" t="s">
        <v>1572</v>
      </c>
      <c r="N153">
        <v>4164</v>
      </c>
      <c r="O153">
        <v>139</v>
      </c>
      <c r="P153">
        <v>220</v>
      </c>
      <c r="Q153">
        <v>0.21</v>
      </c>
    </row>
    <row r="154" spans="1:17" x14ac:dyDescent="0.25">
      <c r="A154" t="s">
        <v>1578</v>
      </c>
      <c r="B154" t="s">
        <v>425</v>
      </c>
      <c r="C154">
        <v>2100</v>
      </c>
      <c r="D154">
        <v>244860</v>
      </c>
      <c r="E154">
        <v>245080</v>
      </c>
      <c r="F154" s="12">
        <v>46265</v>
      </c>
      <c r="G154">
        <v>38</v>
      </c>
      <c r="H154">
        <v>1041</v>
      </c>
      <c r="I154" t="s">
        <v>1571</v>
      </c>
      <c r="J154" t="s">
        <v>1571</v>
      </c>
      <c r="K154" s="5" t="s">
        <v>1608</v>
      </c>
      <c r="L154" s="5" t="s">
        <v>1840</v>
      </c>
      <c r="M154" t="s">
        <v>1572</v>
      </c>
      <c r="N154">
        <v>4164</v>
      </c>
      <c r="O154">
        <v>139</v>
      </c>
      <c r="P154">
        <v>220</v>
      </c>
      <c r="Q154">
        <v>0.21</v>
      </c>
    </row>
    <row r="155" spans="1:17" x14ac:dyDescent="0.25">
      <c r="A155" t="s">
        <v>1579</v>
      </c>
      <c r="B155" t="s">
        <v>425</v>
      </c>
      <c r="C155">
        <v>2100</v>
      </c>
      <c r="D155">
        <v>244860</v>
      </c>
      <c r="E155">
        <v>245080</v>
      </c>
      <c r="F155" s="12">
        <v>46265</v>
      </c>
      <c r="G155">
        <v>38</v>
      </c>
      <c r="H155">
        <v>1041</v>
      </c>
      <c r="I155" t="s">
        <v>1571</v>
      </c>
      <c r="J155" t="s">
        <v>1571</v>
      </c>
      <c r="K155" s="5" t="s">
        <v>1841</v>
      </c>
      <c r="L155" s="5" t="s">
        <v>1842</v>
      </c>
      <c r="M155" t="s">
        <v>1572</v>
      </c>
      <c r="N155">
        <v>5276</v>
      </c>
      <c r="O155">
        <v>139</v>
      </c>
      <c r="P155">
        <v>220</v>
      </c>
      <c r="Q155">
        <v>0.21</v>
      </c>
    </row>
    <row r="156" spans="1:17" x14ac:dyDescent="0.25">
      <c r="A156" t="s">
        <v>1580</v>
      </c>
      <c r="B156" t="s">
        <v>425</v>
      </c>
      <c r="C156">
        <v>2100</v>
      </c>
      <c r="D156">
        <v>244860</v>
      </c>
      <c r="E156">
        <v>245080</v>
      </c>
      <c r="F156" s="12">
        <v>46265</v>
      </c>
      <c r="G156">
        <v>38</v>
      </c>
      <c r="H156">
        <v>1041</v>
      </c>
      <c r="I156" t="s">
        <v>1571</v>
      </c>
      <c r="J156" t="s">
        <v>1571</v>
      </c>
      <c r="K156" s="5" t="s">
        <v>1843</v>
      </c>
      <c r="L156" s="5" t="s">
        <v>1844</v>
      </c>
      <c r="M156" t="s">
        <v>1572</v>
      </c>
      <c r="N156">
        <v>5668</v>
      </c>
      <c r="O156">
        <v>139</v>
      </c>
      <c r="P156">
        <v>220</v>
      </c>
      <c r="Q156">
        <v>0.21</v>
      </c>
    </row>
    <row r="157" spans="1:17" x14ac:dyDescent="0.25">
      <c r="A157" t="s">
        <v>1581</v>
      </c>
      <c r="B157" t="s">
        <v>425</v>
      </c>
      <c r="C157">
        <v>2100</v>
      </c>
      <c r="D157">
        <v>244860</v>
      </c>
      <c r="E157">
        <v>245080</v>
      </c>
      <c r="F157" s="12">
        <v>46265</v>
      </c>
      <c r="G157">
        <v>38</v>
      </c>
      <c r="H157">
        <v>1041</v>
      </c>
      <c r="I157" t="s">
        <v>1571</v>
      </c>
      <c r="J157" t="s">
        <v>1571</v>
      </c>
      <c r="K157" s="5" t="s">
        <v>1845</v>
      </c>
      <c r="L157" s="5" t="s">
        <v>1846</v>
      </c>
      <c r="M157" t="s">
        <v>1572</v>
      </c>
      <c r="N157">
        <v>5537</v>
      </c>
      <c r="O157">
        <v>139</v>
      </c>
      <c r="P157">
        <v>220</v>
      </c>
      <c r="Q157">
        <v>0.21</v>
      </c>
    </row>
    <row r="158" spans="1:17" x14ac:dyDescent="0.25">
      <c r="A158" t="s">
        <v>1582</v>
      </c>
      <c r="B158" t="s">
        <v>425</v>
      </c>
      <c r="C158">
        <v>2100</v>
      </c>
      <c r="D158">
        <v>244860</v>
      </c>
      <c r="E158">
        <v>245080</v>
      </c>
      <c r="F158" s="12">
        <v>46265</v>
      </c>
      <c r="G158">
        <v>38</v>
      </c>
      <c r="H158">
        <v>1041</v>
      </c>
      <c r="I158" t="s">
        <v>1571</v>
      </c>
      <c r="J158" t="s">
        <v>1571</v>
      </c>
      <c r="K158" s="5" t="s">
        <v>1847</v>
      </c>
      <c r="L158" s="5" t="s">
        <v>1848</v>
      </c>
      <c r="M158" t="s">
        <v>1572</v>
      </c>
      <c r="N158">
        <v>5700</v>
      </c>
      <c r="O158">
        <v>139</v>
      </c>
      <c r="P158">
        <v>220</v>
      </c>
      <c r="Q158">
        <v>0.21</v>
      </c>
    </row>
    <row r="159" spans="1:17" x14ac:dyDescent="0.25">
      <c r="A159" t="s">
        <v>1583</v>
      </c>
      <c r="B159" t="s">
        <v>425</v>
      </c>
      <c r="C159">
        <v>2100</v>
      </c>
      <c r="D159">
        <v>244860</v>
      </c>
      <c r="E159">
        <v>245080</v>
      </c>
      <c r="F159" s="12">
        <v>46265</v>
      </c>
      <c r="G159">
        <v>38</v>
      </c>
      <c r="H159">
        <v>1041</v>
      </c>
      <c r="I159" t="s">
        <v>1571</v>
      </c>
      <c r="J159" t="s">
        <v>1571</v>
      </c>
      <c r="K159" s="5" t="s">
        <v>1849</v>
      </c>
      <c r="L159" s="5" t="s">
        <v>1850</v>
      </c>
      <c r="M159" t="s">
        <v>1572</v>
      </c>
      <c r="N159">
        <v>5619</v>
      </c>
      <c r="O159">
        <v>139</v>
      </c>
      <c r="P159">
        <v>220</v>
      </c>
      <c r="Q159">
        <v>0.21</v>
      </c>
    </row>
    <row r="160" spans="1:17" x14ac:dyDescent="0.25">
      <c r="A160" t="s">
        <v>1584</v>
      </c>
      <c r="B160" t="s">
        <v>425</v>
      </c>
      <c r="C160">
        <v>2100</v>
      </c>
      <c r="D160">
        <v>244860</v>
      </c>
      <c r="E160">
        <v>245080</v>
      </c>
      <c r="F160" s="12">
        <v>46265</v>
      </c>
      <c r="G160">
        <v>38</v>
      </c>
      <c r="H160">
        <v>1041</v>
      </c>
      <c r="I160" t="s">
        <v>1571</v>
      </c>
      <c r="J160" t="s">
        <v>1571</v>
      </c>
      <c r="K160" s="5" t="s">
        <v>1851</v>
      </c>
      <c r="L160" s="5" t="s">
        <v>1852</v>
      </c>
      <c r="M160" t="s">
        <v>1572</v>
      </c>
      <c r="N160">
        <v>6153</v>
      </c>
      <c r="O160">
        <v>139</v>
      </c>
      <c r="P160">
        <v>220</v>
      </c>
      <c r="Q160">
        <v>0.21</v>
      </c>
    </row>
    <row r="161" spans="1:17" x14ac:dyDescent="0.25">
      <c r="A161" t="s">
        <v>1570</v>
      </c>
      <c r="B161" t="s">
        <v>425</v>
      </c>
      <c r="C161">
        <v>2100</v>
      </c>
      <c r="D161">
        <v>245080</v>
      </c>
      <c r="E161">
        <v>245300</v>
      </c>
      <c r="F161" s="12">
        <v>46265</v>
      </c>
      <c r="G161">
        <v>38</v>
      </c>
      <c r="H161">
        <v>1042</v>
      </c>
      <c r="I161" t="s">
        <v>1571</v>
      </c>
      <c r="J161" t="s">
        <v>1571</v>
      </c>
      <c r="K161" s="5" t="s">
        <v>1853</v>
      </c>
      <c r="L161" s="5" t="s">
        <v>1854</v>
      </c>
      <c r="M161" t="s">
        <v>1572</v>
      </c>
      <c r="N161">
        <v>5661</v>
      </c>
      <c r="O161">
        <v>139</v>
      </c>
      <c r="P161">
        <v>440</v>
      </c>
      <c r="Q161">
        <v>0.21</v>
      </c>
    </row>
    <row r="162" spans="1:17" x14ac:dyDescent="0.25">
      <c r="A162" t="s">
        <v>1573</v>
      </c>
      <c r="B162" t="s">
        <v>425</v>
      </c>
      <c r="C162">
        <v>2100</v>
      </c>
      <c r="D162">
        <v>245080</v>
      </c>
      <c r="E162">
        <v>245300</v>
      </c>
      <c r="F162" s="12">
        <v>46265</v>
      </c>
      <c r="G162">
        <v>38</v>
      </c>
      <c r="H162">
        <v>1042</v>
      </c>
      <c r="I162" t="s">
        <v>1571</v>
      </c>
      <c r="J162" t="s">
        <v>1571</v>
      </c>
      <c r="K162" s="5" t="s">
        <v>1855</v>
      </c>
      <c r="L162" s="5" t="s">
        <v>1856</v>
      </c>
      <c r="M162" t="s">
        <v>1572</v>
      </c>
      <c r="N162">
        <v>5592</v>
      </c>
      <c r="O162">
        <v>139</v>
      </c>
      <c r="P162">
        <v>440</v>
      </c>
      <c r="Q162">
        <v>0.21</v>
      </c>
    </row>
    <row r="163" spans="1:17" x14ac:dyDescent="0.25">
      <c r="A163" t="s">
        <v>1574</v>
      </c>
      <c r="B163" t="s">
        <v>425</v>
      </c>
      <c r="C163">
        <v>2100</v>
      </c>
      <c r="D163">
        <v>245080</v>
      </c>
      <c r="E163">
        <v>245300</v>
      </c>
      <c r="F163" s="12">
        <v>46265</v>
      </c>
      <c r="G163">
        <v>38</v>
      </c>
      <c r="H163">
        <v>1042</v>
      </c>
      <c r="I163" t="s">
        <v>1571</v>
      </c>
      <c r="J163" t="s">
        <v>1571</v>
      </c>
      <c r="K163" s="5" t="s">
        <v>1857</v>
      </c>
      <c r="L163" s="5" t="s">
        <v>1858</v>
      </c>
      <c r="M163" t="s">
        <v>1572</v>
      </c>
      <c r="N163">
        <v>5838</v>
      </c>
      <c r="O163">
        <v>139</v>
      </c>
      <c r="P163">
        <v>440</v>
      </c>
      <c r="Q163">
        <v>0.21</v>
      </c>
    </row>
    <row r="164" spans="1:17" x14ac:dyDescent="0.25">
      <c r="A164" t="s">
        <v>1575</v>
      </c>
      <c r="B164" t="s">
        <v>425</v>
      </c>
      <c r="C164">
        <v>2100</v>
      </c>
      <c r="D164">
        <v>245080</v>
      </c>
      <c r="E164">
        <v>245300</v>
      </c>
      <c r="F164" s="12">
        <v>46265</v>
      </c>
      <c r="G164">
        <v>38</v>
      </c>
      <c r="H164">
        <v>1042</v>
      </c>
      <c r="I164" t="s">
        <v>1571</v>
      </c>
      <c r="J164" t="s">
        <v>1571</v>
      </c>
      <c r="K164" s="5" t="s">
        <v>1859</v>
      </c>
      <c r="L164" s="5" t="s">
        <v>1860</v>
      </c>
      <c r="M164" t="s">
        <v>1572</v>
      </c>
      <c r="N164">
        <v>5167</v>
      </c>
      <c r="O164">
        <v>139</v>
      </c>
      <c r="P164">
        <v>440</v>
      </c>
      <c r="Q164">
        <v>0.21</v>
      </c>
    </row>
    <row r="165" spans="1:17" x14ac:dyDescent="0.25">
      <c r="A165" t="s">
        <v>1576</v>
      </c>
      <c r="B165" t="s">
        <v>425</v>
      </c>
      <c r="C165">
        <v>2100</v>
      </c>
      <c r="D165">
        <v>245080</v>
      </c>
      <c r="E165">
        <v>245300</v>
      </c>
      <c r="F165" s="12">
        <v>46265</v>
      </c>
      <c r="G165">
        <v>38</v>
      </c>
      <c r="H165">
        <v>1042</v>
      </c>
      <c r="I165" t="s">
        <v>1571</v>
      </c>
      <c r="J165" t="s">
        <v>1571</v>
      </c>
      <c r="K165" s="5" t="s">
        <v>1861</v>
      </c>
      <c r="L165" s="5" t="s">
        <v>1862</v>
      </c>
      <c r="M165" t="s">
        <v>1572</v>
      </c>
      <c r="N165">
        <v>5567</v>
      </c>
      <c r="O165">
        <v>139</v>
      </c>
      <c r="P165">
        <v>440</v>
      </c>
      <c r="Q165">
        <v>0.21</v>
      </c>
    </row>
    <row r="166" spans="1:17" x14ac:dyDescent="0.25">
      <c r="A166" t="s">
        <v>1577</v>
      </c>
      <c r="B166" t="s">
        <v>425</v>
      </c>
      <c r="C166">
        <v>2100</v>
      </c>
      <c r="D166">
        <v>245080</v>
      </c>
      <c r="E166">
        <v>245300</v>
      </c>
      <c r="F166" s="12">
        <v>46265</v>
      </c>
      <c r="G166">
        <v>38</v>
      </c>
      <c r="H166">
        <v>1042</v>
      </c>
      <c r="I166" t="s">
        <v>1571</v>
      </c>
      <c r="J166" t="s">
        <v>1571</v>
      </c>
      <c r="K166" s="5" t="s">
        <v>1608</v>
      </c>
      <c r="L166" s="5" t="s">
        <v>1657</v>
      </c>
      <c r="M166" t="s">
        <v>1572</v>
      </c>
      <c r="N166">
        <v>4168</v>
      </c>
      <c r="O166">
        <v>139</v>
      </c>
      <c r="P166">
        <v>440</v>
      </c>
      <c r="Q166">
        <v>0.21</v>
      </c>
    </row>
    <row r="167" spans="1:17" x14ac:dyDescent="0.25">
      <c r="A167" t="s">
        <v>1578</v>
      </c>
      <c r="B167" t="s">
        <v>425</v>
      </c>
      <c r="C167">
        <v>2100</v>
      </c>
      <c r="D167">
        <v>245080</v>
      </c>
      <c r="E167">
        <v>245300</v>
      </c>
      <c r="F167" s="12">
        <v>46265</v>
      </c>
      <c r="G167">
        <v>38</v>
      </c>
      <c r="H167">
        <v>1042</v>
      </c>
      <c r="I167" t="s">
        <v>1571</v>
      </c>
      <c r="J167" t="s">
        <v>1571</v>
      </c>
      <c r="K167" s="5" t="s">
        <v>1608</v>
      </c>
      <c r="L167" s="5" t="s">
        <v>1657</v>
      </c>
      <c r="M167" t="s">
        <v>1572</v>
      </c>
      <c r="N167">
        <v>4168</v>
      </c>
      <c r="O167">
        <v>139</v>
      </c>
      <c r="P167">
        <v>440</v>
      </c>
      <c r="Q167">
        <v>0.21</v>
      </c>
    </row>
    <row r="168" spans="1:17" x14ac:dyDescent="0.25">
      <c r="A168" t="s">
        <v>1579</v>
      </c>
      <c r="B168" t="s">
        <v>425</v>
      </c>
      <c r="C168">
        <v>2100</v>
      </c>
      <c r="D168">
        <v>245080</v>
      </c>
      <c r="E168">
        <v>245300</v>
      </c>
      <c r="F168" s="12">
        <v>46265</v>
      </c>
      <c r="G168">
        <v>38</v>
      </c>
      <c r="H168">
        <v>1042</v>
      </c>
      <c r="I168" t="s">
        <v>1571</v>
      </c>
      <c r="J168" t="s">
        <v>1571</v>
      </c>
      <c r="K168" s="5" t="s">
        <v>1863</v>
      </c>
      <c r="L168" s="5" t="s">
        <v>1864</v>
      </c>
      <c r="M168" t="s">
        <v>1572</v>
      </c>
      <c r="N168">
        <v>5430</v>
      </c>
      <c r="O168">
        <v>139</v>
      </c>
      <c r="P168">
        <v>440</v>
      </c>
      <c r="Q168">
        <v>0.21</v>
      </c>
    </row>
    <row r="169" spans="1:17" x14ac:dyDescent="0.25">
      <c r="A169" t="s">
        <v>1580</v>
      </c>
      <c r="B169" t="s">
        <v>425</v>
      </c>
      <c r="C169">
        <v>2100</v>
      </c>
      <c r="D169">
        <v>245080</v>
      </c>
      <c r="E169">
        <v>245300</v>
      </c>
      <c r="F169" s="12">
        <v>46265</v>
      </c>
      <c r="G169">
        <v>38</v>
      </c>
      <c r="H169">
        <v>1042</v>
      </c>
      <c r="I169" t="s">
        <v>1571</v>
      </c>
      <c r="J169" t="s">
        <v>1571</v>
      </c>
      <c r="K169" s="5" t="s">
        <v>1865</v>
      </c>
      <c r="L169" s="5" t="s">
        <v>1866</v>
      </c>
      <c r="M169" t="s">
        <v>1572</v>
      </c>
      <c r="N169">
        <v>5668</v>
      </c>
      <c r="O169">
        <v>139</v>
      </c>
      <c r="P169">
        <v>440</v>
      </c>
      <c r="Q169">
        <v>0.21</v>
      </c>
    </row>
    <row r="170" spans="1:17" x14ac:dyDescent="0.25">
      <c r="A170" t="s">
        <v>1581</v>
      </c>
      <c r="B170" t="s">
        <v>425</v>
      </c>
      <c r="C170">
        <v>2100</v>
      </c>
      <c r="D170">
        <v>245080</v>
      </c>
      <c r="E170">
        <v>245300</v>
      </c>
      <c r="F170" s="12">
        <v>46265</v>
      </c>
      <c r="G170">
        <v>38</v>
      </c>
      <c r="H170">
        <v>1042</v>
      </c>
      <c r="I170" t="s">
        <v>1571</v>
      </c>
      <c r="J170" t="s">
        <v>1571</v>
      </c>
      <c r="K170" s="5" t="s">
        <v>1867</v>
      </c>
      <c r="L170" s="5" t="s">
        <v>1868</v>
      </c>
      <c r="M170" t="s">
        <v>1572</v>
      </c>
      <c r="N170">
        <v>5678</v>
      </c>
      <c r="O170">
        <v>139</v>
      </c>
      <c r="P170">
        <v>440</v>
      </c>
      <c r="Q170">
        <v>0.21</v>
      </c>
    </row>
    <row r="171" spans="1:17" x14ac:dyDescent="0.25">
      <c r="A171" t="s">
        <v>1582</v>
      </c>
      <c r="B171" t="s">
        <v>425</v>
      </c>
      <c r="C171">
        <v>2100</v>
      </c>
      <c r="D171">
        <v>245080</v>
      </c>
      <c r="E171">
        <v>245300</v>
      </c>
      <c r="F171" s="12">
        <v>46265</v>
      </c>
      <c r="G171">
        <v>38</v>
      </c>
      <c r="H171">
        <v>1042</v>
      </c>
      <c r="I171" t="s">
        <v>1571</v>
      </c>
      <c r="J171" t="s">
        <v>1571</v>
      </c>
      <c r="K171" s="5" t="s">
        <v>1869</v>
      </c>
      <c r="L171" s="5" t="s">
        <v>1870</v>
      </c>
      <c r="M171" t="s">
        <v>1572</v>
      </c>
      <c r="N171">
        <v>5589</v>
      </c>
      <c r="O171">
        <v>139</v>
      </c>
      <c r="P171">
        <v>440</v>
      </c>
      <c r="Q171">
        <v>0.21</v>
      </c>
    </row>
    <row r="172" spans="1:17" x14ac:dyDescent="0.25">
      <c r="A172" t="s">
        <v>1583</v>
      </c>
      <c r="B172" t="s">
        <v>425</v>
      </c>
      <c r="C172">
        <v>2100</v>
      </c>
      <c r="D172">
        <v>245080</v>
      </c>
      <c r="E172">
        <v>245300</v>
      </c>
      <c r="F172" s="12">
        <v>46265</v>
      </c>
      <c r="G172">
        <v>38</v>
      </c>
      <c r="H172">
        <v>1042</v>
      </c>
      <c r="I172" t="s">
        <v>1571</v>
      </c>
      <c r="J172" t="s">
        <v>1571</v>
      </c>
      <c r="K172" s="5" t="s">
        <v>1871</v>
      </c>
      <c r="L172" s="5" t="s">
        <v>1872</v>
      </c>
      <c r="M172" t="s">
        <v>1572</v>
      </c>
      <c r="N172">
        <v>5609</v>
      </c>
      <c r="O172">
        <v>139</v>
      </c>
      <c r="P172">
        <v>440</v>
      </c>
      <c r="Q172">
        <v>0.21</v>
      </c>
    </row>
    <row r="173" spans="1:17" x14ac:dyDescent="0.25">
      <c r="A173" t="s">
        <v>1584</v>
      </c>
      <c r="B173" t="s">
        <v>425</v>
      </c>
      <c r="C173">
        <v>2100</v>
      </c>
      <c r="D173">
        <v>245080</v>
      </c>
      <c r="E173">
        <v>245300</v>
      </c>
      <c r="F173" s="12">
        <v>46265</v>
      </c>
      <c r="G173">
        <v>38</v>
      </c>
      <c r="H173">
        <v>1042</v>
      </c>
      <c r="I173" t="s">
        <v>1571</v>
      </c>
      <c r="J173" t="s">
        <v>1571</v>
      </c>
      <c r="K173" s="5" t="s">
        <v>1873</v>
      </c>
      <c r="L173" s="5" t="s">
        <v>1874</v>
      </c>
      <c r="M173" t="s">
        <v>1572</v>
      </c>
      <c r="N173">
        <v>6140</v>
      </c>
      <c r="O173">
        <v>139</v>
      </c>
      <c r="P173">
        <v>440</v>
      </c>
      <c r="Q173">
        <v>0.21</v>
      </c>
    </row>
    <row r="174" spans="1:17" x14ac:dyDescent="0.25">
      <c r="A174" t="s">
        <v>1570</v>
      </c>
      <c r="B174" t="s">
        <v>425</v>
      </c>
      <c r="C174">
        <v>2100</v>
      </c>
      <c r="D174">
        <v>245300</v>
      </c>
      <c r="E174">
        <v>245520</v>
      </c>
      <c r="F174" s="12">
        <v>46265</v>
      </c>
      <c r="G174">
        <v>38</v>
      </c>
      <c r="H174">
        <v>1046</v>
      </c>
      <c r="I174" t="s">
        <v>1571</v>
      </c>
      <c r="J174" t="s">
        <v>1571</v>
      </c>
      <c r="K174" s="5" t="s">
        <v>1875</v>
      </c>
      <c r="L174" s="5" t="s">
        <v>1876</v>
      </c>
      <c r="M174" t="s">
        <v>1572</v>
      </c>
      <c r="N174">
        <v>5630</v>
      </c>
      <c r="O174">
        <v>139</v>
      </c>
      <c r="P174">
        <v>660</v>
      </c>
      <c r="Q174">
        <v>0.21</v>
      </c>
    </row>
    <row r="175" spans="1:17" x14ac:dyDescent="0.25">
      <c r="A175" t="s">
        <v>1573</v>
      </c>
      <c r="B175" t="s">
        <v>425</v>
      </c>
      <c r="C175">
        <v>2100</v>
      </c>
      <c r="D175">
        <v>245300</v>
      </c>
      <c r="E175">
        <v>245520</v>
      </c>
      <c r="F175" s="12">
        <v>46265</v>
      </c>
      <c r="G175">
        <v>38</v>
      </c>
      <c r="H175">
        <v>1046</v>
      </c>
      <c r="I175" t="s">
        <v>1571</v>
      </c>
      <c r="J175" t="s">
        <v>1571</v>
      </c>
      <c r="K175" s="5" t="s">
        <v>1877</v>
      </c>
      <c r="L175" s="5" t="s">
        <v>1878</v>
      </c>
      <c r="M175" t="s">
        <v>1572</v>
      </c>
      <c r="N175">
        <v>5649</v>
      </c>
      <c r="O175">
        <v>139</v>
      </c>
      <c r="P175">
        <v>660</v>
      </c>
      <c r="Q175">
        <v>0.21</v>
      </c>
    </row>
    <row r="176" spans="1:17" x14ac:dyDescent="0.25">
      <c r="A176" t="s">
        <v>1574</v>
      </c>
      <c r="B176" t="s">
        <v>425</v>
      </c>
      <c r="C176">
        <v>2100</v>
      </c>
      <c r="D176">
        <v>245300</v>
      </c>
      <c r="E176">
        <v>245520</v>
      </c>
      <c r="F176" s="12">
        <v>46265</v>
      </c>
      <c r="G176">
        <v>38</v>
      </c>
      <c r="H176">
        <v>1046</v>
      </c>
      <c r="I176" t="s">
        <v>1571</v>
      </c>
      <c r="J176" t="s">
        <v>1571</v>
      </c>
      <c r="K176" s="5" t="s">
        <v>1879</v>
      </c>
      <c r="L176" s="5" t="s">
        <v>1880</v>
      </c>
      <c r="M176" t="s">
        <v>1572</v>
      </c>
      <c r="N176">
        <v>6189</v>
      </c>
      <c r="O176">
        <v>139</v>
      </c>
      <c r="P176">
        <v>660</v>
      </c>
      <c r="Q176">
        <v>0.21</v>
      </c>
    </row>
    <row r="177" spans="1:17" x14ac:dyDescent="0.25">
      <c r="A177" t="s">
        <v>1575</v>
      </c>
      <c r="B177" t="s">
        <v>425</v>
      </c>
      <c r="C177">
        <v>2100</v>
      </c>
      <c r="D177">
        <v>245300</v>
      </c>
      <c r="E177">
        <v>245520</v>
      </c>
      <c r="F177" s="12">
        <v>46265</v>
      </c>
      <c r="G177">
        <v>38</v>
      </c>
      <c r="H177">
        <v>1046</v>
      </c>
      <c r="I177" t="s">
        <v>1571</v>
      </c>
      <c r="J177" t="s">
        <v>1571</v>
      </c>
      <c r="K177" s="5" t="s">
        <v>1881</v>
      </c>
      <c r="L177" s="5" t="s">
        <v>1882</v>
      </c>
      <c r="M177" t="s">
        <v>1572</v>
      </c>
      <c r="N177">
        <v>5293</v>
      </c>
      <c r="O177">
        <v>139</v>
      </c>
      <c r="P177">
        <v>660</v>
      </c>
      <c r="Q177">
        <v>0.21</v>
      </c>
    </row>
    <row r="178" spans="1:17" x14ac:dyDescent="0.25">
      <c r="A178" t="s">
        <v>1576</v>
      </c>
      <c r="B178" t="s">
        <v>425</v>
      </c>
      <c r="C178">
        <v>2100</v>
      </c>
      <c r="D178">
        <v>245300</v>
      </c>
      <c r="E178">
        <v>245520</v>
      </c>
      <c r="F178" s="12">
        <v>46265</v>
      </c>
      <c r="G178">
        <v>38</v>
      </c>
      <c r="H178">
        <v>1046</v>
      </c>
      <c r="I178" t="s">
        <v>1571</v>
      </c>
      <c r="J178" t="s">
        <v>1571</v>
      </c>
      <c r="K178" s="5" t="s">
        <v>1883</v>
      </c>
      <c r="L178" s="5" t="s">
        <v>1884</v>
      </c>
      <c r="M178" t="s">
        <v>1572</v>
      </c>
      <c r="N178">
        <v>6085</v>
      </c>
      <c r="O178">
        <v>139</v>
      </c>
      <c r="P178">
        <v>660</v>
      </c>
      <c r="Q178">
        <v>0.21</v>
      </c>
    </row>
    <row r="179" spans="1:17" x14ac:dyDescent="0.25">
      <c r="A179" t="s">
        <v>1577</v>
      </c>
      <c r="B179" t="s">
        <v>425</v>
      </c>
      <c r="C179">
        <v>2100</v>
      </c>
      <c r="D179">
        <v>245300</v>
      </c>
      <c r="E179">
        <v>245520</v>
      </c>
      <c r="F179" s="12">
        <v>46265</v>
      </c>
      <c r="G179">
        <v>38</v>
      </c>
      <c r="H179">
        <v>1046</v>
      </c>
      <c r="I179" t="s">
        <v>1571</v>
      </c>
      <c r="J179" t="s">
        <v>1571</v>
      </c>
      <c r="K179" s="5" t="s">
        <v>1608</v>
      </c>
      <c r="L179" s="5" t="s">
        <v>1751</v>
      </c>
      <c r="M179" t="s">
        <v>1572</v>
      </c>
      <c r="N179">
        <v>4184</v>
      </c>
      <c r="O179">
        <v>139</v>
      </c>
      <c r="P179">
        <v>660</v>
      </c>
      <c r="Q179">
        <v>0.21</v>
      </c>
    </row>
    <row r="180" spans="1:17" x14ac:dyDescent="0.25">
      <c r="A180" t="s">
        <v>1578</v>
      </c>
      <c r="B180" t="s">
        <v>425</v>
      </c>
      <c r="C180">
        <v>2100</v>
      </c>
      <c r="D180">
        <v>245300</v>
      </c>
      <c r="E180">
        <v>245520</v>
      </c>
      <c r="F180" s="12">
        <v>46265</v>
      </c>
      <c r="G180">
        <v>38</v>
      </c>
      <c r="H180">
        <v>1046</v>
      </c>
      <c r="I180" t="s">
        <v>1571</v>
      </c>
      <c r="J180" t="s">
        <v>1571</v>
      </c>
      <c r="K180" s="5" t="s">
        <v>1608</v>
      </c>
      <c r="L180" s="5" t="s">
        <v>1751</v>
      </c>
      <c r="M180" t="s">
        <v>1572</v>
      </c>
      <c r="N180">
        <v>4184</v>
      </c>
      <c r="O180">
        <v>139</v>
      </c>
      <c r="P180">
        <v>660</v>
      </c>
      <c r="Q180">
        <v>0.21</v>
      </c>
    </row>
    <row r="181" spans="1:17" x14ac:dyDescent="0.25">
      <c r="A181" t="s">
        <v>1579</v>
      </c>
      <c r="B181" t="s">
        <v>425</v>
      </c>
      <c r="C181">
        <v>2100</v>
      </c>
      <c r="D181">
        <v>245300</v>
      </c>
      <c r="E181">
        <v>245520</v>
      </c>
      <c r="F181" s="12">
        <v>46265</v>
      </c>
      <c r="G181">
        <v>38</v>
      </c>
      <c r="H181">
        <v>1046</v>
      </c>
      <c r="I181" t="s">
        <v>1571</v>
      </c>
      <c r="J181" t="s">
        <v>1571</v>
      </c>
      <c r="K181" s="5" t="s">
        <v>1885</v>
      </c>
      <c r="L181" s="5" t="s">
        <v>1886</v>
      </c>
      <c r="M181" t="s">
        <v>1572</v>
      </c>
      <c r="N181">
        <v>5714</v>
      </c>
      <c r="O181">
        <v>139</v>
      </c>
      <c r="P181">
        <v>660</v>
      </c>
      <c r="Q181">
        <v>0.21</v>
      </c>
    </row>
    <row r="182" spans="1:17" x14ac:dyDescent="0.25">
      <c r="A182" t="s">
        <v>1580</v>
      </c>
      <c r="B182" t="s">
        <v>425</v>
      </c>
      <c r="C182">
        <v>2100</v>
      </c>
      <c r="D182">
        <v>245300</v>
      </c>
      <c r="E182">
        <v>245520</v>
      </c>
      <c r="F182" s="12">
        <v>46265</v>
      </c>
      <c r="G182">
        <v>38</v>
      </c>
      <c r="H182">
        <v>1046</v>
      </c>
      <c r="I182" t="s">
        <v>1571</v>
      </c>
      <c r="J182" t="s">
        <v>1571</v>
      </c>
      <c r="K182" s="5" t="s">
        <v>1887</v>
      </c>
      <c r="L182" s="5" t="s">
        <v>1888</v>
      </c>
      <c r="M182" t="s">
        <v>1572</v>
      </c>
      <c r="N182">
        <v>5668</v>
      </c>
      <c r="O182">
        <v>139</v>
      </c>
      <c r="P182">
        <v>660</v>
      </c>
      <c r="Q182">
        <v>0.21</v>
      </c>
    </row>
    <row r="183" spans="1:17" x14ac:dyDescent="0.25">
      <c r="A183" t="s">
        <v>1581</v>
      </c>
      <c r="B183" t="s">
        <v>425</v>
      </c>
      <c r="C183">
        <v>2100</v>
      </c>
      <c r="D183">
        <v>245300</v>
      </c>
      <c r="E183">
        <v>245520</v>
      </c>
      <c r="F183" s="12">
        <v>46265</v>
      </c>
      <c r="G183">
        <v>38</v>
      </c>
      <c r="H183">
        <v>1046</v>
      </c>
      <c r="I183" t="s">
        <v>1571</v>
      </c>
      <c r="J183" t="s">
        <v>1571</v>
      </c>
      <c r="K183" s="5" t="s">
        <v>1889</v>
      </c>
      <c r="L183" s="5" t="s">
        <v>1890</v>
      </c>
      <c r="M183" t="s">
        <v>1572</v>
      </c>
      <c r="N183">
        <v>5630</v>
      </c>
      <c r="O183">
        <v>139</v>
      </c>
      <c r="P183">
        <v>660</v>
      </c>
      <c r="Q183">
        <v>0.21</v>
      </c>
    </row>
    <row r="184" spans="1:17" x14ac:dyDescent="0.25">
      <c r="A184" t="s">
        <v>1582</v>
      </c>
      <c r="B184" t="s">
        <v>425</v>
      </c>
      <c r="C184">
        <v>2100</v>
      </c>
      <c r="D184">
        <v>245300</v>
      </c>
      <c r="E184">
        <v>245520</v>
      </c>
      <c r="F184" s="12">
        <v>46265</v>
      </c>
      <c r="G184">
        <v>38</v>
      </c>
      <c r="H184">
        <v>1046</v>
      </c>
      <c r="I184" t="s">
        <v>1571</v>
      </c>
      <c r="J184" t="s">
        <v>1571</v>
      </c>
      <c r="K184" s="5" t="s">
        <v>1891</v>
      </c>
      <c r="L184" s="5" t="s">
        <v>1892</v>
      </c>
      <c r="M184" t="s">
        <v>1572</v>
      </c>
      <c r="N184">
        <v>5736</v>
      </c>
      <c r="O184">
        <v>139</v>
      </c>
      <c r="P184">
        <v>660</v>
      </c>
      <c r="Q184">
        <v>0.21</v>
      </c>
    </row>
    <row r="185" spans="1:17" x14ac:dyDescent="0.25">
      <c r="A185" t="s">
        <v>1583</v>
      </c>
      <c r="B185" t="s">
        <v>425</v>
      </c>
      <c r="C185">
        <v>2100</v>
      </c>
      <c r="D185">
        <v>245300</v>
      </c>
      <c r="E185">
        <v>245520</v>
      </c>
      <c r="F185" s="12">
        <v>46265</v>
      </c>
      <c r="G185">
        <v>38</v>
      </c>
      <c r="H185">
        <v>1046</v>
      </c>
      <c r="I185" t="s">
        <v>1571</v>
      </c>
      <c r="J185" t="s">
        <v>1571</v>
      </c>
      <c r="K185" s="5" t="s">
        <v>1893</v>
      </c>
      <c r="L185" s="5" t="s">
        <v>1894</v>
      </c>
      <c r="M185" t="s">
        <v>1572</v>
      </c>
      <c r="N185">
        <v>5659</v>
      </c>
      <c r="O185">
        <v>139</v>
      </c>
      <c r="P185">
        <v>660</v>
      </c>
      <c r="Q185">
        <v>0.21</v>
      </c>
    </row>
    <row r="186" spans="1:17" x14ac:dyDescent="0.25">
      <c r="A186" t="s">
        <v>1584</v>
      </c>
      <c r="B186" t="s">
        <v>425</v>
      </c>
      <c r="C186">
        <v>2100</v>
      </c>
      <c r="D186">
        <v>245300</v>
      </c>
      <c r="E186">
        <v>245520</v>
      </c>
      <c r="F186" s="12">
        <v>46265</v>
      </c>
      <c r="G186">
        <v>38</v>
      </c>
      <c r="H186">
        <v>1046</v>
      </c>
      <c r="I186" t="s">
        <v>1571</v>
      </c>
      <c r="J186" t="s">
        <v>1571</v>
      </c>
      <c r="K186" s="5" t="s">
        <v>1895</v>
      </c>
      <c r="L186" s="5" t="s">
        <v>1896</v>
      </c>
      <c r="M186" t="s">
        <v>1572</v>
      </c>
      <c r="N186">
        <v>6156</v>
      </c>
      <c r="O186">
        <v>139</v>
      </c>
      <c r="P186">
        <v>660</v>
      </c>
      <c r="Q186">
        <v>0.21</v>
      </c>
    </row>
    <row r="187" spans="1:17" x14ac:dyDescent="0.25">
      <c r="A187" t="s">
        <v>1570</v>
      </c>
      <c r="B187" t="s">
        <v>425</v>
      </c>
      <c r="C187">
        <v>2100</v>
      </c>
      <c r="D187">
        <v>245520</v>
      </c>
      <c r="E187">
        <v>245740</v>
      </c>
      <c r="F187" s="12">
        <v>46265</v>
      </c>
      <c r="G187">
        <v>38</v>
      </c>
      <c r="H187">
        <v>1044</v>
      </c>
      <c r="I187" t="s">
        <v>1571</v>
      </c>
      <c r="J187" t="s">
        <v>1571</v>
      </c>
      <c r="K187" s="5" t="s">
        <v>1897</v>
      </c>
      <c r="L187" s="5" t="s">
        <v>1898</v>
      </c>
      <c r="M187" t="s">
        <v>1572</v>
      </c>
      <c r="N187">
        <v>5610</v>
      </c>
      <c r="O187">
        <v>139</v>
      </c>
      <c r="P187">
        <v>880</v>
      </c>
      <c r="Q187">
        <v>0.21</v>
      </c>
    </row>
    <row r="188" spans="1:17" x14ac:dyDescent="0.25">
      <c r="A188" t="s">
        <v>1573</v>
      </c>
      <c r="B188" t="s">
        <v>425</v>
      </c>
      <c r="C188">
        <v>2100</v>
      </c>
      <c r="D188">
        <v>245520</v>
      </c>
      <c r="E188">
        <v>245740</v>
      </c>
      <c r="F188" s="12">
        <v>46265</v>
      </c>
      <c r="G188">
        <v>38</v>
      </c>
      <c r="H188">
        <v>1044</v>
      </c>
      <c r="I188" t="s">
        <v>1571</v>
      </c>
      <c r="J188" t="s">
        <v>1571</v>
      </c>
      <c r="K188" s="5" t="s">
        <v>1899</v>
      </c>
      <c r="L188" s="5" t="s">
        <v>1900</v>
      </c>
      <c r="M188" t="s">
        <v>1572</v>
      </c>
      <c r="N188">
        <v>5661</v>
      </c>
      <c r="O188">
        <v>139</v>
      </c>
      <c r="P188">
        <v>880</v>
      </c>
      <c r="Q188">
        <v>0.21</v>
      </c>
    </row>
    <row r="189" spans="1:17" x14ac:dyDescent="0.25">
      <c r="A189" t="s">
        <v>1574</v>
      </c>
      <c r="B189" t="s">
        <v>425</v>
      </c>
      <c r="C189">
        <v>2100</v>
      </c>
      <c r="D189">
        <v>245520</v>
      </c>
      <c r="E189">
        <v>245740</v>
      </c>
      <c r="F189" s="12">
        <v>46265</v>
      </c>
      <c r="G189">
        <v>38</v>
      </c>
      <c r="H189">
        <v>1044</v>
      </c>
      <c r="I189" t="s">
        <v>1571</v>
      </c>
      <c r="J189" t="s">
        <v>1571</v>
      </c>
      <c r="K189" s="5" t="s">
        <v>1901</v>
      </c>
      <c r="L189" s="5" t="s">
        <v>1902</v>
      </c>
      <c r="M189" t="s">
        <v>1572</v>
      </c>
      <c r="N189">
        <v>5488</v>
      </c>
      <c r="O189">
        <v>139</v>
      </c>
      <c r="P189">
        <v>880</v>
      </c>
      <c r="Q189">
        <v>0.21</v>
      </c>
    </row>
    <row r="190" spans="1:17" x14ac:dyDescent="0.25">
      <c r="A190" t="s">
        <v>1575</v>
      </c>
      <c r="B190" t="s">
        <v>425</v>
      </c>
      <c r="C190">
        <v>2100</v>
      </c>
      <c r="D190">
        <v>245520</v>
      </c>
      <c r="E190">
        <v>245740</v>
      </c>
      <c r="F190" s="12">
        <v>46265</v>
      </c>
      <c r="G190">
        <v>38</v>
      </c>
      <c r="H190">
        <v>1044</v>
      </c>
      <c r="I190" t="s">
        <v>1571</v>
      </c>
      <c r="J190" t="s">
        <v>1571</v>
      </c>
      <c r="K190" s="5" t="s">
        <v>1903</v>
      </c>
      <c r="L190" s="5" t="s">
        <v>1904</v>
      </c>
      <c r="M190" t="s">
        <v>1572</v>
      </c>
      <c r="N190">
        <v>5305</v>
      </c>
      <c r="O190">
        <v>139</v>
      </c>
      <c r="P190">
        <v>880</v>
      </c>
      <c r="Q190">
        <v>0.21</v>
      </c>
    </row>
    <row r="191" spans="1:17" x14ac:dyDescent="0.25">
      <c r="A191" t="s">
        <v>1576</v>
      </c>
      <c r="B191" t="s">
        <v>425</v>
      </c>
      <c r="C191">
        <v>2100</v>
      </c>
      <c r="D191">
        <v>245520</v>
      </c>
      <c r="E191">
        <v>245740</v>
      </c>
      <c r="F191" s="12">
        <v>46265</v>
      </c>
      <c r="G191">
        <v>38</v>
      </c>
      <c r="H191">
        <v>1044</v>
      </c>
      <c r="I191" t="s">
        <v>1571</v>
      </c>
      <c r="J191" t="s">
        <v>1571</v>
      </c>
      <c r="K191" s="5" t="s">
        <v>1905</v>
      </c>
      <c r="L191" s="5" t="s">
        <v>1906</v>
      </c>
      <c r="M191" t="s">
        <v>1572</v>
      </c>
      <c r="N191">
        <v>5354</v>
      </c>
      <c r="O191">
        <v>139</v>
      </c>
      <c r="P191">
        <v>880</v>
      </c>
      <c r="Q191">
        <v>0.21</v>
      </c>
    </row>
    <row r="192" spans="1:17" x14ac:dyDescent="0.25">
      <c r="A192" t="s">
        <v>1577</v>
      </c>
      <c r="B192" t="s">
        <v>425</v>
      </c>
      <c r="C192">
        <v>2100</v>
      </c>
      <c r="D192">
        <v>245520</v>
      </c>
      <c r="E192">
        <v>245740</v>
      </c>
      <c r="F192" s="12">
        <v>46265</v>
      </c>
      <c r="G192">
        <v>38</v>
      </c>
      <c r="H192">
        <v>1044</v>
      </c>
      <c r="I192" t="s">
        <v>1571</v>
      </c>
      <c r="J192" t="s">
        <v>1571</v>
      </c>
      <c r="K192" s="5" t="s">
        <v>1907</v>
      </c>
      <c r="L192" s="5" t="s">
        <v>1726</v>
      </c>
      <c r="M192" t="s">
        <v>1572</v>
      </c>
      <c r="N192">
        <v>4188</v>
      </c>
      <c r="O192">
        <v>139</v>
      </c>
      <c r="P192">
        <v>880</v>
      </c>
      <c r="Q192">
        <v>0.21</v>
      </c>
    </row>
    <row r="193" spans="1:17" x14ac:dyDescent="0.25">
      <c r="A193" t="s">
        <v>1578</v>
      </c>
      <c r="B193" t="s">
        <v>425</v>
      </c>
      <c r="C193">
        <v>2100</v>
      </c>
      <c r="D193">
        <v>245520</v>
      </c>
      <c r="E193">
        <v>245740</v>
      </c>
      <c r="F193" s="12">
        <v>46265</v>
      </c>
      <c r="G193">
        <v>38</v>
      </c>
      <c r="H193">
        <v>1044</v>
      </c>
      <c r="I193" t="s">
        <v>1571</v>
      </c>
      <c r="J193" t="s">
        <v>1571</v>
      </c>
      <c r="K193" s="5" t="s">
        <v>1608</v>
      </c>
      <c r="L193" s="5" t="s">
        <v>1632</v>
      </c>
      <c r="M193" t="s">
        <v>1572</v>
      </c>
      <c r="N193">
        <v>4176</v>
      </c>
      <c r="O193">
        <v>139</v>
      </c>
      <c r="P193">
        <v>880</v>
      </c>
      <c r="Q193">
        <v>0.21</v>
      </c>
    </row>
    <row r="194" spans="1:17" x14ac:dyDescent="0.25">
      <c r="A194" t="s">
        <v>1579</v>
      </c>
      <c r="B194" t="s">
        <v>425</v>
      </c>
      <c r="C194">
        <v>2100</v>
      </c>
      <c r="D194">
        <v>245520</v>
      </c>
      <c r="E194">
        <v>245740</v>
      </c>
      <c r="F194" s="12">
        <v>46265</v>
      </c>
      <c r="G194">
        <v>38</v>
      </c>
      <c r="H194">
        <v>1044</v>
      </c>
      <c r="I194" t="s">
        <v>1571</v>
      </c>
      <c r="J194" t="s">
        <v>1571</v>
      </c>
      <c r="K194" s="5" t="s">
        <v>1908</v>
      </c>
      <c r="L194" s="5" t="s">
        <v>1909</v>
      </c>
      <c r="M194" t="s">
        <v>1572</v>
      </c>
      <c r="N194">
        <v>5325</v>
      </c>
      <c r="O194">
        <v>139</v>
      </c>
      <c r="P194">
        <v>880</v>
      </c>
      <c r="Q194">
        <v>0.21</v>
      </c>
    </row>
    <row r="195" spans="1:17" x14ac:dyDescent="0.25">
      <c r="A195" t="s">
        <v>1580</v>
      </c>
      <c r="B195" t="s">
        <v>425</v>
      </c>
      <c r="C195">
        <v>2100</v>
      </c>
      <c r="D195">
        <v>245520</v>
      </c>
      <c r="E195">
        <v>245740</v>
      </c>
      <c r="F195" s="12">
        <v>46265</v>
      </c>
      <c r="G195">
        <v>38</v>
      </c>
      <c r="H195">
        <v>1044</v>
      </c>
      <c r="I195" t="s">
        <v>1571</v>
      </c>
      <c r="J195" t="s">
        <v>1571</v>
      </c>
      <c r="K195" s="5" t="s">
        <v>1910</v>
      </c>
      <c r="L195" s="5" t="s">
        <v>1911</v>
      </c>
      <c r="M195" t="s">
        <v>1572</v>
      </c>
      <c r="N195">
        <v>5671</v>
      </c>
      <c r="O195">
        <v>139</v>
      </c>
      <c r="P195">
        <v>880</v>
      </c>
      <c r="Q195">
        <v>0.21</v>
      </c>
    </row>
    <row r="196" spans="1:17" x14ac:dyDescent="0.25">
      <c r="A196" t="s">
        <v>1581</v>
      </c>
      <c r="B196" t="s">
        <v>425</v>
      </c>
      <c r="C196">
        <v>2100</v>
      </c>
      <c r="D196">
        <v>245520</v>
      </c>
      <c r="E196">
        <v>245740</v>
      </c>
      <c r="F196" s="12">
        <v>46265</v>
      </c>
      <c r="G196">
        <v>38</v>
      </c>
      <c r="H196">
        <v>1044</v>
      </c>
      <c r="I196" t="s">
        <v>1571</v>
      </c>
      <c r="J196" t="s">
        <v>1571</v>
      </c>
      <c r="K196" s="5" t="s">
        <v>1912</v>
      </c>
      <c r="L196" s="5" t="s">
        <v>1913</v>
      </c>
      <c r="M196" t="s">
        <v>1572</v>
      </c>
      <c r="N196">
        <v>5527</v>
      </c>
      <c r="O196">
        <v>139</v>
      </c>
      <c r="P196">
        <v>880</v>
      </c>
      <c r="Q196">
        <v>0.21</v>
      </c>
    </row>
    <row r="197" spans="1:17" x14ac:dyDescent="0.25">
      <c r="A197" t="s">
        <v>1582</v>
      </c>
      <c r="B197" t="s">
        <v>425</v>
      </c>
      <c r="C197">
        <v>2100</v>
      </c>
      <c r="D197">
        <v>245520</v>
      </c>
      <c r="E197">
        <v>245740</v>
      </c>
      <c r="F197" s="12">
        <v>46265</v>
      </c>
      <c r="G197">
        <v>38</v>
      </c>
      <c r="H197">
        <v>1044</v>
      </c>
      <c r="I197" t="s">
        <v>1571</v>
      </c>
      <c r="J197" t="s">
        <v>1571</v>
      </c>
      <c r="K197" s="5" t="s">
        <v>1914</v>
      </c>
      <c r="L197" s="5" t="s">
        <v>1915</v>
      </c>
      <c r="M197" t="s">
        <v>1572</v>
      </c>
      <c r="N197">
        <v>5691</v>
      </c>
      <c r="O197">
        <v>139</v>
      </c>
      <c r="P197">
        <v>880</v>
      </c>
      <c r="Q197">
        <v>0.21</v>
      </c>
    </row>
    <row r="198" spans="1:17" x14ac:dyDescent="0.25">
      <c r="A198" t="s">
        <v>1583</v>
      </c>
      <c r="B198" t="s">
        <v>425</v>
      </c>
      <c r="C198">
        <v>2100</v>
      </c>
      <c r="D198">
        <v>245520</v>
      </c>
      <c r="E198">
        <v>245740</v>
      </c>
      <c r="F198" s="12">
        <v>46265</v>
      </c>
      <c r="G198">
        <v>38</v>
      </c>
      <c r="H198">
        <v>1044</v>
      </c>
      <c r="I198" t="s">
        <v>1571</v>
      </c>
      <c r="J198" t="s">
        <v>1571</v>
      </c>
      <c r="K198" s="5" t="s">
        <v>1916</v>
      </c>
      <c r="L198" s="5" t="s">
        <v>1917</v>
      </c>
      <c r="M198" t="s">
        <v>1572</v>
      </c>
      <c r="N198">
        <v>5626</v>
      </c>
      <c r="O198">
        <v>139</v>
      </c>
      <c r="P198">
        <v>880</v>
      </c>
      <c r="Q198">
        <v>0.21</v>
      </c>
    </row>
    <row r="199" spans="1:17" x14ac:dyDescent="0.25">
      <c r="A199" t="s">
        <v>1584</v>
      </c>
      <c r="B199" t="s">
        <v>425</v>
      </c>
      <c r="C199">
        <v>2100</v>
      </c>
      <c r="D199">
        <v>245520</v>
      </c>
      <c r="E199">
        <v>245740</v>
      </c>
      <c r="F199" s="12">
        <v>46265</v>
      </c>
      <c r="G199">
        <v>38</v>
      </c>
      <c r="H199">
        <v>1044</v>
      </c>
      <c r="I199" t="s">
        <v>1571</v>
      </c>
      <c r="J199" t="s">
        <v>1571</v>
      </c>
      <c r="K199" s="5" t="s">
        <v>1918</v>
      </c>
      <c r="L199" s="5" t="s">
        <v>1919</v>
      </c>
      <c r="M199" t="s">
        <v>1572</v>
      </c>
      <c r="N199">
        <v>6159</v>
      </c>
      <c r="O199">
        <v>139</v>
      </c>
      <c r="P199">
        <v>880</v>
      </c>
      <c r="Q199">
        <v>0.21</v>
      </c>
    </row>
    <row r="200" spans="1:17" x14ac:dyDescent="0.25">
      <c r="A200" t="s">
        <v>1570</v>
      </c>
      <c r="B200" t="s">
        <v>425</v>
      </c>
      <c r="C200">
        <v>2100</v>
      </c>
      <c r="D200">
        <v>245740</v>
      </c>
      <c r="E200">
        <v>245960</v>
      </c>
      <c r="F200" s="12">
        <v>46265</v>
      </c>
      <c r="G200">
        <v>38</v>
      </c>
      <c r="H200">
        <v>1044</v>
      </c>
      <c r="I200" t="s">
        <v>1571</v>
      </c>
      <c r="J200" t="s">
        <v>1571</v>
      </c>
      <c r="K200" s="5" t="s">
        <v>1920</v>
      </c>
      <c r="L200" s="5" t="s">
        <v>1921</v>
      </c>
      <c r="M200" t="s">
        <v>1572</v>
      </c>
      <c r="N200">
        <v>5648</v>
      </c>
      <c r="O200">
        <v>139</v>
      </c>
      <c r="P200">
        <v>1100</v>
      </c>
      <c r="Q200">
        <v>0.21</v>
      </c>
    </row>
    <row r="201" spans="1:17" x14ac:dyDescent="0.25">
      <c r="A201" t="s">
        <v>1573</v>
      </c>
      <c r="B201" t="s">
        <v>425</v>
      </c>
      <c r="C201">
        <v>2100</v>
      </c>
      <c r="D201">
        <v>245740</v>
      </c>
      <c r="E201">
        <v>245960</v>
      </c>
      <c r="F201" s="12">
        <v>46265</v>
      </c>
      <c r="G201">
        <v>38</v>
      </c>
      <c r="H201">
        <v>1044</v>
      </c>
      <c r="I201" t="s">
        <v>1571</v>
      </c>
      <c r="J201" t="s">
        <v>1571</v>
      </c>
      <c r="K201" s="5" t="s">
        <v>1922</v>
      </c>
      <c r="L201" s="5" t="s">
        <v>1923</v>
      </c>
      <c r="M201" t="s">
        <v>1572</v>
      </c>
      <c r="N201">
        <v>5639</v>
      </c>
      <c r="O201">
        <v>139</v>
      </c>
      <c r="P201">
        <v>1100</v>
      </c>
      <c r="Q201">
        <v>0.21</v>
      </c>
    </row>
    <row r="202" spans="1:17" x14ac:dyDescent="0.25">
      <c r="A202" t="s">
        <v>1574</v>
      </c>
      <c r="B202" t="s">
        <v>425</v>
      </c>
      <c r="C202">
        <v>2100</v>
      </c>
      <c r="D202">
        <v>245740</v>
      </c>
      <c r="E202">
        <v>245960</v>
      </c>
      <c r="F202" s="12">
        <v>46265</v>
      </c>
      <c r="G202">
        <v>38</v>
      </c>
      <c r="H202">
        <v>1044</v>
      </c>
      <c r="I202" t="s">
        <v>1571</v>
      </c>
      <c r="J202" t="s">
        <v>1571</v>
      </c>
      <c r="K202" s="5" t="s">
        <v>1924</v>
      </c>
      <c r="L202" s="5" t="s">
        <v>1925</v>
      </c>
      <c r="M202" t="s">
        <v>1572</v>
      </c>
      <c r="N202">
        <v>5464</v>
      </c>
      <c r="O202">
        <v>139</v>
      </c>
      <c r="P202">
        <v>1100</v>
      </c>
      <c r="Q202">
        <v>0.21</v>
      </c>
    </row>
    <row r="203" spans="1:17" x14ac:dyDescent="0.25">
      <c r="A203" t="s">
        <v>1575</v>
      </c>
      <c r="B203" t="s">
        <v>425</v>
      </c>
      <c r="C203">
        <v>2100</v>
      </c>
      <c r="D203">
        <v>245740</v>
      </c>
      <c r="E203">
        <v>245960</v>
      </c>
      <c r="F203" s="12">
        <v>46265</v>
      </c>
      <c r="G203">
        <v>38</v>
      </c>
      <c r="H203">
        <v>1044</v>
      </c>
      <c r="I203" t="s">
        <v>1571</v>
      </c>
      <c r="J203" t="s">
        <v>1571</v>
      </c>
      <c r="K203" s="5" t="s">
        <v>1926</v>
      </c>
      <c r="L203" s="5" t="s">
        <v>1927</v>
      </c>
      <c r="M203" t="s">
        <v>1572</v>
      </c>
      <c r="N203">
        <v>5340</v>
      </c>
      <c r="O203">
        <v>139</v>
      </c>
      <c r="P203">
        <v>1100</v>
      </c>
      <c r="Q203">
        <v>0.21</v>
      </c>
    </row>
    <row r="204" spans="1:17" x14ac:dyDescent="0.25">
      <c r="A204" t="s">
        <v>1576</v>
      </c>
      <c r="B204" t="s">
        <v>425</v>
      </c>
      <c r="C204">
        <v>2100</v>
      </c>
      <c r="D204">
        <v>245740</v>
      </c>
      <c r="E204">
        <v>245960</v>
      </c>
      <c r="F204" s="12">
        <v>46265</v>
      </c>
      <c r="G204">
        <v>38</v>
      </c>
      <c r="H204">
        <v>1044</v>
      </c>
      <c r="I204" t="s">
        <v>1571</v>
      </c>
      <c r="J204" t="s">
        <v>1571</v>
      </c>
      <c r="K204" s="5" t="s">
        <v>1928</v>
      </c>
      <c r="L204" s="5" t="s">
        <v>1929</v>
      </c>
      <c r="M204" t="s">
        <v>1572</v>
      </c>
      <c r="N204">
        <v>5267</v>
      </c>
      <c r="O204">
        <v>139</v>
      </c>
      <c r="P204">
        <v>1100</v>
      </c>
      <c r="Q204">
        <v>0.21</v>
      </c>
    </row>
    <row r="205" spans="1:17" x14ac:dyDescent="0.25">
      <c r="A205" t="s">
        <v>1577</v>
      </c>
      <c r="B205" t="s">
        <v>425</v>
      </c>
      <c r="C205">
        <v>2100</v>
      </c>
      <c r="D205">
        <v>245740</v>
      </c>
      <c r="E205">
        <v>245960</v>
      </c>
      <c r="F205" s="12">
        <v>46265</v>
      </c>
      <c r="G205">
        <v>38</v>
      </c>
      <c r="H205">
        <v>1044</v>
      </c>
      <c r="I205" t="s">
        <v>1571</v>
      </c>
      <c r="J205" t="s">
        <v>1571</v>
      </c>
      <c r="K205" s="5" t="s">
        <v>1608</v>
      </c>
      <c r="L205" s="5" t="s">
        <v>1632</v>
      </c>
      <c r="M205" t="s">
        <v>1572</v>
      </c>
      <c r="N205">
        <v>4176</v>
      </c>
      <c r="O205">
        <v>139</v>
      </c>
      <c r="P205">
        <v>1100</v>
      </c>
      <c r="Q205">
        <v>0.21</v>
      </c>
    </row>
    <row r="206" spans="1:17" x14ac:dyDescent="0.25">
      <c r="A206" t="s">
        <v>1578</v>
      </c>
      <c r="B206" t="s">
        <v>425</v>
      </c>
      <c r="C206">
        <v>2100</v>
      </c>
      <c r="D206">
        <v>245740</v>
      </c>
      <c r="E206">
        <v>245960</v>
      </c>
      <c r="F206" s="12">
        <v>46265</v>
      </c>
      <c r="G206">
        <v>38</v>
      </c>
      <c r="H206">
        <v>1044</v>
      </c>
      <c r="I206" t="s">
        <v>1571</v>
      </c>
      <c r="J206" t="s">
        <v>1571</v>
      </c>
      <c r="K206" s="5" t="s">
        <v>1608</v>
      </c>
      <c r="L206" s="5" t="s">
        <v>1632</v>
      </c>
      <c r="M206" t="s">
        <v>1572</v>
      </c>
      <c r="N206">
        <v>4176</v>
      </c>
      <c r="O206">
        <v>139</v>
      </c>
      <c r="P206">
        <v>1100</v>
      </c>
      <c r="Q206">
        <v>0.21</v>
      </c>
    </row>
    <row r="207" spans="1:17" x14ac:dyDescent="0.25">
      <c r="A207" t="s">
        <v>1579</v>
      </c>
      <c r="B207" t="s">
        <v>425</v>
      </c>
      <c r="C207">
        <v>2100</v>
      </c>
      <c r="D207">
        <v>245740</v>
      </c>
      <c r="E207">
        <v>245960</v>
      </c>
      <c r="F207" s="12">
        <v>46265</v>
      </c>
      <c r="G207">
        <v>38</v>
      </c>
      <c r="H207">
        <v>1044</v>
      </c>
      <c r="I207" t="s">
        <v>1571</v>
      </c>
      <c r="J207" t="s">
        <v>1571</v>
      </c>
      <c r="K207" s="5" t="s">
        <v>1930</v>
      </c>
      <c r="L207" s="5" t="s">
        <v>1931</v>
      </c>
      <c r="M207" t="s">
        <v>1572</v>
      </c>
      <c r="N207">
        <v>5101</v>
      </c>
      <c r="O207">
        <v>139</v>
      </c>
      <c r="P207">
        <v>1100</v>
      </c>
      <c r="Q207">
        <v>0.21</v>
      </c>
    </row>
    <row r="208" spans="1:17" x14ac:dyDescent="0.25">
      <c r="A208" t="s">
        <v>1580</v>
      </c>
      <c r="B208" t="s">
        <v>425</v>
      </c>
      <c r="C208">
        <v>2100</v>
      </c>
      <c r="D208">
        <v>245740</v>
      </c>
      <c r="E208">
        <v>245960</v>
      </c>
      <c r="F208" s="12">
        <v>46265</v>
      </c>
      <c r="G208">
        <v>38</v>
      </c>
      <c r="H208">
        <v>1044</v>
      </c>
      <c r="I208" t="s">
        <v>1571</v>
      </c>
      <c r="J208" t="s">
        <v>1571</v>
      </c>
      <c r="K208" s="5" t="s">
        <v>1932</v>
      </c>
      <c r="L208" s="5" t="s">
        <v>1933</v>
      </c>
      <c r="M208" t="s">
        <v>1572</v>
      </c>
      <c r="N208">
        <v>5631</v>
      </c>
      <c r="O208">
        <v>139</v>
      </c>
      <c r="P208">
        <v>1100</v>
      </c>
      <c r="Q208">
        <v>0.21</v>
      </c>
    </row>
    <row r="209" spans="1:17" x14ac:dyDescent="0.25">
      <c r="A209" t="s">
        <v>1581</v>
      </c>
      <c r="B209" t="s">
        <v>425</v>
      </c>
      <c r="C209">
        <v>2100</v>
      </c>
      <c r="D209">
        <v>245740</v>
      </c>
      <c r="E209">
        <v>245960</v>
      </c>
      <c r="F209" s="12">
        <v>46265</v>
      </c>
      <c r="G209">
        <v>38</v>
      </c>
      <c r="H209">
        <v>1044</v>
      </c>
      <c r="I209" t="s">
        <v>1571</v>
      </c>
      <c r="J209" t="s">
        <v>1571</v>
      </c>
      <c r="K209" s="5" t="s">
        <v>1934</v>
      </c>
      <c r="L209" s="5" t="s">
        <v>1935</v>
      </c>
      <c r="M209" t="s">
        <v>1572</v>
      </c>
      <c r="N209">
        <v>5759</v>
      </c>
      <c r="O209">
        <v>139</v>
      </c>
      <c r="P209">
        <v>1100</v>
      </c>
      <c r="Q209">
        <v>0.21</v>
      </c>
    </row>
    <row r="210" spans="1:17" x14ac:dyDescent="0.25">
      <c r="A210" t="s">
        <v>1582</v>
      </c>
      <c r="B210" t="s">
        <v>425</v>
      </c>
      <c r="C210">
        <v>2100</v>
      </c>
      <c r="D210">
        <v>245740</v>
      </c>
      <c r="E210">
        <v>245960</v>
      </c>
      <c r="F210" s="12">
        <v>46265</v>
      </c>
      <c r="G210">
        <v>38</v>
      </c>
      <c r="H210">
        <v>1044</v>
      </c>
      <c r="I210" t="s">
        <v>1571</v>
      </c>
      <c r="J210" t="s">
        <v>1571</v>
      </c>
      <c r="K210" s="5" t="s">
        <v>1936</v>
      </c>
      <c r="L210" s="5" t="s">
        <v>1937</v>
      </c>
      <c r="M210" t="s">
        <v>1572</v>
      </c>
      <c r="N210">
        <v>5608</v>
      </c>
      <c r="O210">
        <v>139</v>
      </c>
      <c r="P210">
        <v>1100</v>
      </c>
      <c r="Q210">
        <v>0.21</v>
      </c>
    </row>
    <row r="211" spans="1:17" x14ac:dyDescent="0.25">
      <c r="A211" t="s">
        <v>1583</v>
      </c>
      <c r="B211" t="s">
        <v>425</v>
      </c>
      <c r="C211">
        <v>2100</v>
      </c>
      <c r="D211">
        <v>245740</v>
      </c>
      <c r="E211">
        <v>245960</v>
      </c>
      <c r="F211" s="12">
        <v>46265</v>
      </c>
      <c r="G211">
        <v>38</v>
      </c>
      <c r="H211">
        <v>1044</v>
      </c>
      <c r="I211" t="s">
        <v>1571</v>
      </c>
      <c r="J211" t="s">
        <v>1571</v>
      </c>
      <c r="K211" s="5" t="s">
        <v>1938</v>
      </c>
      <c r="L211" s="5" t="s">
        <v>1939</v>
      </c>
      <c r="M211" t="s">
        <v>1572</v>
      </c>
      <c r="N211">
        <v>5664</v>
      </c>
      <c r="O211">
        <v>139</v>
      </c>
      <c r="P211">
        <v>1100</v>
      </c>
      <c r="Q211">
        <v>0.21</v>
      </c>
    </row>
    <row r="212" spans="1:17" x14ac:dyDescent="0.25">
      <c r="A212" t="s">
        <v>1584</v>
      </c>
      <c r="B212" t="s">
        <v>425</v>
      </c>
      <c r="C212">
        <v>2100</v>
      </c>
      <c r="D212">
        <v>245740</v>
      </c>
      <c r="E212">
        <v>245960</v>
      </c>
      <c r="F212" s="12">
        <v>46265</v>
      </c>
      <c r="G212">
        <v>38</v>
      </c>
      <c r="H212">
        <v>1044</v>
      </c>
      <c r="I212" t="s">
        <v>1571</v>
      </c>
      <c r="J212" t="s">
        <v>1571</v>
      </c>
      <c r="K212" s="5" t="s">
        <v>1940</v>
      </c>
      <c r="L212" s="5" t="s">
        <v>1941</v>
      </c>
      <c r="M212" t="s">
        <v>1572</v>
      </c>
      <c r="N212">
        <v>6171</v>
      </c>
      <c r="O212">
        <v>139</v>
      </c>
      <c r="P212">
        <v>1100</v>
      </c>
      <c r="Q212">
        <v>0.21</v>
      </c>
    </row>
    <row r="213" spans="1:17" x14ac:dyDescent="0.25">
      <c r="A213" t="s">
        <v>1570</v>
      </c>
      <c r="B213" t="s">
        <v>425</v>
      </c>
      <c r="C213">
        <v>2100</v>
      </c>
      <c r="D213">
        <v>245960</v>
      </c>
      <c r="E213">
        <v>246180</v>
      </c>
      <c r="F213" s="12">
        <v>46265</v>
      </c>
      <c r="G213">
        <v>38</v>
      </c>
      <c r="H213">
        <v>1048</v>
      </c>
      <c r="I213" t="s">
        <v>1571</v>
      </c>
      <c r="J213" t="s">
        <v>1571</v>
      </c>
      <c r="K213" s="5" t="s">
        <v>1942</v>
      </c>
      <c r="L213" s="5" t="s">
        <v>1943</v>
      </c>
      <c r="M213" t="s">
        <v>1572</v>
      </c>
      <c r="N213">
        <v>5556</v>
      </c>
      <c r="O213">
        <v>139</v>
      </c>
      <c r="P213">
        <v>1320</v>
      </c>
      <c r="Q213">
        <v>0.21</v>
      </c>
    </row>
    <row r="214" spans="1:17" x14ac:dyDescent="0.25">
      <c r="A214" t="s">
        <v>1573</v>
      </c>
      <c r="B214" t="s">
        <v>425</v>
      </c>
      <c r="C214">
        <v>2100</v>
      </c>
      <c r="D214">
        <v>245960</v>
      </c>
      <c r="E214">
        <v>246180</v>
      </c>
      <c r="F214" s="12">
        <v>46265</v>
      </c>
      <c r="G214">
        <v>38</v>
      </c>
      <c r="H214">
        <v>1048</v>
      </c>
      <c r="I214" t="s">
        <v>1571</v>
      </c>
      <c r="J214" t="s">
        <v>1571</v>
      </c>
      <c r="K214" s="5" t="s">
        <v>1944</v>
      </c>
      <c r="L214" s="5" t="s">
        <v>1945</v>
      </c>
      <c r="M214" t="s">
        <v>1572</v>
      </c>
      <c r="N214">
        <v>5604</v>
      </c>
      <c r="O214">
        <v>139</v>
      </c>
      <c r="P214">
        <v>1320</v>
      </c>
      <c r="Q214">
        <v>0.21</v>
      </c>
    </row>
    <row r="215" spans="1:17" x14ac:dyDescent="0.25">
      <c r="A215" t="s">
        <v>1574</v>
      </c>
      <c r="B215" t="s">
        <v>425</v>
      </c>
      <c r="C215">
        <v>2100</v>
      </c>
      <c r="D215">
        <v>245960</v>
      </c>
      <c r="E215">
        <v>246180</v>
      </c>
      <c r="F215" s="12">
        <v>46265</v>
      </c>
      <c r="G215">
        <v>38</v>
      </c>
      <c r="H215">
        <v>1048</v>
      </c>
      <c r="I215" t="s">
        <v>1571</v>
      </c>
      <c r="J215" t="s">
        <v>1571</v>
      </c>
      <c r="K215" s="5" t="s">
        <v>1946</v>
      </c>
      <c r="L215" s="5" t="s">
        <v>1947</v>
      </c>
      <c r="M215" t="s">
        <v>1572</v>
      </c>
      <c r="N215">
        <v>6116</v>
      </c>
      <c r="O215">
        <v>139</v>
      </c>
      <c r="P215">
        <v>1320</v>
      </c>
      <c r="Q215">
        <v>0.21</v>
      </c>
    </row>
    <row r="216" spans="1:17" x14ac:dyDescent="0.25">
      <c r="A216" t="s">
        <v>1575</v>
      </c>
      <c r="B216" t="s">
        <v>425</v>
      </c>
      <c r="C216">
        <v>2100</v>
      </c>
      <c r="D216">
        <v>245960</v>
      </c>
      <c r="E216">
        <v>246180</v>
      </c>
      <c r="F216" s="12">
        <v>46265</v>
      </c>
      <c r="G216">
        <v>38</v>
      </c>
      <c r="H216">
        <v>1048</v>
      </c>
      <c r="I216" t="s">
        <v>1571</v>
      </c>
      <c r="J216" t="s">
        <v>1571</v>
      </c>
      <c r="K216" s="5" t="s">
        <v>1948</v>
      </c>
      <c r="L216" s="5" t="s">
        <v>1949</v>
      </c>
      <c r="M216" t="s">
        <v>1572</v>
      </c>
      <c r="N216">
        <v>5326</v>
      </c>
      <c r="O216">
        <v>139</v>
      </c>
      <c r="P216">
        <v>1320</v>
      </c>
      <c r="Q216">
        <v>0.21</v>
      </c>
    </row>
    <row r="217" spans="1:17" x14ac:dyDescent="0.25">
      <c r="A217" t="s">
        <v>1576</v>
      </c>
      <c r="B217" t="s">
        <v>425</v>
      </c>
      <c r="C217">
        <v>2100</v>
      </c>
      <c r="D217">
        <v>245960</v>
      </c>
      <c r="E217">
        <v>246180</v>
      </c>
      <c r="F217" s="12">
        <v>46265</v>
      </c>
      <c r="G217">
        <v>38</v>
      </c>
      <c r="H217">
        <v>1048</v>
      </c>
      <c r="I217" t="s">
        <v>1571</v>
      </c>
      <c r="J217" t="s">
        <v>1571</v>
      </c>
      <c r="K217" s="5" t="s">
        <v>1950</v>
      </c>
      <c r="L217" s="5" t="s">
        <v>1951</v>
      </c>
      <c r="M217" t="s">
        <v>1572</v>
      </c>
      <c r="N217">
        <v>5788</v>
      </c>
      <c r="O217">
        <v>139</v>
      </c>
      <c r="P217">
        <v>1320</v>
      </c>
      <c r="Q217">
        <v>0.21</v>
      </c>
    </row>
    <row r="218" spans="1:17" x14ac:dyDescent="0.25">
      <c r="A218" t="s">
        <v>1577</v>
      </c>
      <c r="B218" t="s">
        <v>425</v>
      </c>
      <c r="C218">
        <v>2100</v>
      </c>
      <c r="D218">
        <v>245960</v>
      </c>
      <c r="E218">
        <v>246180</v>
      </c>
      <c r="F218" s="12">
        <v>46265</v>
      </c>
      <c r="G218">
        <v>38</v>
      </c>
      <c r="H218">
        <v>1048</v>
      </c>
      <c r="I218" t="s">
        <v>1571</v>
      </c>
      <c r="J218" t="s">
        <v>1571</v>
      </c>
      <c r="K218" s="5" t="s">
        <v>1608</v>
      </c>
      <c r="L218" s="5" t="s">
        <v>1952</v>
      </c>
      <c r="M218" t="s">
        <v>1572</v>
      </c>
      <c r="N218">
        <v>4192</v>
      </c>
      <c r="O218">
        <v>139</v>
      </c>
      <c r="P218">
        <v>1320</v>
      </c>
      <c r="Q218">
        <v>0.21</v>
      </c>
    </row>
    <row r="219" spans="1:17" x14ac:dyDescent="0.25">
      <c r="A219" t="s">
        <v>1578</v>
      </c>
      <c r="B219" t="s">
        <v>425</v>
      </c>
      <c r="C219">
        <v>2100</v>
      </c>
      <c r="D219">
        <v>245960</v>
      </c>
      <c r="E219">
        <v>246180</v>
      </c>
      <c r="F219" s="12">
        <v>46265</v>
      </c>
      <c r="G219">
        <v>38</v>
      </c>
      <c r="H219">
        <v>1048</v>
      </c>
      <c r="I219" t="s">
        <v>1571</v>
      </c>
      <c r="J219" t="s">
        <v>1571</v>
      </c>
      <c r="K219" s="5" t="s">
        <v>1608</v>
      </c>
      <c r="L219" s="5" t="s">
        <v>1952</v>
      </c>
      <c r="M219" t="s">
        <v>1572</v>
      </c>
      <c r="N219">
        <v>4192</v>
      </c>
      <c r="O219">
        <v>139</v>
      </c>
      <c r="P219">
        <v>1320</v>
      </c>
      <c r="Q219">
        <v>0.21</v>
      </c>
    </row>
    <row r="220" spans="1:17" x14ac:dyDescent="0.25">
      <c r="A220" t="s">
        <v>1579</v>
      </c>
      <c r="B220" t="s">
        <v>425</v>
      </c>
      <c r="C220">
        <v>2100</v>
      </c>
      <c r="D220">
        <v>245960</v>
      </c>
      <c r="E220">
        <v>246180</v>
      </c>
      <c r="F220" s="12">
        <v>46265</v>
      </c>
      <c r="G220">
        <v>38</v>
      </c>
      <c r="H220">
        <v>1048</v>
      </c>
      <c r="I220" t="s">
        <v>1571</v>
      </c>
      <c r="J220" t="s">
        <v>1571</v>
      </c>
      <c r="K220" s="5" t="s">
        <v>1953</v>
      </c>
      <c r="L220" s="5" t="s">
        <v>1954</v>
      </c>
      <c r="M220" t="s">
        <v>1572</v>
      </c>
      <c r="N220">
        <v>5379</v>
      </c>
      <c r="O220">
        <v>139</v>
      </c>
      <c r="P220">
        <v>1320</v>
      </c>
      <c r="Q220">
        <v>0.21</v>
      </c>
    </row>
    <row r="221" spans="1:17" x14ac:dyDescent="0.25">
      <c r="A221" t="s">
        <v>1580</v>
      </c>
      <c r="B221" t="s">
        <v>425</v>
      </c>
      <c r="C221">
        <v>2100</v>
      </c>
      <c r="D221">
        <v>245960</v>
      </c>
      <c r="E221">
        <v>246180</v>
      </c>
      <c r="F221" s="12">
        <v>46265</v>
      </c>
      <c r="G221">
        <v>38</v>
      </c>
      <c r="H221">
        <v>1048</v>
      </c>
      <c r="I221" t="s">
        <v>1571</v>
      </c>
      <c r="J221" t="s">
        <v>1571</v>
      </c>
      <c r="K221" s="5" t="s">
        <v>1955</v>
      </c>
      <c r="L221" s="5" t="s">
        <v>1956</v>
      </c>
      <c r="M221" t="s">
        <v>1572</v>
      </c>
      <c r="N221">
        <v>5647</v>
      </c>
      <c r="O221">
        <v>139</v>
      </c>
      <c r="P221">
        <v>1320</v>
      </c>
      <c r="Q221">
        <v>0.21</v>
      </c>
    </row>
    <row r="222" spans="1:17" x14ac:dyDescent="0.25">
      <c r="A222" t="s">
        <v>1581</v>
      </c>
      <c r="B222" t="s">
        <v>425</v>
      </c>
      <c r="C222">
        <v>2100</v>
      </c>
      <c r="D222">
        <v>245960</v>
      </c>
      <c r="E222">
        <v>246180</v>
      </c>
      <c r="F222" s="12">
        <v>46265</v>
      </c>
      <c r="G222">
        <v>38</v>
      </c>
      <c r="H222">
        <v>1048</v>
      </c>
      <c r="I222" t="s">
        <v>1571</v>
      </c>
      <c r="J222" t="s">
        <v>1571</v>
      </c>
      <c r="K222" s="5" t="s">
        <v>1957</v>
      </c>
      <c r="L222" s="5" t="s">
        <v>1958</v>
      </c>
      <c r="M222" t="s">
        <v>1572</v>
      </c>
      <c r="N222">
        <v>5608</v>
      </c>
      <c r="O222">
        <v>139</v>
      </c>
      <c r="P222">
        <v>1320</v>
      </c>
      <c r="Q222">
        <v>0.21</v>
      </c>
    </row>
    <row r="223" spans="1:17" x14ac:dyDescent="0.25">
      <c r="A223" t="s">
        <v>1582</v>
      </c>
      <c r="B223" t="s">
        <v>425</v>
      </c>
      <c r="C223">
        <v>2100</v>
      </c>
      <c r="D223">
        <v>245960</v>
      </c>
      <c r="E223">
        <v>246180</v>
      </c>
      <c r="F223" s="12">
        <v>46265</v>
      </c>
      <c r="G223">
        <v>38</v>
      </c>
      <c r="H223">
        <v>1048</v>
      </c>
      <c r="I223" t="s">
        <v>1571</v>
      </c>
      <c r="J223" t="s">
        <v>1571</v>
      </c>
      <c r="K223" s="5" t="s">
        <v>1959</v>
      </c>
      <c r="L223" s="5" t="s">
        <v>1960</v>
      </c>
      <c r="M223" t="s">
        <v>1572</v>
      </c>
      <c r="N223">
        <v>5675</v>
      </c>
      <c r="O223">
        <v>139</v>
      </c>
      <c r="P223">
        <v>1320</v>
      </c>
      <c r="Q223">
        <v>0.21</v>
      </c>
    </row>
    <row r="224" spans="1:17" x14ac:dyDescent="0.25">
      <c r="A224" t="s">
        <v>1583</v>
      </c>
      <c r="B224" t="s">
        <v>425</v>
      </c>
      <c r="C224">
        <v>2100</v>
      </c>
      <c r="D224">
        <v>245960</v>
      </c>
      <c r="E224">
        <v>246180</v>
      </c>
      <c r="F224" s="12">
        <v>46265</v>
      </c>
      <c r="G224">
        <v>38</v>
      </c>
      <c r="H224">
        <v>1048</v>
      </c>
      <c r="I224" t="s">
        <v>1571</v>
      </c>
      <c r="J224" t="s">
        <v>1571</v>
      </c>
      <c r="K224" s="5" t="s">
        <v>1961</v>
      </c>
      <c r="L224" s="5" t="s">
        <v>1962</v>
      </c>
      <c r="M224" t="s">
        <v>1572</v>
      </c>
      <c r="N224">
        <v>5672</v>
      </c>
      <c r="O224">
        <v>139</v>
      </c>
      <c r="P224">
        <v>1320</v>
      </c>
      <c r="Q224">
        <v>0.21</v>
      </c>
    </row>
    <row r="225" spans="1:17" x14ac:dyDescent="0.25">
      <c r="A225" t="s">
        <v>1584</v>
      </c>
      <c r="B225" t="s">
        <v>425</v>
      </c>
      <c r="C225">
        <v>2100</v>
      </c>
      <c r="D225">
        <v>245960</v>
      </c>
      <c r="E225">
        <v>246180</v>
      </c>
      <c r="F225" s="12">
        <v>46265</v>
      </c>
      <c r="G225">
        <v>38</v>
      </c>
      <c r="H225">
        <v>1048</v>
      </c>
      <c r="I225" t="s">
        <v>1571</v>
      </c>
      <c r="J225" t="s">
        <v>1571</v>
      </c>
      <c r="K225" s="5" t="s">
        <v>1963</v>
      </c>
      <c r="L225" s="5" t="s">
        <v>1964</v>
      </c>
      <c r="M225" t="s">
        <v>1572</v>
      </c>
      <c r="N225">
        <v>6171</v>
      </c>
      <c r="O225">
        <v>139</v>
      </c>
      <c r="P225">
        <v>1320</v>
      </c>
      <c r="Q225">
        <v>0.21</v>
      </c>
    </row>
    <row r="226" spans="1:17" x14ac:dyDescent="0.25">
      <c r="A226" t="s">
        <v>1570</v>
      </c>
      <c r="B226" t="s">
        <v>425</v>
      </c>
      <c r="C226">
        <v>2100</v>
      </c>
      <c r="D226">
        <v>246180</v>
      </c>
      <c r="E226">
        <v>246400</v>
      </c>
      <c r="F226" s="12">
        <v>46265</v>
      </c>
      <c r="G226">
        <v>38</v>
      </c>
      <c r="H226">
        <v>1049</v>
      </c>
      <c r="I226" t="s">
        <v>1571</v>
      </c>
      <c r="J226" t="s">
        <v>1571</v>
      </c>
      <c r="K226" s="5" t="s">
        <v>1965</v>
      </c>
      <c r="L226" s="5" t="s">
        <v>1966</v>
      </c>
      <c r="M226" t="s">
        <v>1572</v>
      </c>
      <c r="N226">
        <v>5663</v>
      </c>
      <c r="O226">
        <v>139</v>
      </c>
      <c r="P226">
        <v>1540</v>
      </c>
      <c r="Q226">
        <v>0.21</v>
      </c>
    </row>
    <row r="227" spans="1:17" x14ac:dyDescent="0.25">
      <c r="A227" t="s">
        <v>1573</v>
      </c>
      <c r="B227" t="s">
        <v>425</v>
      </c>
      <c r="C227">
        <v>2100</v>
      </c>
      <c r="D227">
        <v>246180</v>
      </c>
      <c r="E227">
        <v>246400</v>
      </c>
      <c r="F227" s="12">
        <v>46265</v>
      </c>
      <c r="G227">
        <v>38</v>
      </c>
      <c r="H227">
        <v>1049</v>
      </c>
      <c r="I227" t="s">
        <v>1571</v>
      </c>
      <c r="J227" t="s">
        <v>1571</v>
      </c>
      <c r="K227" s="5" t="s">
        <v>1967</v>
      </c>
      <c r="L227" s="5" t="s">
        <v>1968</v>
      </c>
      <c r="M227" t="s">
        <v>1572</v>
      </c>
      <c r="N227">
        <v>5662</v>
      </c>
      <c r="O227">
        <v>139</v>
      </c>
      <c r="P227">
        <v>1540</v>
      </c>
      <c r="Q227">
        <v>0.21</v>
      </c>
    </row>
    <row r="228" spans="1:17" x14ac:dyDescent="0.25">
      <c r="A228" t="s">
        <v>1574</v>
      </c>
      <c r="B228" t="s">
        <v>425</v>
      </c>
      <c r="C228">
        <v>2100</v>
      </c>
      <c r="D228">
        <v>246180</v>
      </c>
      <c r="E228">
        <v>246400</v>
      </c>
      <c r="F228" s="12">
        <v>46265</v>
      </c>
      <c r="G228">
        <v>38</v>
      </c>
      <c r="H228">
        <v>1049</v>
      </c>
      <c r="I228" t="s">
        <v>1571</v>
      </c>
      <c r="J228" t="s">
        <v>1571</v>
      </c>
      <c r="K228" s="5" t="s">
        <v>1969</v>
      </c>
      <c r="L228" s="5" t="s">
        <v>1970</v>
      </c>
      <c r="M228" t="s">
        <v>1572</v>
      </c>
      <c r="N228">
        <v>5890</v>
      </c>
      <c r="O228">
        <v>139</v>
      </c>
      <c r="P228">
        <v>1540</v>
      </c>
      <c r="Q228">
        <v>0.21</v>
      </c>
    </row>
    <row r="229" spans="1:17" x14ac:dyDescent="0.25">
      <c r="A229" t="s">
        <v>1575</v>
      </c>
      <c r="B229" t="s">
        <v>425</v>
      </c>
      <c r="C229">
        <v>2100</v>
      </c>
      <c r="D229">
        <v>246180</v>
      </c>
      <c r="E229">
        <v>246400</v>
      </c>
      <c r="F229" s="12">
        <v>46265</v>
      </c>
      <c r="G229">
        <v>38</v>
      </c>
      <c r="H229">
        <v>1049</v>
      </c>
      <c r="I229" t="s">
        <v>1571</v>
      </c>
      <c r="J229" t="s">
        <v>1571</v>
      </c>
      <c r="K229" s="5" t="s">
        <v>1971</v>
      </c>
      <c r="L229" s="5" t="s">
        <v>1972</v>
      </c>
      <c r="M229" t="s">
        <v>1572</v>
      </c>
      <c r="N229">
        <v>5174</v>
      </c>
      <c r="O229">
        <v>139</v>
      </c>
      <c r="P229">
        <v>1540</v>
      </c>
      <c r="Q229">
        <v>0.21</v>
      </c>
    </row>
    <row r="230" spans="1:17" x14ac:dyDescent="0.25">
      <c r="A230" t="s">
        <v>1576</v>
      </c>
      <c r="B230" t="s">
        <v>425</v>
      </c>
      <c r="C230">
        <v>2100</v>
      </c>
      <c r="D230">
        <v>246180</v>
      </c>
      <c r="E230">
        <v>246400</v>
      </c>
      <c r="F230" s="12">
        <v>46265</v>
      </c>
      <c r="G230">
        <v>38</v>
      </c>
      <c r="H230">
        <v>1049</v>
      </c>
      <c r="I230" t="s">
        <v>1571</v>
      </c>
      <c r="J230" t="s">
        <v>1571</v>
      </c>
      <c r="K230" s="5" t="s">
        <v>1973</v>
      </c>
      <c r="L230" s="5" t="s">
        <v>1974</v>
      </c>
      <c r="M230" t="s">
        <v>1572</v>
      </c>
      <c r="N230">
        <v>5410</v>
      </c>
      <c r="O230">
        <v>139</v>
      </c>
      <c r="P230">
        <v>1540</v>
      </c>
      <c r="Q230">
        <v>0.21</v>
      </c>
    </row>
    <row r="231" spans="1:17" x14ac:dyDescent="0.25">
      <c r="A231" t="s">
        <v>1577</v>
      </c>
      <c r="B231" t="s">
        <v>425</v>
      </c>
      <c r="C231">
        <v>2100</v>
      </c>
      <c r="D231">
        <v>246180</v>
      </c>
      <c r="E231">
        <v>246400</v>
      </c>
      <c r="F231" s="12">
        <v>46265</v>
      </c>
      <c r="G231">
        <v>38</v>
      </c>
      <c r="H231">
        <v>1049</v>
      </c>
      <c r="I231" t="s">
        <v>1571</v>
      </c>
      <c r="J231" t="s">
        <v>1571</v>
      </c>
      <c r="K231" s="5" t="s">
        <v>1608</v>
      </c>
      <c r="L231" s="5" t="s">
        <v>1975</v>
      </c>
      <c r="M231" t="s">
        <v>1572</v>
      </c>
      <c r="N231">
        <v>4196</v>
      </c>
      <c r="O231">
        <v>139</v>
      </c>
      <c r="P231">
        <v>1540</v>
      </c>
      <c r="Q231">
        <v>0.21</v>
      </c>
    </row>
    <row r="232" spans="1:17" x14ac:dyDescent="0.25">
      <c r="A232" t="s">
        <v>1578</v>
      </c>
      <c r="B232" t="s">
        <v>425</v>
      </c>
      <c r="C232">
        <v>2100</v>
      </c>
      <c r="D232">
        <v>246180</v>
      </c>
      <c r="E232">
        <v>246400</v>
      </c>
      <c r="F232" s="12">
        <v>46265</v>
      </c>
      <c r="G232">
        <v>38</v>
      </c>
      <c r="H232">
        <v>1049</v>
      </c>
      <c r="I232" t="s">
        <v>1571</v>
      </c>
      <c r="J232" t="s">
        <v>1571</v>
      </c>
      <c r="K232" s="5" t="s">
        <v>1608</v>
      </c>
      <c r="L232" s="5" t="s">
        <v>1975</v>
      </c>
      <c r="M232" t="s">
        <v>1572</v>
      </c>
      <c r="N232">
        <v>4196</v>
      </c>
      <c r="O232">
        <v>139</v>
      </c>
      <c r="P232">
        <v>1540</v>
      </c>
      <c r="Q232">
        <v>0.21</v>
      </c>
    </row>
    <row r="233" spans="1:17" x14ac:dyDescent="0.25">
      <c r="A233" t="s">
        <v>1579</v>
      </c>
      <c r="B233" t="s">
        <v>425</v>
      </c>
      <c r="C233">
        <v>2100</v>
      </c>
      <c r="D233">
        <v>246180</v>
      </c>
      <c r="E233">
        <v>246400</v>
      </c>
      <c r="F233" s="12">
        <v>46265</v>
      </c>
      <c r="G233">
        <v>38</v>
      </c>
      <c r="H233">
        <v>1049</v>
      </c>
      <c r="I233" t="s">
        <v>1571</v>
      </c>
      <c r="J233" t="s">
        <v>1571</v>
      </c>
      <c r="K233" s="5" t="s">
        <v>1976</v>
      </c>
      <c r="L233" s="5" t="s">
        <v>1977</v>
      </c>
      <c r="M233" t="s">
        <v>1572</v>
      </c>
      <c r="N233">
        <v>5170</v>
      </c>
      <c r="O233">
        <v>139</v>
      </c>
      <c r="P233">
        <v>1540</v>
      </c>
      <c r="Q233">
        <v>0.21</v>
      </c>
    </row>
    <row r="234" spans="1:17" x14ac:dyDescent="0.25">
      <c r="A234" t="s">
        <v>1580</v>
      </c>
      <c r="B234" t="s">
        <v>425</v>
      </c>
      <c r="C234">
        <v>2100</v>
      </c>
      <c r="D234">
        <v>246180</v>
      </c>
      <c r="E234">
        <v>246400</v>
      </c>
      <c r="F234" s="12">
        <v>46265</v>
      </c>
      <c r="G234">
        <v>38</v>
      </c>
      <c r="H234">
        <v>1049</v>
      </c>
      <c r="I234" t="s">
        <v>1571</v>
      </c>
      <c r="J234" t="s">
        <v>1571</v>
      </c>
      <c r="K234" s="5" t="s">
        <v>1978</v>
      </c>
      <c r="L234" s="5" t="s">
        <v>1979</v>
      </c>
      <c r="M234" t="s">
        <v>1572</v>
      </c>
      <c r="N234">
        <v>5640</v>
      </c>
      <c r="O234">
        <v>139</v>
      </c>
      <c r="P234">
        <v>1540</v>
      </c>
      <c r="Q234">
        <v>0.21</v>
      </c>
    </row>
    <row r="235" spans="1:17" x14ac:dyDescent="0.25">
      <c r="A235" t="s">
        <v>1581</v>
      </c>
      <c r="B235" t="s">
        <v>425</v>
      </c>
      <c r="C235">
        <v>2100</v>
      </c>
      <c r="D235">
        <v>246180</v>
      </c>
      <c r="E235">
        <v>246400</v>
      </c>
      <c r="F235" s="12">
        <v>46265</v>
      </c>
      <c r="G235">
        <v>38</v>
      </c>
      <c r="H235">
        <v>1049</v>
      </c>
      <c r="I235" t="s">
        <v>1571</v>
      </c>
      <c r="J235" t="s">
        <v>1571</v>
      </c>
      <c r="K235" s="5" t="s">
        <v>1980</v>
      </c>
      <c r="L235" s="5" t="s">
        <v>1981</v>
      </c>
      <c r="M235" t="s">
        <v>1572</v>
      </c>
      <c r="N235">
        <v>5691</v>
      </c>
      <c r="O235">
        <v>139</v>
      </c>
      <c r="P235">
        <v>1540</v>
      </c>
      <c r="Q235">
        <v>0.21</v>
      </c>
    </row>
    <row r="236" spans="1:17" x14ac:dyDescent="0.25">
      <c r="A236" t="s">
        <v>1582</v>
      </c>
      <c r="B236" t="s">
        <v>425</v>
      </c>
      <c r="C236">
        <v>2100</v>
      </c>
      <c r="D236">
        <v>246180</v>
      </c>
      <c r="E236">
        <v>246400</v>
      </c>
      <c r="F236" s="12">
        <v>46265</v>
      </c>
      <c r="G236">
        <v>38</v>
      </c>
      <c r="H236">
        <v>1049</v>
      </c>
      <c r="I236" t="s">
        <v>1571</v>
      </c>
      <c r="J236" t="s">
        <v>1571</v>
      </c>
      <c r="K236" s="5" t="s">
        <v>1982</v>
      </c>
      <c r="L236" s="5" t="s">
        <v>1983</v>
      </c>
      <c r="M236" t="s">
        <v>1572</v>
      </c>
      <c r="N236">
        <v>5635</v>
      </c>
      <c r="O236">
        <v>139</v>
      </c>
      <c r="P236">
        <v>1540</v>
      </c>
      <c r="Q236">
        <v>0.21</v>
      </c>
    </row>
    <row r="237" spans="1:17" x14ac:dyDescent="0.25">
      <c r="A237" t="s">
        <v>1583</v>
      </c>
      <c r="B237" t="s">
        <v>425</v>
      </c>
      <c r="C237">
        <v>2100</v>
      </c>
      <c r="D237">
        <v>246180</v>
      </c>
      <c r="E237">
        <v>246400</v>
      </c>
      <c r="F237" s="12">
        <v>46265</v>
      </c>
      <c r="G237">
        <v>38</v>
      </c>
      <c r="H237">
        <v>1049</v>
      </c>
      <c r="I237" t="s">
        <v>1571</v>
      </c>
      <c r="J237" t="s">
        <v>1571</v>
      </c>
      <c r="K237" s="5" t="s">
        <v>1984</v>
      </c>
      <c r="L237" s="5" t="s">
        <v>1985</v>
      </c>
      <c r="M237" t="s">
        <v>1572</v>
      </c>
      <c r="N237">
        <v>5634</v>
      </c>
      <c r="O237">
        <v>139</v>
      </c>
      <c r="P237">
        <v>1540</v>
      </c>
      <c r="Q237">
        <v>0.21</v>
      </c>
    </row>
    <row r="238" spans="1:17" x14ac:dyDescent="0.25">
      <c r="A238" t="s">
        <v>1584</v>
      </c>
      <c r="B238" t="s">
        <v>425</v>
      </c>
      <c r="C238">
        <v>2100</v>
      </c>
      <c r="D238">
        <v>246180</v>
      </c>
      <c r="E238">
        <v>246400</v>
      </c>
      <c r="F238" s="12">
        <v>46265</v>
      </c>
      <c r="G238">
        <v>38</v>
      </c>
      <c r="H238">
        <v>1049</v>
      </c>
      <c r="I238" t="s">
        <v>1571</v>
      </c>
      <c r="J238" t="s">
        <v>1571</v>
      </c>
      <c r="K238" s="5" t="s">
        <v>1986</v>
      </c>
      <c r="L238" s="5" t="s">
        <v>1987</v>
      </c>
      <c r="M238" t="s">
        <v>1572</v>
      </c>
      <c r="N238">
        <v>6196</v>
      </c>
      <c r="O238">
        <v>139</v>
      </c>
      <c r="P238">
        <v>1540</v>
      </c>
      <c r="Q238">
        <v>0.21</v>
      </c>
    </row>
    <row r="239" spans="1:17" x14ac:dyDescent="0.25">
      <c r="A239" t="s">
        <v>1570</v>
      </c>
      <c r="B239" t="s">
        <v>425</v>
      </c>
      <c r="C239">
        <v>2100</v>
      </c>
      <c r="D239">
        <v>246400</v>
      </c>
      <c r="E239">
        <v>246620</v>
      </c>
      <c r="F239" s="12">
        <v>46265</v>
      </c>
      <c r="G239">
        <v>38</v>
      </c>
      <c r="H239">
        <v>1058</v>
      </c>
      <c r="I239" t="s">
        <v>1571</v>
      </c>
      <c r="J239" t="s">
        <v>1571</v>
      </c>
      <c r="K239" s="5" t="s">
        <v>1988</v>
      </c>
      <c r="L239" s="5" t="s">
        <v>1989</v>
      </c>
      <c r="M239" t="s">
        <v>1572</v>
      </c>
      <c r="N239">
        <v>5566</v>
      </c>
      <c r="O239">
        <v>140</v>
      </c>
      <c r="P239">
        <v>0</v>
      </c>
      <c r="Q239">
        <v>0.21</v>
      </c>
    </row>
    <row r="240" spans="1:17" x14ac:dyDescent="0.25">
      <c r="A240" t="s">
        <v>1573</v>
      </c>
      <c r="B240" t="s">
        <v>425</v>
      </c>
      <c r="C240">
        <v>2100</v>
      </c>
      <c r="D240">
        <v>246400</v>
      </c>
      <c r="E240">
        <v>246620</v>
      </c>
      <c r="F240" s="12">
        <v>46265</v>
      </c>
      <c r="G240">
        <v>38</v>
      </c>
      <c r="H240">
        <v>1058</v>
      </c>
      <c r="I240" t="s">
        <v>1571</v>
      </c>
      <c r="J240" t="s">
        <v>1571</v>
      </c>
      <c r="K240" s="5" t="s">
        <v>1990</v>
      </c>
      <c r="L240" s="5" t="s">
        <v>1991</v>
      </c>
      <c r="M240" t="s">
        <v>1572</v>
      </c>
      <c r="N240">
        <v>5733</v>
      </c>
      <c r="O240">
        <v>140</v>
      </c>
      <c r="P240">
        <v>0</v>
      </c>
      <c r="Q240">
        <v>0.21</v>
      </c>
    </row>
    <row r="241" spans="1:17" x14ac:dyDescent="0.25">
      <c r="A241" t="s">
        <v>1574</v>
      </c>
      <c r="B241" t="s">
        <v>425</v>
      </c>
      <c r="C241">
        <v>2100</v>
      </c>
      <c r="D241">
        <v>246400</v>
      </c>
      <c r="E241">
        <v>246620</v>
      </c>
      <c r="F241" s="12">
        <v>46265</v>
      </c>
      <c r="G241">
        <v>38</v>
      </c>
      <c r="H241">
        <v>1058</v>
      </c>
      <c r="I241" t="s">
        <v>1571</v>
      </c>
      <c r="J241" t="s">
        <v>1571</v>
      </c>
      <c r="K241" s="5" t="s">
        <v>1992</v>
      </c>
      <c r="L241" s="5" t="s">
        <v>1993</v>
      </c>
      <c r="M241" t="s">
        <v>1572</v>
      </c>
      <c r="N241">
        <v>5853</v>
      </c>
      <c r="O241">
        <v>140</v>
      </c>
      <c r="P241">
        <v>0</v>
      </c>
      <c r="Q241">
        <v>0.21</v>
      </c>
    </row>
    <row r="242" spans="1:17" x14ac:dyDescent="0.25">
      <c r="A242" t="s">
        <v>1575</v>
      </c>
      <c r="B242" t="s">
        <v>425</v>
      </c>
      <c r="C242">
        <v>2100</v>
      </c>
      <c r="D242">
        <v>246400</v>
      </c>
      <c r="E242">
        <v>246620</v>
      </c>
      <c r="F242" s="12">
        <v>46265</v>
      </c>
      <c r="G242">
        <v>38</v>
      </c>
      <c r="H242">
        <v>1058</v>
      </c>
      <c r="I242" t="s">
        <v>1571</v>
      </c>
      <c r="J242" t="s">
        <v>1571</v>
      </c>
      <c r="K242" s="5" t="s">
        <v>1994</v>
      </c>
      <c r="L242" s="5" t="s">
        <v>1995</v>
      </c>
      <c r="M242" t="s">
        <v>1572</v>
      </c>
      <c r="N242">
        <v>6158</v>
      </c>
      <c r="O242">
        <v>140</v>
      </c>
      <c r="P242">
        <v>0</v>
      </c>
      <c r="Q242">
        <v>0.21</v>
      </c>
    </row>
    <row r="243" spans="1:17" x14ac:dyDescent="0.25">
      <c r="A243" t="s">
        <v>1576</v>
      </c>
      <c r="B243" t="s">
        <v>425</v>
      </c>
      <c r="C243">
        <v>2100</v>
      </c>
      <c r="D243">
        <v>246400</v>
      </c>
      <c r="E243">
        <v>246620</v>
      </c>
      <c r="F243" s="12">
        <v>46265</v>
      </c>
      <c r="G243">
        <v>38</v>
      </c>
      <c r="H243">
        <v>1058</v>
      </c>
      <c r="I243" t="s">
        <v>1571</v>
      </c>
      <c r="J243" t="s">
        <v>1571</v>
      </c>
      <c r="K243" s="5" t="s">
        <v>1996</v>
      </c>
      <c r="L243" s="5" t="s">
        <v>1997</v>
      </c>
      <c r="M243" t="s">
        <v>1572</v>
      </c>
      <c r="N243">
        <v>5465</v>
      </c>
      <c r="O243">
        <v>140</v>
      </c>
      <c r="P243">
        <v>0</v>
      </c>
      <c r="Q243">
        <v>0.21</v>
      </c>
    </row>
    <row r="244" spans="1:17" x14ac:dyDescent="0.25">
      <c r="A244" t="s">
        <v>1577</v>
      </c>
      <c r="B244" t="s">
        <v>425</v>
      </c>
      <c r="C244">
        <v>2100</v>
      </c>
      <c r="D244">
        <v>246400</v>
      </c>
      <c r="E244">
        <v>246620</v>
      </c>
      <c r="F244" s="12">
        <v>46265</v>
      </c>
      <c r="G244">
        <v>38</v>
      </c>
      <c r="H244">
        <v>1058</v>
      </c>
      <c r="I244" t="s">
        <v>1571</v>
      </c>
      <c r="J244" t="s">
        <v>1571</v>
      </c>
      <c r="K244" s="5" t="s">
        <v>1608</v>
      </c>
      <c r="L244" s="5" t="s">
        <v>1998</v>
      </c>
      <c r="M244" t="s">
        <v>1572</v>
      </c>
      <c r="N244">
        <v>4232</v>
      </c>
      <c r="O244">
        <v>140</v>
      </c>
      <c r="P244">
        <v>0</v>
      </c>
      <c r="Q244">
        <v>0.21</v>
      </c>
    </row>
    <row r="245" spans="1:17" x14ac:dyDescent="0.25">
      <c r="A245" t="s">
        <v>1578</v>
      </c>
      <c r="B245" t="s">
        <v>425</v>
      </c>
      <c r="C245">
        <v>2100</v>
      </c>
      <c r="D245">
        <v>246400</v>
      </c>
      <c r="E245">
        <v>246620</v>
      </c>
      <c r="F245" s="12">
        <v>46265</v>
      </c>
      <c r="G245">
        <v>38</v>
      </c>
      <c r="H245">
        <v>1058</v>
      </c>
      <c r="I245" t="s">
        <v>1571</v>
      </c>
      <c r="J245" t="s">
        <v>1571</v>
      </c>
      <c r="K245" s="5" t="s">
        <v>1608</v>
      </c>
      <c r="L245" s="5" t="s">
        <v>1998</v>
      </c>
      <c r="M245" t="s">
        <v>1572</v>
      </c>
      <c r="N245">
        <v>4232</v>
      </c>
      <c r="O245">
        <v>140</v>
      </c>
      <c r="P245">
        <v>0</v>
      </c>
      <c r="Q245">
        <v>0.21</v>
      </c>
    </row>
    <row r="246" spans="1:17" x14ac:dyDescent="0.25">
      <c r="A246" t="s">
        <v>1579</v>
      </c>
      <c r="B246" t="s">
        <v>425</v>
      </c>
      <c r="C246">
        <v>2100</v>
      </c>
      <c r="D246">
        <v>246400</v>
      </c>
      <c r="E246">
        <v>246620</v>
      </c>
      <c r="F246" s="12">
        <v>46265</v>
      </c>
      <c r="G246">
        <v>38</v>
      </c>
      <c r="H246">
        <v>1058</v>
      </c>
      <c r="I246" t="s">
        <v>1571</v>
      </c>
      <c r="J246" t="s">
        <v>1571</v>
      </c>
      <c r="K246" s="5" t="s">
        <v>1999</v>
      </c>
      <c r="L246" s="5" t="s">
        <v>2000</v>
      </c>
      <c r="M246" t="s">
        <v>1572</v>
      </c>
      <c r="N246">
        <v>5252</v>
      </c>
      <c r="O246">
        <v>140</v>
      </c>
      <c r="P246">
        <v>0</v>
      </c>
      <c r="Q246">
        <v>0.21</v>
      </c>
    </row>
    <row r="247" spans="1:17" x14ac:dyDescent="0.25">
      <c r="A247" t="s">
        <v>1580</v>
      </c>
      <c r="B247" t="s">
        <v>425</v>
      </c>
      <c r="C247">
        <v>2100</v>
      </c>
      <c r="D247">
        <v>246400</v>
      </c>
      <c r="E247">
        <v>246620</v>
      </c>
      <c r="F247" s="12">
        <v>46265</v>
      </c>
      <c r="G247">
        <v>38</v>
      </c>
      <c r="H247">
        <v>1058</v>
      </c>
      <c r="I247" t="s">
        <v>1571</v>
      </c>
      <c r="J247" t="s">
        <v>1571</v>
      </c>
      <c r="K247" s="5" t="s">
        <v>2001</v>
      </c>
      <c r="L247" s="5" t="s">
        <v>2002</v>
      </c>
      <c r="M247" t="s">
        <v>1572</v>
      </c>
      <c r="N247">
        <v>5745</v>
      </c>
      <c r="O247">
        <v>140</v>
      </c>
      <c r="P247">
        <v>0</v>
      </c>
      <c r="Q247">
        <v>0.21</v>
      </c>
    </row>
    <row r="248" spans="1:17" x14ac:dyDescent="0.25">
      <c r="A248" t="s">
        <v>1581</v>
      </c>
      <c r="B248" t="s">
        <v>425</v>
      </c>
      <c r="C248">
        <v>2100</v>
      </c>
      <c r="D248">
        <v>246400</v>
      </c>
      <c r="E248">
        <v>246620</v>
      </c>
      <c r="F248" s="12">
        <v>46265</v>
      </c>
      <c r="G248">
        <v>38</v>
      </c>
      <c r="H248">
        <v>1058</v>
      </c>
      <c r="I248" t="s">
        <v>1571</v>
      </c>
      <c r="J248" t="s">
        <v>1571</v>
      </c>
      <c r="K248" s="5" t="s">
        <v>2003</v>
      </c>
      <c r="L248" s="5" t="s">
        <v>2004</v>
      </c>
      <c r="M248" t="s">
        <v>1572</v>
      </c>
      <c r="N248">
        <v>5711</v>
      </c>
      <c r="O248">
        <v>140</v>
      </c>
      <c r="P248">
        <v>0</v>
      </c>
      <c r="Q248">
        <v>0.21</v>
      </c>
    </row>
    <row r="249" spans="1:17" x14ac:dyDescent="0.25">
      <c r="A249" t="s">
        <v>1582</v>
      </c>
      <c r="B249" t="s">
        <v>425</v>
      </c>
      <c r="C249">
        <v>2100</v>
      </c>
      <c r="D249">
        <v>246400</v>
      </c>
      <c r="E249">
        <v>246620</v>
      </c>
      <c r="F249" s="12">
        <v>46265</v>
      </c>
      <c r="G249">
        <v>38</v>
      </c>
      <c r="H249">
        <v>1058</v>
      </c>
      <c r="I249" t="s">
        <v>1571</v>
      </c>
      <c r="J249" t="s">
        <v>1571</v>
      </c>
      <c r="K249" s="5" t="s">
        <v>2005</v>
      </c>
      <c r="L249" s="5" t="s">
        <v>2006</v>
      </c>
      <c r="M249" t="s">
        <v>1572</v>
      </c>
      <c r="N249">
        <v>5751</v>
      </c>
      <c r="O249">
        <v>140</v>
      </c>
      <c r="P249">
        <v>0</v>
      </c>
      <c r="Q249">
        <v>0.21</v>
      </c>
    </row>
    <row r="250" spans="1:17" x14ac:dyDescent="0.25">
      <c r="A250" t="s">
        <v>1583</v>
      </c>
      <c r="B250" t="s">
        <v>425</v>
      </c>
      <c r="C250">
        <v>2100</v>
      </c>
      <c r="D250">
        <v>246400</v>
      </c>
      <c r="E250">
        <v>246620</v>
      </c>
      <c r="F250" s="12">
        <v>46265</v>
      </c>
      <c r="G250">
        <v>38</v>
      </c>
      <c r="H250">
        <v>1058</v>
      </c>
      <c r="I250" t="s">
        <v>1571</v>
      </c>
      <c r="J250" t="s">
        <v>1571</v>
      </c>
      <c r="K250" s="5" t="s">
        <v>2007</v>
      </c>
      <c r="L250" s="5" t="s">
        <v>2008</v>
      </c>
      <c r="M250" t="s">
        <v>1572</v>
      </c>
      <c r="N250">
        <v>5382</v>
      </c>
      <c r="O250">
        <v>140</v>
      </c>
      <c r="P250">
        <v>0</v>
      </c>
      <c r="Q250">
        <v>0.21</v>
      </c>
    </row>
    <row r="251" spans="1:17" x14ac:dyDescent="0.25">
      <c r="A251" t="s">
        <v>1584</v>
      </c>
      <c r="B251" t="s">
        <v>425</v>
      </c>
      <c r="C251">
        <v>2100</v>
      </c>
      <c r="D251">
        <v>246400</v>
      </c>
      <c r="E251">
        <v>246620</v>
      </c>
      <c r="F251" s="12">
        <v>46265</v>
      </c>
      <c r="G251">
        <v>38</v>
      </c>
      <c r="H251">
        <v>1058</v>
      </c>
      <c r="I251" t="s">
        <v>1571</v>
      </c>
      <c r="J251" t="s">
        <v>1571</v>
      </c>
      <c r="K251" s="5" t="s">
        <v>2009</v>
      </c>
      <c r="L251" s="5" t="s">
        <v>2010</v>
      </c>
      <c r="M251" t="s">
        <v>1572</v>
      </c>
      <c r="N251">
        <v>6242</v>
      </c>
      <c r="O251">
        <v>140</v>
      </c>
      <c r="P251">
        <v>0</v>
      </c>
      <c r="Q251">
        <v>0.21</v>
      </c>
    </row>
    <row r="252" spans="1:17" x14ac:dyDescent="0.25">
      <c r="F252" s="12"/>
      <c r="K252" s="5"/>
    </row>
    <row r="253" spans="1:17" x14ac:dyDescent="0.25">
      <c r="F253" s="12"/>
      <c r="K253" s="5"/>
    </row>
    <row r="254" spans="1:17" x14ac:dyDescent="0.25">
      <c r="F254" s="12"/>
      <c r="K254" s="5"/>
    </row>
    <row r="255" spans="1:17" x14ac:dyDescent="0.25">
      <c r="F255" s="12"/>
      <c r="K255" s="5"/>
    </row>
    <row r="256" spans="1:17" x14ac:dyDescent="0.25">
      <c r="F256" s="12"/>
      <c r="K256" s="5"/>
    </row>
    <row r="257" spans="6:11" x14ac:dyDescent="0.25">
      <c r="F257" s="12"/>
      <c r="K257" s="5"/>
    </row>
    <row r="258" spans="6:11" x14ac:dyDescent="0.25">
      <c r="F258" s="12"/>
      <c r="K258" s="5"/>
    </row>
    <row r="259" spans="6:11" x14ac:dyDescent="0.25">
      <c r="F259" s="12"/>
      <c r="K259" s="5"/>
    </row>
    <row r="260" spans="6:11" x14ac:dyDescent="0.25">
      <c r="F260" s="12"/>
      <c r="K260" s="5"/>
    </row>
    <row r="261" spans="6:11" x14ac:dyDescent="0.25">
      <c r="F261" s="12"/>
      <c r="K261" s="5"/>
    </row>
    <row r="262" spans="6:11" x14ac:dyDescent="0.25">
      <c r="F262" s="12"/>
      <c r="K262" s="5"/>
    </row>
    <row r="263" spans="6:11" x14ac:dyDescent="0.25">
      <c r="F263" s="12"/>
      <c r="K263" s="5"/>
    </row>
    <row r="264" spans="6:11" x14ac:dyDescent="0.25">
      <c r="F264" s="12"/>
      <c r="K264" s="5"/>
    </row>
    <row r="265" spans="6:11" x14ac:dyDescent="0.25">
      <c r="F265" s="12"/>
      <c r="K265" s="5"/>
    </row>
    <row r="266" spans="6:11" x14ac:dyDescent="0.25">
      <c r="F266" s="12"/>
      <c r="K266" s="5"/>
    </row>
    <row r="267" spans="6:11" x14ac:dyDescent="0.25">
      <c r="F267" s="12"/>
      <c r="K267" s="5"/>
    </row>
    <row r="268" spans="6:11" x14ac:dyDescent="0.25">
      <c r="F268" s="12"/>
      <c r="K268" s="5"/>
    </row>
    <row r="269" spans="6:11" x14ac:dyDescent="0.25">
      <c r="F269" s="12"/>
      <c r="K269" s="5"/>
    </row>
    <row r="270" spans="6:11" x14ac:dyDescent="0.25">
      <c r="F270" s="12"/>
      <c r="K270" s="5"/>
    </row>
    <row r="271" spans="6:11" x14ac:dyDescent="0.25">
      <c r="F271" s="12"/>
      <c r="K271" s="5"/>
    </row>
    <row r="272" spans="6:11" x14ac:dyDescent="0.25">
      <c r="F272" s="12"/>
      <c r="K272" s="5"/>
    </row>
    <row r="273" spans="6:11" x14ac:dyDescent="0.25">
      <c r="F273" s="12"/>
      <c r="K273" s="5"/>
    </row>
    <row r="274" spans="6:11" x14ac:dyDescent="0.25">
      <c r="F274" s="12"/>
      <c r="K274" s="5"/>
    </row>
    <row r="275" spans="6:11" x14ac:dyDescent="0.25">
      <c r="F275" s="12"/>
      <c r="K275" s="5"/>
    </row>
    <row r="276" spans="6:11" x14ac:dyDescent="0.25">
      <c r="F276" s="12"/>
      <c r="K276" s="5"/>
    </row>
    <row r="277" spans="6:11" x14ac:dyDescent="0.25">
      <c r="F277" s="12"/>
      <c r="K277" s="5"/>
    </row>
    <row r="278" spans="6:11" x14ac:dyDescent="0.25">
      <c r="F278" s="12"/>
      <c r="K278" s="5"/>
    </row>
    <row r="279" spans="6:11" x14ac:dyDescent="0.25">
      <c r="F279" s="12"/>
      <c r="K279" s="5"/>
    </row>
    <row r="280" spans="6:11" x14ac:dyDescent="0.25">
      <c r="F280" s="12"/>
      <c r="K280" s="5"/>
    </row>
    <row r="281" spans="6:11" x14ac:dyDescent="0.25">
      <c r="F281" s="12"/>
      <c r="K281" s="5"/>
    </row>
    <row r="282" spans="6:11" x14ac:dyDescent="0.25">
      <c r="F282" s="12"/>
      <c r="K282" s="5"/>
    </row>
    <row r="283" spans="6:11" x14ac:dyDescent="0.25">
      <c r="F283" s="12"/>
      <c r="K283" s="5"/>
    </row>
    <row r="284" spans="6:11" x14ac:dyDescent="0.25">
      <c r="F284" s="12"/>
      <c r="K284" s="5"/>
    </row>
    <row r="285" spans="6:11" x14ac:dyDescent="0.25">
      <c r="F285" s="12"/>
      <c r="K285" s="5"/>
    </row>
    <row r="286" spans="6:11" x14ac:dyDescent="0.25">
      <c r="F286" s="12"/>
      <c r="K286" s="5"/>
    </row>
    <row r="287" spans="6:11" x14ac:dyDescent="0.25">
      <c r="F287" s="12"/>
      <c r="K287" s="5"/>
    </row>
    <row r="288" spans="6:11" x14ac:dyDescent="0.25">
      <c r="F288" s="12"/>
      <c r="K288" s="5"/>
    </row>
    <row r="289" spans="6:11" x14ac:dyDescent="0.25">
      <c r="F289" s="12"/>
      <c r="K289" s="5"/>
    </row>
    <row r="290" spans="6:11" x14ac:dyDescent="0.25">
      <c r="F290" s="12"/>
      <c r="K290" s="5"/>
    </row>
    <row r="291" spans="6:11" x14ac:dyDescent="0.25">
      <c r="F291" s="12"/>
      <c r="K291" s="5"/>
    </row>
    <row r="292" spans="6:11" x14ac:dyDescent="0.25">
      <c r="F292" s="12"/>
      <c r="K292" s="5"/>
    </row>
    <row r="293" spans="6:11" x14ac:dyDescent="0.25">
      <c r="F293" s="12"/>
      <c r="K293" s="5"/>
    </row>
    <row r="294" spans="6:11" x14ac:dyDescent="0.25">
      <c r="F294" s="12"/>
      <c r="K294" s="5"/>
    </row>
    <row r="295" spans="6:11" x14ac:dyDescent="0.25">
      <c r="F295" s="12"/>
      <c r="K295" s="5"/>
    </row>
    <row r="296" spans="6:11" x14ac:dyDescent="0.25">
      <c r="F296" s="12"/>
      <c r="K296" s="5"/>
    </row>
    <row r="297" spans="6:11" x14ac:dyDescent="0.25">
      <c r="F297" s="12"/>
      <c r="K297" s="5"/>
    </row>
    <row r="298" spans="6:11" x14ac:dyDescent="0.25">
      <c r="F298" s="12"/>
      <c r="K298" s="5"/>
    </row>
    <row r="299" spans="6:11" x14ac:dyDescent="0.25">
      <c r="F299" s="12"/>
      <c r="K299" s="5"/>
    </row>
    <row r="300" spans="6:11" x14ac:dyDescent="0.25">
      <c r="F300" s="12"/>
      <c r="K300" s="5"/>
    </row>
    <row r="301" spans="6:11" x14ac:dyDescent="0.25">
      <c r="F301" s="12"/>
      <c r="K301" s="5"/>
    </row>
    <row r="302" spans="6:11" x14ac:dyDescent="0.25">
      <c r="F302" s="12"/>
      <c r="K302" s="5"/>
    </row>
    <row r="303" spans="6:11" x14ac:dyDescent="0.25">
      <c r="F303" s="12"/>
      <c r="K303" s="5"/>
    </row>
    <row r="304" spans="6:11" x14ac:dyDescent="0.25">
      <c r="F304" s="12"/>
      <c r="K304" s="5"/>
    </row>
    <row r="305" spans="6:11" x14ac:dyDescent="0.25">
      <c r="F305" s="12"/>
      <c r="K305" s="5"/>
    </row>
    <row r="306" spans="6:11" x14ac:dyDescent="0.25">
      <c r="F306" s="12"/>
      <c r="K306" s="5"/>
    </row>
    <row r="307" spans="6:11" x14ac:dyDescent="0.25">
      <c r="F307" s="12"/>
      <c r="K307" s="5"/>
    </row>
    <row r="308" spans="6:11" x14ac:dyDescent="0.25">
      <c r="F308" s="12"/>
      <c r="K308" s="5"/>
    </row>
    <row r="309" spans="6:11" x14ac:dyDescent="0.25">
      <c r="F309" s="12"/>
      <c r="K309" s="5"/>
    </row>
    <row r="310" spans="6:11" x14ac:dyDescent="0.25">
      <c r="F310" s="12"/>
      <c r="K310" s="5"/>
    </row>
    <row r="311" spans="6:11" x14ac:dyDescent="0.25">
      <c r="F311" s="12"/>
      <c r="K311" s="5"/>
    </row>
    <row r="312" spans="6:11" x14ac:dyDescent="0.25">
      <c r="F312" s="12"/>
      <c r="K312" s="5"/>
    </row>
    <row r="313" spans="6:11" x14ac:dyDescent="0.25">
      <c r="F313" s="12"/>
      <c r="K313" s="5"/>
    </row>
    <row r="314" spans="6:11" x14ac:dyDescent="0.25">
      <c r="F314" s="12"/>
      <c r="K314" s="5"/>
    </row>
    <row r="315" spans="6:11" x14ac:dyDescent="0.25">
      <c r="F315" s="12"/>
      <c r="K315" s="5"/>
    </row>
    <row r="316" spans="6:11" x14ac:dyDescent="0.25">
      <c r="F316" s="12"/>
      <c r="K316" s="5"/>
    </row>
    <row r="317" spans="6:11" x14ac:dyDescent="0.25">
      <c r="F317" s="12"/>
      <c r="K317" s="5"/>
    </row>
    <row r="318" spans="6:11" x14ac:dyDescent="0.25">
      <c r="F318" s="12"/>
      <c r="K318" s="5"/>
    </row>
    <row r="319" spans="6:11" x14ac:dyDescent="0.25">
      <c r="F319" s="12"/>
      <c r="K319" s="5"/>
    </row>
    <row r="320" spans="6:11" x14ac:dyDescent="0.25">
      <c r="F320" s="12"/>
      <c r="K320" s="5"/>
    </row>
    <row r="321" spans="6:11" x14ac:dyDescent="0.25">
      <c r="F321" s="12"/>
      <c r="K321" s="5"/>
    </row>
    <row r="322" spans="6:11" x14ac:dyDescent="0.25">
      <c r="F322" s="12"/>
      <c r="K322" s="5"/>
    </row>
    <row r="323" spans="6:11" x14ac:dyDescent="0.25">
      <c r="F323" s="12"/>
      <c r="K323" s="5"/>
    </row>
    <row r="324" spans="6:11" x14ac:dyDescent="0.25">
      <c r="F324" s="12"/>
      <c r="K324" s="5"/>
    </row>
    <row r="325" spans="6:11" x14ac:dyDescent="0.25">
      <c r="F325" s="12"/>
      <c r="K325" s="5"/>
    </row>
    <row r="326" spans="6:11" x14ac:dyDescent="0.25">
      <c r="F326" s="12"/>
      <c r="K326" s="5"/>
    </row>
    <row r="327" spans="6:11" x14ac:dyDescent="0.25">
      <c r="F327" s="12"/>
      <c r="K327" s="5"/>
    </row>
    <row r="328" spans="6:11" x14ac:dyDescent="0.25">
      <c r="F328" s="12"/>
      <c r="K328" s="5"/>
    </row>
    <row r="329" spans="6:11" x14ac:dyDescent="0.25">
      <c r="F329" s="12"/>
      <c r="K329" s="5"/>
    </row>
    <row r="330" spans="6:11" x14ac:dyDescent="0.25">
      <c r="F330" s="12"/>
      <c r="K330" s="5"/>
    </row>
    <row r="331" spans="6:11" x14ac:dyDescent="0.25">
      <c r="F331" s="12"/>
      <c r="K331" s="5"/>
    </row>
    <row r="332" spans="6:11" x14ac:dyDescent="0.25">
      <c r="F332" s="12"/>
      <c r="K332" s="5"/>
    </row>
    <row r="333" spans="6:11" x14ac:dyDescent="0.25">
      <c r="F333" s="12"/>
      <c r="K333" s="5"/>
    </row>
    <row r="334" spans="6:11" x14ac:dyDescent="0.25">
      <c r="F334" s="12"/>
      <c r="K334" s="5"/>
    </row>
    <row r="335" spans="6:11" x14ac:dyDescent="0.25">
      <c r="F335" s="12"/>
      <c r="K335" s="5"/>
    </row>
    <row r="336" spans="6:11" x14ac:dyDescent="0.25">
      <c r="F336" s="12"/>
      <c r="K336" s="5"/>
    </row>
    <row r="337" spans="6:11" x14ac:dyDescent="0.25">
      <c r="F337" s="12"/>
      <c r="K337" s="5"/>
    </row>
    <row r="338" spans="6:11" x14ac:dyDescent="0.25">
      <c r="F338" s="12"/>
      <c r="K338" s="5"/>
    </row>
    <row r="339" spans="6:11" x14ac:dyDescent="0.25">
      <c r="F339" s="12"/>
      <c r="K339" s="5"/>
    </row>
    <row r="340" spans="6:11" x14ac:dyDescent="0.25">
      <c r="F340" s="12"/>
      <c r="K340" s="5"/>
    </row>
    <row r="341" spans="6:11" x14ac:dyDescent="0.25">
      <c r="F341" s="12"/>
      <c r="K341" s="5"/>
    </row>
    <row r="342" spans="6:11" x14ac:dyDescent="0.25">
      <c r="F342" s="12"/>
      <c r="K342" s="5"/>
    </row>
    <row r="343" spans="6:11" x14ac:dyDescent="0.25">
      <c r="F343" s="12"/>
      <c r="K343" s="5"/>
    </row>
    <row r="344" spans="6:11" x14ac:dyDescent="0.25">
      <c r="F344" s="12"/>
      <c r="K344" s="5"/>
    </row>
    <row r="345" spans="6:11" x14ac:dyDescent="0.25">
      <c r="F345" s="12"/>
      <c r="K345" s="5"/>
    </row>
    <row r="346" spans="6:11" x14ac:dyDescent="0.25">
      <c r="F346" s="12"/>
      <c r="K346" s="5"/>
    </row>
    <row r="347" spans="6:11" x14ac:dyDescent="0.25">
      <c r="F347" s="12"/>
      <c r="K347" s="5"/>
    </row>
    <row r="348" spans="6:11" x14ac:dyDescent="0.25">
      <c r="F348" s="12"/>
      <c r="K348" s="5"/>
    </row>
    <row r="349" spans="6:11" x14ac:dyDescent="0.25">
      <c r="F349" s="12"/>
      <c r="K349" s="5"/>
    </row>
    <row r="350" spans="6:11" x14ac:dyDescent="0.25">
      <c r="F350" s="12"/>
      <c r="K350" s="5"/>
    </row>
    <row r="351" spans="6:11" x14ac:dyDescent="0.25">
      <c r="F351" s="12"/>
      <c r="K351" s="5"/>
    </row>
    <row r="352" spans="6:11" x14ac:dyDescent="0.25">
      <c r="F352" s="12"/>
      <c r="K352" s="5"/>
    </row>
    <row r="353" spans="6:11" x14ac:dyDescent="0.25">
      <c r="F353" s="12"/>
      <c r="K353" s="5"/>
    </row>
    <row r="354" spans="6:11" x14ac:dyDescent="0.25">
      <c r="F354" s="12"/>
      <c r="K354" s="5"/>
    </row>
    <row r="355" spans="6:11" x14ac:dyDescent="0.25">
      <c r="F355" s="12"/>
      <c r="K355" s="5"/>
    </row>
    <row r="356" spans="6:11" x14ac:dyDescent="0.25">
      <c r="F356" s="12"/>
      <c r="K356" s="5"/>
    </row>
    <row r="357" spans="6:11" x14ac:dyDescent="0.25">
      <c r="F357" s="12"/>
      <c r="K357" s="5"/>
    </row>
    <row r="358" spans="6:11" x14ac:dyDescent="0.25">
      <c r="F358" s="12"/>
      <c r="K358" s="5"/>
    </row>
    <row r="359" spans="6:11" x14ac:dyDescent="0.25">
      <c r="F359" s="12"/>
      <c r="K359" s="5"/>
    </row>
    <row r="360" spans="6:11" x14ac:dyDescent="0.25">
      <c r="F360" s="12"/>
      <c r="K360" s="5"/>
    </row>
    <row r="361" spans="6:11" x14ac:dyDescent="0.25">
      <c r="F361" s="12"/>
      <c r="K361" s="5"/>
    </row>
    <row r="362" spans="6:11" x14ac:dyDescent="0.25">
      <c r="F362" s="12"/>
      <c r="K362" s="5"/>
    </row>
    <row r="363" spans="6:11" x14ac:dyDescent="0.25">
      <c r="F363" s="12"/>
      <c r="K363" s="5"/>
    </row>
    <row r="364" spans="6:11" x14ac:dyDescent="0.25">
      <c r="F364" s="12"/>
      <c r="K364" s="5"/>
    </row>
    <row r="365" spans="6:11" x14ac:dyDescent="0.25">
      <c r="F365" s="12"/>
      <c r="K365" s="5"/>
    </row>
    <row r="366" spans="6:11" x14ac:dyDescent="0.25">
      <c r="F366" s="12"/>
      <c r="K366" s="5"/>
    </row>
    <row r="367" spans="6:11" x14ac:dyDescent="0.25">
      <c r="F367" s="12"/>
      <c r="K367" s="5"/>
    </row>
    <row r="368" spans="6:11" x14ac:dyDescent="0.25">
      <c r="F368" s="12"/>
      <c r="K368" s="5"/>
    </row>
    <row r="369" spans="6:11" x14ac:dyDescent="0.25">
      <c r="F369" s="12"/>
      <c r="K369" s="5"/>
    </row>
    <row r="370" spans="6:11" x14ac:dyDescent="0.25">
      <c r="F370" s="12"/>
      <c r="K370" s="5"/>
    </row>
    <row r="371" spans="6:11" x14ac:dyDescent="0.25">
      <c r="F371" s="12"/>
      <c r="K371" s="5"/>
    </row>
    <row r="372" spans="6:11" x14ac:dyDescent="0.25">
      <c r="F372" s="12"/>
      <c r="K372" s="5"/>
    </row>
    <row r="373" spans="6:11" x14ac:dyDescent="0.25">
      <c r="F373" s="12"/>
      <c r="K373" s="5"/>
    </row>
    <row r="374" spans="6:11" x14ac:dyDescent="0.25">
      <c r="F374" s="12"/>
      <c r="K374" s="5"/>
    </row>
    <row r="375" spans="6:11" x14ac:dyDescent="0.25">
      <c r="F375" s="12"/>
      <c r="K375" s="5"/>
    </row>
    <row r="376" spans="6:11" x14ac:dyDescent="0.25">
      <c r="F376" s="12"/>
      <c r="K376" s="5"/>
    </row>
    <row r="377" spans="6:11" x14ac:dyDescent="0.25">
      <c r="F377" s="12"/>
      <c r="K377" s="5"/>
    </row>
    <row r="378" spans="6:11" x14ac:dyDescent="0.25">
      <c r="F378" s="12"/>
      <c r="K378" s="5"/>
    </row>
    <row r="379" spans="6:11" x14ac:dyDescent="0.25">
      <c r="F379" s="12"/>
      <c r="K379" s="5"/>
    </row>
    <row r="380" spans="6:11" x14ac:dyDescent="0.25">
      <c r="F380" s="12"/>
      <c r="K380" s="5"/>
    </row>
    <row r="381" spans="6:11" x14ac:dyDescent="0.25">
      <c r="F381" s="12"/>
      <c r="K381" s="5"/>
    </row>
    <row r="382" spans="6:11" x14ac:dyDescent="0.25">
      <c r="F382" s="12"/>
      <c r="K382" s="5"/>
    </row>
    <row r="383" spans="6:11" x14ac:dyDescent="0.25">
      <c r="F383" s="12"/>
      <c r="K383" s="5"/>
    </row>
    <row r="384" spans="6:11" x14ac:dyDescent="0.25">
      <c r="F384" s="12"/>
      <c r="K384" s="5"/>
    </row>
    <row r="385" spans="6:11" x14ac:dyDescent="0.25">
      <c r="F385" s="12"/>
      <c r="K385" s="5"/>
    </row>
    <row r="386" spans="6:11" x14ac:dyDescent="0.25">
      <c r="F386" s="12"/>
      <c r="K386" s="5"/>
    </row>
    <row r="387" spans="6:11" x14ac:dyDescent="0.25">
      <c r="F387" s="12"/>
      <c r="K387" s="5"/>
    </row>
    <row r="388" spans="6:11" x14ac:dyDescent="0.25">
      <c r="F388" s="12"/>
      <c r="K388" s="5"/>
    </row>
    <row r="389" spans="6:11" x14ac:dyDescent="0.25">
      <c r="F389" s="12"/>
      <c r="K389" s="5"/>
    </row>
    <row r="390" spans="6:11" x14ac:dyDescent="0.25">
      <c r="F390" s="12"/>
      <c r="K390" s="5"/>
    </row>
    <row r="391" spans="6:11" x14ac:dyDescent="0.25">
      <c r="F391" s="12"/>
      <c r="K391" s="5"/>
    </row>
    <row r="392" spans="6:11" x14ac:dyDescent="0.25">
      <c r="F392" s="12"/>
      <c r="K392" s="5"/>
    </row>
    <row r="393" spans="6:11" x14ac:dyDescent="0.25">
      <c r="F393" s="12"/>
      <c r="K393" s="5"/>
    </row>
    <row r="394" spans="6:11" x14ac:dyDescent="0.25">
      <c r="F394" s="12"/>
      <c r="K394" s="5"/>
    </row>
    <row r="395" spans="6:11" x14ac:dyDescent="0.25">
      <c r="F395" s="12"/>
      <c r="K395" s="5"/>
    </row>
    <row r="396" spans="6:11" x14ac:dyDescent="0.25">
      <c r="F396" s="12"/>
      <c r="K396" s="5"/>
    </row>
    <row r="397" spans="6:11" x14ac:dyDescent="0.25">
      <c r="F397" s="12"/>
      <c r="K397" s="5"/>
    </row>
    <row r="398" spans="6:11" x14ac:dyDescent="0.25">
      <c r="F398" s="12"/>
      <c r="K398" s="5"/>
    </row>
    <row r="399" spans="6:11" x14ac:dyDescent="0.25">
      <c r="F399" s="12"/>
      <c r="K399" s="5"/>
    </row>
    <row r="400" spans="6:11" x14ac:dyDescent="0.25">
      <c r="F400" s="12"/>
      <c r="K400" s="5"/>
    </row>
    <row r="401" spans="6:11" x14ac:dyDescent="0.25">
      <c r="F401" s="12"/>
      <c r="K401" s="5"/>
    </row>
    <row r="402" spans="6:11" x14ac:dyDescent="0.25">
      <c r="F402" s="12"/>
      <c r="K402" s="5"/>
    </row>
    <row r="403" spans="6:11" x14ac:dyDescent="0.25">
      <c r="F403" s="12"/>
      <c r="K403" s="5"/>
    </row>
    <row r="404" spans="6:11" x14ac:dyDescent="0.25">
      <c r="F404" s="12"/>
      <c r="K404" s="5"/>
    </row>
    <row r="405" spans="6:11" x14ac:dyDescent="0.25">
      <c r="F405" s="12"/>
      <c r="K405" s="5"/>
    </row>
    <row r="406" spans="6:11" x14ac:dyDescent="0.25">
      <c r="F406" s="12"/>
      <c r="K406" s="5"/>
    </row>
    <row r="407" spans="6:11" x14ac:dyDescent="0.25">
      <c r="F407" s="12"/>
      <c r="K407" s="5"/>
    </row>
    <row r="408" spans="6:11" x14ac:dyDescent="0.25">
      <c r="F408" s="12"/>
      <c r="K408" s="5"/>
    </row>
    <row r="409" spans="6:11" x14ac:dyDescent="0.25">
      <c r="F409" s="12"/>
      <c r="K409" s="5"/>
    </row>
    <row r="410" spans="6:11" x14ac:dyDescent="0.25">
      <c r="F410" s="12"/>
      <c r="K410" s="5"/>
    </row>
    <row r="411" spans="6:11" x14ac:dyDescent="0.25">
      <c r="F411" s="12"/>
      <c r="K411" s="5"/>
    </row>
    <row r="412" spans="6:11" x14ac:dyDescent="0.25">
      <c r="F412" s="12"/>
      <c r="K412" s="5"/>
    </row>
    <row r="413" spans="6:11" x14ac:dyDescent="0.25">
      <c r="F413" s="12"/>
      <c r="K413" s="5"/>
    </row>
    <row r="414" spans="6:11" x14ac:dyDescent="0.25">
      <c r="F414" s="12"/>
      <c r="K414" s="5"/>
    </row>
    <row r="415" spans="6:11" x14ac:dyDescent="0.25">
      <c r="F415" s="12"/>
      <c r="K415" s="5"/>
    </row>
    <row r="416" spans="6:11" x14ac:dyDescent="0.25">
      <c r="F416" s="12"/>
      <c r="K416" s="5"/>
    </row>
    <row r="417" spans="6:11" x14ac:dyDescent="0.25">
      <c r="F417" s="12"/>
      <c r="K417" s="5"/>
    </row>
    <row r="418" spans="6:11" x14ac:dyDescent="0.25">
      <c r="F418" s="12"/>
      <c r="K418" s="5"/>
    </row>
    <row r="419" spans="6:11" x14ac:dyDescent="0.25">
      <c r="F419" s="12"/>
      <c r="K419" s="5"/>
    </row>
    <row r="420" spans="6:11" x14ac:dyDescent="0.25">
      <c r="F420" s="12"/>
      <c r="K420" s="5"/>
    </row>
    <row r="421" spans="6:11" x14ac:dyDescent="0.25">
      <c r="F421" s="12"/>
      <c r="K421" s="5"/>
    </row>
    <row r="422" spans="6:11" x14ac:dyDescent="0.25">
      <c r="F422" s="12"/>
      <c r="K422" s="5"/>
    </row>
    <row r="423" spans="6:11" x14ac:dyDescent="0.25">
      <c r="F423" s="12"/>
      <c r="K423" s="5"/>
    </row>
    <row r="424" spans="6:11" x14ac:dyDescent="0.25">
      <c r="F424" s="12"/>
      <c r="K424" s="5"/>
    </row>
    <row r="425" spans="6:11" x14ac:dyDescent="0.25">
      <c r="F425" s="12"/>
      <c r="K425" s="5"/>
    </row>
    <row r="426" spans="6:11" x14ac:dyDescent="0.25">
      <c r="F426" s="12"/>
      <c r="K426" s="5"/>
    </row>
    <row r="427" spans="6:11" x14ac:dyDescent="0.25">
      <c r="F427" s="12"/>
      <c r="K427" s="5"/>
    </row>
    <row r="428" spans="6:11" x14ac:dyDescent="0.25">
      <c r="F428" s="12"/>
      <c r="K428" s="5"/>
    </row>
    <row r="429" spans="6:11" x14ac:dyDescent="0.25">
      <c r="F429" s="12"/>
      <c r="K429" s="5"/>
    </row>
    <row r="430" spans="6:11" x14ac:dyDescent="0.25">
      <c r="F430" s="12"/>
      <c r="K430" s="5"/>
    </row>
    <row r="431" spans="6:11" x14ac:dyDescent="0.25">
      <c r="F431" s="12"/>
      <c r="K431" s="5"/>
    </row>
    <row r="432" spans="6:11" x14ac:dyDescent="0.25">
      <c r="F432" s="12"/>
      <c r="K432" s="5"/>
    </row>
    <row r="433" spans="6:11" x14ac:dyDescent="0.25">
      <c r="F433" s="12"/>
      <c r="K433" s="5"/>
    </row>
    <row r="434" spans="6:11" x14ac:dyDescent="0.25">
      <c r="F434" s="12"/>
      <c r="K434" s="5"/>
    </row>
    <row r="435" spans="6:11" x14ac:dyDescent="0.25">
      <c r="F435" s="12"/>
      <c r="K435" s="5"/>
    </row>
    <row r="436" spans="6:11" x14ac:dyDescent="0.25">
      <c r="F436" s="12"/>
      <c r="K436" s="5"/>
    </row>
    <row r="437" spans="6:11" x14ac:dyDescent="0.25">
      <c r="F437" s="12"/>
      <c r="K437" s="5"/>
    </row>
    <row r="438" spans="6:11" x14ac:dyDescent="0.25">
      <c r="F438" s="12"/>
      <c r="K438" s="5"/>
    </row>
    <row r="439" spans="6:11" x14ac:dyDescent="0.25">
      <c r="F439" s="12"/>
      <c r="K439" s="5"/>
    </row>
    <row r="440" spans="6:11" x14ac:dyDescent="0.25">
      <c r="F440" s="12"/>
      <c r="K440" s="5"/>
    </row>
    <row r="441" spans="6:11" x14ac:dyDescent="0.25">
      <c r="F441" s="12"/>
      <c r="K441" s="5"/>
    </row>
    <row r="442" spans="6:11" x14ac:dyDescent="0.25">
      <c r="F442" s="12"/>
      <c r="K442" s="5"/>
    </row>
    <row r="443" spans="6:11" x14ac:dyDescent="0.25">
      <c r="F443" s="12"/>
      <c r="K443" s="5"/>
    </row>
    <row r="444" spans="6:11" x14ac:dyDescent="0.25">
      <c r="F444" s="12"/>
      <c r="K444" s="5"/>
    </row>
    <row r="445" spans="6:11" x14ac:dyDescent="0.25">
      <c r="F445" s="12"/>
      <c r="K445" s="5"/>
    </row>
    <row r="446" spans="6:11" x14ac:dyDescent="0.25">
      <c r="F446" s="12"/>
      <c r="K446" s="5"/>
    </row>
    <row r="447" spans="6:11" x14ac:dyDescent="0.25">
      <c r="F447" s="12"/>
      <c r="K447" s="5"/>
    </row>
    <row r="448" spans="6:11" x14ac:dyDescent="0.25">
      <c r="F448" s="12"/>
      <c r="K448" s="5"/>
    </row>
    <row r="449" spans="6:11" x14ac:dyDescent="0.25">
      <c r="F449" s="12"/>
      <c r="K449" s="5"/>
    </row>
    <row r="450" spans="6:11" x14ac:dyDescent="0.25">
      <c r="F450" s="12"/>
      <c r="K450" s="5"/>
    </row>
    <row r="451" spans="6:11" x14ac:dyDescent="0.25">
      <c r="F451" s="12"/>
      <c r="K451" s="5"/>
    </row>
    <row r="452" spans="6:11" x14ac:dyDescent="0.25">
      <c r="F452" s="12"/>
      <c r="K452" s="5"/>
    </row>
    <row r="453" spans="6:11" x14ac:dyDescent="0.25">
      <c r="F453" s="12"/>
      <c r="K453" s="5"/>
    </row>
    <row r="454" spans="6:11" x14ac:dyDescent="0.25">
      <c r="F454" s="12"/>
      <c r="K454" s="5"/>
    </row>
    <row r="455" spans="6:11" x14ac:dyDescent="0.25">
      <c r="F455" s="12"/>
      <c r="K455" s="5"/>
    </row>
    <row r="456" spans="6:11" x14ac:dyDescent="0.25">
      <c r="F456" s="12"/>
      <c r="K456" s="5"/>
    </row>
    <row r="457" spans="6:11" x14ac:dyDescent="0.25">
      <c r="F457" s="12"/>
      <c r="K457" s="5"/>
    </row>
    <row r="458" spans="6:11" x14ac:dyDescent="0.25">
      <c r="F458" s="12"/>
      <c r="K458" s="5"/>
    </row>
    <row r="459" spans="6:11" x14ac:dyDescent="0.25">
      <c r="F459" s="12"/>
      <c r="K459" s="5"/>
    </row>
    <row r="460" spans="6:11" x14ac:dyDescent="0.25">
      <c r="F460" s="12"/>
      <c r="K460" s="5"/>
    </row>
    <row r="461" spans="6:11" x14ac:dyDescent="0.25">
      <c r="F461" s="12"/>
      <c r="K461" s="5"/>
    </row>
    <row r="462" spans="6:11" x14ac:dyDescent="0.25">
      <c r="F462" s="12"/>
      <c r="K462" s="5"/>
    </row>
    <row r="463" spans="6:11" x14ac:dyDescent="0.25">
      <c r="F463" s="12"/>
      <c r="K463" s="5"/>
    </row>
    <row r="464" spans="6:11" x14ac:dyDescent="0.25">
      <c r="F464" s="12"/>
      <c r="K464" s="5"/>
    </row>
    <row r="465" spans="6:11" x14ac:dyDescent="0.25">
      <c r="F465" s="12"/>
      <c r="K465" s="5"/>
    </row>
    <row r="466" spans="6:11" x14ac:dyDescent="0.25">
      <c r="F466" s="12"/>
      <c r="K466" s="5"/>
    </row>
    <row r="467" spans="6:11" x14ac:dyDescent="0.25">
      <c r="F467" s="12"/>
      <c r="K467" s="5"/>
    </row>
    <row r="468" spans="6:11" x14ac:dyDescent="0.25">
      <c r="F468" s="12"/>
      <c r="K468" s="5"/>
    </row>
    <row r="469" spans="6:11" x14ac:dyDescent="0.25">
      <c r="F469" s="12"/>
      <c r="K469" s="5"/>
    </row>
    <row r="470" spans="6:11" x14ac:dyDescent="0.25">
      <c r="F470" s="12"/>
      <c r="K470" s="5"/>
    </row>
    <row r="471" spans="6:11" x14ac:dyDescent="0.25">
      <c r="F471" s="12"/>
      <c r="K471" s="5"/>
    </row>
    <row r="472" spans="6:11" x14ac:dyDescent="0.25">
      <c r="F472" s="12"/>
      <c r="K472" s="5"/>
    </row>
    <row r="473" spans="6:11" x14ac:dyDescent="0.25">
      <c r="F473" s="12"/>
      <c r="K473" s="5"/>
    </row>
    <row r="474" spans="6:11" x14ac:dyDescent="0.25">
      <c r="F474" s="12"/>
      <c r="K474" s="5"/>
    </row>
    <row r="475" spans="6:11" x14ac:dyDescent="0.25">
      <c r="F475" s="12"/>
      <c r="K475" s="5"/>
    </row>
    <row r="476" spans="6:11" x14ac:dyDescent="0.25">
      <c r="F476" s="12"/>
      <c r="K476" s="5"/>
    </row>
    <row r="477" spans="6:11" x14ac:dyDescent="0.25">
      <c r="F477" s="12"/>
      <c r="K477" s="5"/>
    </row>
    <row r="478" spans="6:11" x14ac:dyDescent="0.25">
      <c r="F478" s="12"/>
      <c r="K478" s="5"/>
    </row>
    <row r="479" spans="6:11" x14ac:dyDescent="0.25">
      <c r="F479" s="12"/>
      <c r="K479" s="5"/>
    </row>
    <row r="480" spans="6:11" x14ac:dyDescent="0.25">
      <c r="F480" s="12"/>
      <c r="K480" s="5"/>
    </row>
    <row r="481" spans="6:11" x14ac:dyDescent="0.25">
      <c r="F481" s="12"/>
      <c r="K481" s="5"/>
    </row>
    <row r="482" spans="6:11" x14ac:dyDescent="0.25">
      <c r="F482" s="12"/>
      <c r="K482" s="5"/>
    </row>
    <row r="483" spans="6:11" x14ac:dyDescent="0.25">
      <c r="F483" s="12"/>
      <c r="K483" s="5"/>
    </row>
    <row r="484" spans="6:11" x14ac:dyDescent="0.25">
      <c r="F484" s="12"/>
      <c r="K484" s="5"/>
    </row>
    <row r="485" spans="6:11" x14ac:dyDescent="0.25">
      <c r="F485" s="12"/>
      <c r="K485" s="5"/>
    </row>
    <row r="486" spans="6:11" x14ac:dyDescent="0.25">
      <c r="F486" s="12"/>
      <c r="K486" s="5"/>
    </row>
    <row r="487" spans="6:11" x14ac:dyDescent="0.25">
      <c r="F487" s="12"/>
      <c r="K487" s="5"/>
    </row>
    <row r="488" spans="6:11" x14ac:dyDescent="0.25">
      <c r="F488" s="12"/>
      <c r="K488" s="5"/>
    </row>
    <row r="489" spans="6:11" x14ac:dyDescent="0.25">
      <c r="F489" s="12"/>
      <c r="K489" s="5"/>
    </row>
    <row r="490" spans="6:11" x14ac:dyDescent="0.25">
      <c r="F490" s="12"/>
      <c r="K490" s="5"/>
    </row>
    <row r="491" spans="6:11" x14ac:dyDescent="0.25">
      <c r="F491" s="12"/>
      <c r="K491" s="5"/>
    </row>
    <row r="492" spans="6:11" x14ac:dyDescent="0.25">
      <c r="F492" s="12"/>
      <c r="K492" s="5"/>
    </row>
    <row r="493" spans="6:11" x14ac:dyDescent="0.25">
      <c r="F493" s="12"/>
      <c r="K493" s="5"/>
    </row>
    <row r="494" spans="6:11" x14ac:dyDescent="0.25">
      <c r="F494" s="12"/>
      <c r="K494" s="5"/>
    </row>
    <row r="495" spans="6:11" x14ac:dyDescent="0.25">
      <c r="F495" s="12"/>
      <c r="K495" s="5"/>
    </row>
    <row r="496" spans="6:11" x14ac:dyDescent="0.25">
      <c r="F496" s="12"/>
      <c r="K496" s="5"/>
    </row>
    <row r="497" spans="6:11" x14ac:dyDescent="0.25">
      <c r="F497" s="12"/>
      <c r="K497" s="5"/>
    </row>
    <row r="498" spans="6:11" x14ac:dyDescent="0.25">
      <c r="F498" s="12"/>
      <c r="K498" s="5"/>
    </row>
    <row r="499" spans="6:11" x14ac:dyDescent="0.25">
      <c r="F499" s="12"/>
      <c r="K499" s="5"/>
    </row>
    <row r="500" spans="6:11" x14ac:dyDescent="0.25">
      <c r="F500" s="12"/>
      <c r="K500" s="5"/>
    </row>
    <row r="501" spans="6:11" x14ac:dyDescent="0.25">
      <c r="F501" s="12"/>
      <c r="K501" s="5"/>
    </row>
    <row r="502" spans="6:11" x14ac:dyDescent="0.25">
      <c r="F502" s="12"/>
      <c r="K502" s="5"/>
    </row>
    <row r="503" spans="6:11" x14ac:dyDescent="0.25">
      <c r="F503" s="12"/>
      <c r="K503" s="5"/>
    </row>
    <row r="504" spans="6:11" x14ac:dyDescent="0.25">
      <c r="F504" s="12"/>
      <c r="K504" s="5"/>
    </row>
    <row r="505" spans="6:11" x14ac:dyDescent="0.25">
      <c r="F505" s="12"/>
      <c r="K505" s="5"/>
    </row>
    <row r="506" spans="6:11" x14ac:dyDescent="0.25">
      <c r="F506" s="12"/>
      <c r="K506" s="5"/>
    </row>
    <row r="507" spans="6:11" x14ac:dyDescent="0.25">
      <c r="F507" s="12"/>
      <c r="K507" s="5"/>
    </row>
    <row r="508" spans="6:11" x14ac:dyDescent="0.25">
      <c r="F508" s="12"/>
      <c r="K508" s="5"/>
    </row>
    <row r="509" spans="6:11" x14ac:dyDescent="0.25">
      <c r="F509" s="12"/>
      <c r="K509" s="5"/>
    </row>
    <row r="510" spans="6:11" x14ac:dyDescent="0.25">
      <c r="F510" s="12"/>
      <c r="K510" s="5"/>
    </row>
    <row r="511" spans="6:11" x14ac:dyDescent="0.25">
      <c r="F511" s="12"/>
      <c r="K511" s="5"/>
    </row>
    <row r="512" spans="6:11" x14ac:dyDescent="0.25">
      <c r="F512" s="12"/>
      <c r="K512" s="5"/>
    </row>
    <row r="513" spans="6:11" x14ac:dyDescent="0.25">
      <c r="F513" s="12"/>
      <c r="K513" s="5"/>
    </row>
    <row r="514" spans="6:11" x14ac:dyDescent="0.25">
      <c r="F514" s="12"/>
      <c r="K514" s="5"/>
    </row>
    <row r="515" spans="6:11" x14ac:dyDescent="0.25">
      <c r="F515" s="12"/>
      <c r="K515" s="5"/>
    </row>
    <row r="516" spans="6:11" x14ac:dyDescent="0.25">
      <c r="F516" s="12"/>
      <c r="K516" s="5"/>
    </row>
    <row r="517" spans="6:11" x14ac:dyDescent="0.25">
      <c r="F517" s="12"/>
      <c r="K517" s="5"/>
    </row>
    <row r="518" spans="6:11" x14ac:dyDescent="0.25">
      <c r="F518" s="12"/>
      <c r="K518" s="5"/>
    </row>
    <row r="519" spans="6:11" x14ac:dyDescent="0.25">
      <c r="F519" s="12"/>
      <c r="K519" s="5"/>
    </row>
    <row r="520" spans="6:11" x14ac:dyDescent="0.25">
      <c r="F520" s="12"/>
      <c r="K520" s="5"/>
    </row>
    <row r="521" spans="6:11" x14ac:dyDescent="0.25">
      <c r="F521" s="12"/>
      <c r="K521" s="5"/>
    </row>
    <row r="522" spans="6:11" x14ac:dyDescent="0.25">
      <c r="F522" s="12"/>
      <c r="K522" s="5"/>
    </row>
    <row r="523" spans="6:11" x14ac:dyDescent="0.25">
      <c r="F523" s="12"/>
      <c r="K523" s="5"/>
    </row>
    <row r="524" spans="6:11" x14ac:dyDescent="0.25">
      <c r="F524" s="12"/>
      <c r="K524" s="5"/>
    </row>
    <row r="525" spans="6:11" x14ac:dyDescent="0.25">
      <c r="F525" s="12"/>
      <c r="K525" s="5"/>
    </row>
    <row r="526" spans="6:11" x14ac:dyDescent="0.25">
      <c r="F526" s="12"/>
      <c r="K526" s="5"/>
    </row>
    <row r="527" spans="6:11" x14ac:dyDescent="0.25">
      <c r="F527" s="12"/>
      <c r="K527" s="5"/>
    </row>
    <row r="528" spans="6:11" x14ac:dyDescent="0.25">
      <c r="F528" s="12"/>
      <c r="K528" s="5"/>
    </row>
    <row r="529" spans="6:11" x14ac:dyDescent="0.25">
      <c r="F529" s="12"/>
      <c r="K529" s="5"/>
    </row>
    <row r="530" spans="6:11" x14ac:dyDescent="0.25">
      <c r="F530" s="12"/>
      <c r="K530" s="5"/>
    </row>
    <row r="531" spans="6:11" x14ac:dyDescent="0.25">
      <c r="F531" s="12"/>
      <c r="K531" s="5"/>
    </row>
    <row r="532" spans="6:11" x14ac:dyDescent="0.25">
      <c r="F532" s="12"/>
      <c r="K532" s="5"/>
    </row>
    <row r="533" spans="6:11" x14ac:dyDescent="0.25">
      <c r="F533" s="12"/>
      <c r="K533" s="5"/>
    </row>
    <row r="534" spans="6:11" x14ac:dyDescent="0.25">
      <c r="F534" s="12"/>
      <c r="K534" s="5"/>
    </row>
    <row r="535" spans="6:11" x14ac:dyDescent="0.25">
      <c r="F535" s="12"/>
      <c r="K535" s="5"/>
    </row>
    <row r="536" spans="6:11" x14ac:dyDescent="0.25">
      <c r="F536" s="12"/>
      <c r="K536" s="5"/>
    </row>
    <row r="537" spans="6:11" x14ac:dyDescent="0.25">
      <c r="F537" s="12"/>
      <c r="K537" s="5"/>
    </row>
    <row r="538" spans="6:11" x14ac:dyDescent="0.25">
      <c r="F538" s="12"/>
      <c r="K538" s="5"/>
    </row>
    <row r="539" spans="6:11" x14ac:dyDescent="0.25">
      <c r="F539" s="12"/>
      <c r="K539" s="5"/>
    </row>
    <row r="540" spans="6:11" x14ac:dyDescent="0.25">
      <c r="F540" s="12"/>
      <c r="K540" s="5"/>
    </row>
    <row r="541" spans="6:11" x14ac:dyDescent="0.25">
      <c r="F541" s="12"/>
      <c r="K541" s="5"/>
    </row>
    <row r="542" spans="6:11" x14ac:dyDescent="0.25">
      <c r="F542" s="12"/>
      <c r="K542" s="5"/>
    </row>
    <row r="543" spans="6:11" x14ac:dyDescent="0.25">
      <c r="F543" s="12"/>
      <c r="K543" s="5"/>
    </row>
    <row r="544" spans="6:11" x14ac:dyDescent="0.25">
      <c r="F544" s="12"/>
      <c r="K544" s="5"/>
    </row>
    <row r="545" spans="6:11" x14ac:dyDescent="0.25">
      <c r="F545" s="12"/>
      <c r="K545" s="5"/>
    </row>
    <row r="546" spans="6:11" x14ac:dyDescent="0.25">
      <c r="F546" s="12"/>
      <c r="K546" s="5"/>
    </row>
    <row r="547" spans="6:11" x14ac:dyDescent="0.25">
      <c r="F547" s="12"/>
      <c r="K547" s="5"/>
    </row>
    <row r="548" spans="6:11" x14ac:dyDescent="0.25">
      <c r="F548" s="12"/>
      <c r="K548" s="5"/>
    </row>
    <row r="549" spans="6:11" x14ac:dyDescent="0.25">
      <c r="F549" s="12"/>
      <c r="K549" s="5"/>
    </row>
    <row r="550" spans="6:11" x14ac:dyDescent="0.25">
      <c r="F550" s="12"/>
      <c r="K550" s="5"/>
    </row>
    <row r="551" spans="6:11" x14ac:dyDescent="0.25">
      <c r="F551" s="12"/>
      <c r="K551" s="5"/>
    </row>
    <row r="552" spans="6:11" x14ac:dyDescent="0.25">
      <c r="F552" s="12"/>
      <c r="K552" s="5"/>
    </row>
    <row r="553" spans="6:11" x14ac:dyDescent="0.25">
      <c r="F553" s="12"/>
      <c r="K553" s="5"/>
    </row>
    <row r="554" spans="6:11" x14ac:dyDescent="0.25">
      <c r="F554" s="12"/>
      <c r="K554" s="5"/>
    </row>
    <row r="555" spans="6:11" x14ac:dyDescent="0.25">
      <c r="F555" s="12"/>
      <c r="K555" s="5"/>
    </row>
    <row r="556" spans="6:11" x14ac:dyDescent="0.25">
      <c r="F556" s="12"/>
      <c r="K556" s="5"/>
    </row>
    <row r="557" spans="6:11" x14ac:dyDescent="0.25">
      <c r="F557" s="12"/>
      <c r="K557" s="5"/>
    </row>
    <row r="558" spans="6:11" x14ac:dyDescent="0.25">
      <c r="F558" s="12"/>
      <c r="K558" s="5"/>
    </row>
    <row r="559" spans="6:11" x14ac:dyDescent="0.25">
      <c r="F559" s="12"/>
      <c r="K559" s="5"/>
    </row>
    <row r="560" spans="6:11" x14ac:dyDescent="0.25">
      <c r="F560" s="12"/>
      <c r="K560" s="5"/>
    </row>
    <row r="561" spans="6:11" x14ac:dyDescent="0.25">
      <c r="F561" s="12"/>
      <c r="K561" s="5"/>
    </row>
    <row r="562" spans="6:11" x14ac:dyDescent="0.25">
      <c r="F562" s="12"/>
      <c r="K562" s="5"/>
    </row>
    <row r="563" spans="6:11" x14ac:dyDescent="0.25">
      <c r="F563" s="12"/>
      <c r="K563" s="5"/>
    </row>
    <row r="564" spans="6:11" x14ac:dyDescent="0.25">
      <c r="F564" s="12"/>
      <c r="K564" s="5"/>
    </row>
    <row r="565" spans="6:11" x14ac:dyDescent="0.25">
      <c r="F565" s="12"/>
      <c r="K565" s="5"/>
    </row>
    <row r="566" spans="6:11" x14ac:dyDescent="0.25">
      <c r="F566" s="12"/>
      <c r="K566" s="5"/>
    </row>
    <row r="567" spans="6:11" x14ac:dyDescent="0.25">
      <c r="F567" s="12"/>
      <c r="K567" s="5"/>
    </row>
    <row r="568" spans="6:11" x14ac:dyDescent="0.25">
      <c r="F568" s="12"/>
      <c r="K568" s="5"/>
    </row>
    <row r="569" spans="6:11" x14ac:dyDescent="0.25">
      <c r="F569" s="12"/>
      <c r="K569" s="5"/>
    </row>
    <row r="570" spans="6:11" x14ac:dyDescent="0.25">
      <c r="F570" s="12"/>
      <c r="K570" s="5"/>
    </row>
    <row r="571" spans="6:11" x14ac:dyDescent="0.25">
      <c r="F571" s="12"/>
      <c r="K571" s="5"/>
    </row>
    <row r="572" spans="6:11" x14ac:dyDescent="0.25">
      <c r="F572" s="12"/>
      <c r="K572" s="5"/>
    </row>
    <row r="573" spans="6:11" x14ac:dyDescent="0.25">
      <c r="F573" s="12"/>
      <c r="K573" s="5"/>
    </row>
    <row r="574" spans="6:11" x14ac:dyDescent="0.25">
      <c r="F574" s="12"/>
      <c r="K574" s="5"/>
    </row>
    <row r="575" spans="6:11" x14ac:dyDescent="0.25">
      <c r="F575" s="12"/>
      <c r="K575" s="5"/>
    </row>
    <row r="576" spans="6:11" x14ac:dyDescent="0.25">
      <c r="F576" s="12"/>
      <c r="K576" s="5"/>
    </row>
    <row r="577" spans="6:11" x14ac:dyDescent="0.25">
      <c r="F577" s="12"/>
      <c r="K577" s="5"/>
    </row>
    <row r="578" spans="6:11" x14ac:dyDescent="0.25">
      <c r="F578" s="12"/>
      <c r="K578" s="5"/>
    </row>
    <row r="579" spans="6:11" x14ac:dyDescent="0.25">
      <c r="F579" s="12"/>
      <c r="K579" s="5"/>
    </row>
    <row r="580" spans="6:11" x14ac:dyDescent="0.25">
      <c r="F580" s="12"/>
      <c r="K580" s="5"/>
    </row>
    <row r="581" spans="6:11" x14ac:dyDescent="0.25">
      <c r="F581" s="12"/>
      <c r="K581" s="5"/>
    </row>
    <row r="582" spans="6:11" x14ac:dyDescent="0.25">
      <c r="F582" s="12"/>
      <c r="K582" s="5"/>
    </row>
    <row r="583" spans="6:11" x14ac:dyDescent="0.25">
      <c r="F583" s="12"/>
      <c r="K583" s="5"/>
    </row>
    <row r="584" spans="6:11" x14ac:dyDescent="0.25">
      <c r="F584" s="12"/>
      <c r="K584" s="5"/>
    </row>
    <row r="585" spans="6:11" x14ac:dyDescent="0.25">
      <c r="F585" s="12"/>
      <c r="K585" s="5"/>
    </row>
    <row r="586" spans="6:11" x14ac:dyDescent="0.25">
      <c r="F586" s="12"/>
      <c r="K586" s="5"/>
    </row>
    <row r="587" spans="6:11" x14ac:dyDescent="0.25">
      <c r="F587" s="12"/>
      <c r="K587" s="5"/>
    </row>
    <row r="588" spans="6:11" x14ac:dyDescent="0.25">
      <c r="F588" s="12"/>
      <c r="K588" s="5"/>
    </row>
    <row r="589" spans="6:11" x14ac:dyDescent="0.25">
      <c r="F589" s="12"/>
      <c r="K589" s="5"/>
    </row>
    <row r="590" spans="6:11" x14ac:dyDescent="0.25">
      <c r="F590" s="12"/>
      <c r="K590" s="5"/>
    </row>
    <row r="591" spans="6:11" x14ac:dyDescent="0.25">
      <c r="F591" s="12"/>
      <c r="K591" s="5"/>
    </row>
    <row r="592" spans="6:11" x14ac:dyDescent="0.25">
      <c r="F592" s="12"/>
      <c r="K592" s="5"/>
    </row>
    <row r="593" spans="6:11" x14ac:dyDescent="0.25">
      <c r="F593" s="12"/>
      <c r="K593" s="5"/>
    </row>
    <row r="594" spans="6:11" x14ac:dyDescent="0.25">
      <c r="F594" s="12"/>
      <c r="K594" s="5"/>
    </row>
    <row r="595" spans="6:11" x14ac:dyDescent="0.25">
      <c r="F595" s="12"/>
      <c r="K595" s="5"/>
    </row>
    <row r="596" spans="6:11" x14ac:dyDescent="0.25">
      <c r="F596" s="12"/>
      <c r="K596" s="5"/>
    </row>
    <row r="597" spans="6:11" x14ac:dyDescent="0.25">
      <c r="F597" s="12"/>
      <c r="K597" s="5"/>
    </row>
    <row r="598" spans="6:11" x14ac:dyDescent="0.25">
      <c r="F598" s="12"/>
      <c r="K598" s="5"/>
    </row>
    <row r="599" spans="6:11" x14ac:dyDescent="0.25">
      <c r="F599" s="12"/>
      <c r="K599" s="5"/>
    </row>
    <row r="600" spans="6:11" x14ac:dyDescent="0.25">
      <c r="F600" s="12"/>
      <c r="K600" s="5"/>
    </row>
    <row r="601" spans="6:11" x14ac:dyDescent="0.25">
      <c r="F601" s="12"/>
      <c r="K601" s="5"/>
    </row>
    <row r="602" spans="6:11" x14ac:dyDescent="0.25">
      <c r="F602" s="12"/>
      <c r="K602" s="5"/>
    </row>
    <row r="603" spans="6:11" x14ac:dyDescent="0.25">
      <c r="F603" s="12"/>
      <c r="K603" s="5"/>
    </row>
    <row r="604" spans="6:11" x14ac:dyDescent="0.25">
      <c r="F604" s="12"/>
      <c r="K604" s="5"/>
    </row>
    <row r="605" spans="6:11" x14ac:dyDescent="0.25">
      <c r="F605" s="12"/>
      <c r="K605" s="5"/>
    </row>
    <row r="606" spans="6:11" x14ac:dyDescent="0.25">
      <c r="F606" s="12"/>
      <c r="K606" s="5"/>
    </row>
    <row r="607" spans="6:11" x14ac:dyDescent="0.25">
      <c r="F607" s="12"/>
      <c r="K607" s="5"/>
    </row>
    <row r="608" spans="6:11" x14ac:dyDescent="0.25">
      <c r="F608" s="12"/>
      <c r="K608" s="5"/>
    </row>
    <row r="609" spans="6:11" x14ac:dyDescent="0.25">
      <c r="F609" s="12"/>
      <c r="K609" s="5"/>
    </row>
    <row r="610" spans="6:11" x14ac:dyDescent="0.25">
      <c r="F610" s="12"/>
      <c r="K610" s="5"/>
    </row>
    <row r="611" spans="6:11" x14ac:dyDescent="0.25">
      <c r="F611" s="12"/>
      <c r="K611" s="5"/>
    </row>
    <row r="612" spans="6:11" x14ac:dyDescent="0.25">
      <c r="F612" s="12"/>
      <c r="K612" s="5"/>
    </row>
    <row r="613" spans="6:11" x14ac:dyDescent="0.25">
      <c r="F613" s="12"/>
      <c r="K613" s="5"/>
    </row>
    <row r="614" spans="6:11" x14ac:dyDescent="0.25">
      <c r="F614" s="12"/>
      <c r="K614" s="5"/>
    </row>
    <row r="615" spans="6:11" x14ac:dyDescent="0.25">
      <c r="F615" s="12"/>
      <c r="K615" s="5"/>
    </row>
    <row r="616" spans="6:11" x14ac:dyDescent="0.25">
      <c r="F616" s="12"/>
      <c r="K616" s="5"/>
    </row>
    <row r="617" spans="6:11" x14ac:dyDescent="0.25">
      <c r="F617" s="12"/>
      <c r="K617" s="5"/>
    </row>
    <row r="618" spans="6:11" x14ac:dyDescent="0.25">
      <c r="F618" s="12"/>
      <c r="K618" s="5"/>
    </row>
    <row r="619" spans="6:11" x14ac:dyDescent="0.25">
      <c r="F619" s="12"/>
      <c r="K619" s="5"/>
    </row>
    <row r="620" spans="6:11" x14ac:dyDescent="0.25">
      <c r="F620" s="12"/>
      <c r="K620" s="5"/>
    </row>
    <row r="621" spans="6:11" x14ac:dyDescent="0.25">
      <c r="F621" s="12"/>
      <c r="K621" s="5"/>
    </row>
    <row r="622" spans="6:11" x14ac:dyDescent="0.25">
      <c r="F622" s="12"/>
      <c r="K622" s="5"/>
    </row>
    <row r="623" spans="6:11" x14ac:dyDescent="0.25">
      <c r="F623" s="12"/>
      <c r="K623" s="5"/>
    </row>
    <row r="624" spans="6:11" x14ac:dyDescent="0.25">
      <c r="F624" s="12"/>
      <c r="K624" s="5"/>
    </row>
    <row r="625" spans="6:11" x14ac:dyDescent="0.25">
      <c r="F625" s="12"/>
      <c r="K625" s="5"/>
    </row>
    <row r="626" spans="6:11" x14ac:dyDescent="0.25">
      <c r="F626" s="12"/>
      <c r="K626" s="5"/>
    </row>
    <row r="627" spans="6:11" x14ac:dyDescent="0.25">
      <c r="F627" s="12"/>
      <c r="K627" s="5"/>
    </row>
    <row r="628" spans="6:11" x14ac:dyDescent="0.25">
      <c r="F628" s="12"/>
      <c r="K628" s="5"/>
    </row>
    <row r="629" spans="6:11" x14ac:dyDescent="0.25">
      <c r="F629" s="12"/>
      <c r="K629" s="5"/>
    </row>
    <row r="630" spans="6:11" x14ac:dyDescent="0.25">
      <c r="F630" s="12"/>
      <c r="K630" s="5"/>
    </row>
    <row r="631" spans="6:11" x14ac:dyDescent="0.25">
      <c r="F631" s="12"/>
      <c r="K631" s="5"/>
    </row>
    <row r="632" spans="6:11" x14ac:dyDescent="0.25">
      <c r="F632" s="12"/>
      <c r="K632" s="5"/>
    </row>
    <row r="633" spans="6:11" x14ac:dyDescent="0.25">
      <c r="F633" s="12"/>
      <c r="K633" s="5"/>
    </row>
    <row r="634" spans="6:11" x14ac:dyDescent="0.25">
      <c r="F634" s="12"/>
      <c r="K634" s="5"/>
    </row>
    <row r="635" spans="6:11" x14ac:dyDescent="0.25">
      <c r="F635" s="12"/>
      <c r="K635" s="5"/>
    </row>
    <row r="636" spans="6:11" x14ac:dyDescent="0.25">
      <c r="F636" s="12"/>
      <c r="K636" s="5"/>
    </row>
    <row r="637" spans="6:11" x14ac:dyDescent="0.25">
      <c r="F637" s="12"/>
      <c r="K637" s="5"/>
    </row>
    <row r="638" spans="6:11" x14ac:dyDescent="0.25">
      <c r="F638" s="12"/>
      <c r="K638" s="5"/>
    </row>
    <row r="639" spans="6:11" x14ac:dyDescent="0.25">
      <c r="F639" s="12"/>
      <c r="K639" s="5"/>
    </row>
    <row r="640" spans="6:11" x14ac:dyDescent="0.25">
      <c r="F640" s="12"/>
      <c r="K640" s="5"/>
    </row>
    <row r="641" spans="6:11" x14ac:dyDescent="0.25">
      <c r="F641" s="12"/>
      <c r="K641" s="5"/>
    </row>
    <row r="642" spans="6:11" x14ac:dyDescent="0.25">
      <c r="F642" s="12"/>
      <c r="K642" s="5"/>
    </row>
    <row r="643" spans="6:11" x14ac:dyDescent="0.25">
      <c r="F643" s="12"/>
      <c r="K643" s="5"/>
    </row>
    <row r="644" spans="6:11" x14ac:dyDescent="0.25">
      <c r="F644" s="12"/>
      <c r="K644" s="5"/>
    </row>
    <row r="645" spans="6:11" x14ac:dyDescent="0.25">
      <c r="F645" s="12"/>
      <c r="K645" s="5"/>
    </row>
    <row r="646" spans="6:11" x14ac:dyDescent="0.25">
      <c r="F646" s="12"/>
      <c r="K646" s="5"/>
    </row>
    <row r="647" spans="6:11" x14ac:dyDescent="0.25">
      <c r="F647" s="12"/>
      <c r="K647" s="5"/>
    </row>
    <row r="648" spans="6:11" x14ac:dyDescent="0.25">
      <c r="F648" s="12"/>
      <c r="K648" s="5"/>
    </row>
    <row r="649" spans="6:11" x14ac:dyDescent="0.25">
      <c r="F649" s="12"/>
      <c r="K649" s="5"/>
    </row>
    <row r="650" spans="6:11" x14ac:dyDescent="0.25">
      <c r="F650" s="12"/>
      <c r="K650" s="5"/>
    </row>
    <row r="651" spans="6:11" x14ac:dyDescent="0.25">
      <c r="F651" s="12"/>
      <c r="K651" s="5"/>
    </row>
    <row r="652" spans="6:11" x14ac:dyDescent="0.25">
      <c r="F652" s="12"/>
      <c r="K652" s="5"/>
    </row>
    <row r="653" spans="6:11" x14ac:dyDescent="0.25">
      <c r="F653" s="12"/>
      <c r="K653" s="5"/>
    </row>
    <row r="654" spans="6:11" x14ac:dyDescent="0.25">
      <c r="F654" s="12"/>
      <c r="K654" s="5"/>
    </row>
    <row r="655" spans="6:11" x14ac:dyDescent="0.25">
      <c r="F655" s="12"/>
      <c r="K655" s="5"/>
    </row>
    <row r="656" spans="6:11" x14ac:dyDescent="0.25">
      <c r="F656" s="12"/>
      <c r="K656" s="5"/>
    </row>
    <row r="657" spans="6:11" x14ac:dyDescent="0.25">
      <c r="F657" s="12"/>
      <c r="K657" s="5"/>
    </row>
    <row r="658" spans="6:11" x14ac:dyDescent="0.25">
      <c r="F658" s="12"/>
      <c r="K658" s="5"/>
    </row>
    <row r="659" spans="6:11" x14ac:dyDescent="0.25">
      <c r="F659" s="12"/>
      <c r="K659" s="5"/>
    </row>
    <row r="660" spans="6:11" x14ac:dyDescent="0.25">
      <c r="F660" s="12"/>
      <c r="K660" s="5"/>
    </row>
    <row r="661" spans="6:11" x14ac:dyDescent="0.25">
      <c r="F661" s="12"/>
      <c r="K661" s="5"/>
    </row>
    <row r="662" spans="6:11" x14ac:dyDescent="0.25">
      <c r="F662" s="12"/>
      <c r="K662" s="5"/>
    </row>
    <row r="663" spans="6:11" x14ac:dyDescent="0.25">
      <c r="F663" s="12"/>
      <c r="K663" s="5"/>
    </row>
    <row r="664" spans="6:11" x14ac:dyDescent="0.25">
      <c r="F664" s="12"/>
      <c r="K664" s="5"/>
    </row>
    <row r="665" spans="6:11" x14ac:dyDescent="0.25">
      <c r="F665" s="12"/>
      <c r="K665" s="5"/>
    </row>
    <row r="666" spans="6:11" x14ac:dyDescent="0.25">
      <c r="F666" s="12"/>
      <c r="K666" s="5"/>
    </row>
    <row r="667" spans="6:11" x14ac:dyDescent="0.25">
      <c r="F667" s="12"/>
      <c r="K667" s="5"/>
    </row>
    <row r="668" spans="6:11" x14ac:dyDescent="0.25">
      <c r="F668" s="12"/>
      <c r="K668" s="5"/>
    </row>
    <row r="669" spans="6:11" x14ac:dyDescent="0.25">
      <c r="F669" s="12"/>
      <c r="K669" s="5"/>
    </row>
    <row r="670" spans="6:11" x14ac:dyDescent="0.25">
      <c r="F670" s="12"/>
      <c r="K670" s="5"/>
    </row>
    <row r="671" spans="6:11" x14ac:dyDescent="0.25">
      <c r="F671" s="12"/>
      <c r="K671" s="5"/>
    </row>
    <row r="672" spans="6:11" x14ac:dyDescent="0.25">
      <c r="F672" s="12"/>
      <c r="K672" s="5"/>
    </row>
    <row r="673" spans="6:11" x14ac:dyDescent="0.25">
      <c r="F673" s="12"/>
      <c r="K673" s="5"/>
    </row>
    <row r="674" spans="6:11" x14ac:dyDescent="0.25">
      <c r="F674" s="12"/>
      <c r="K674" s="5"/>
    </row>
    <row r="675" spans="6:11" x14ac:dyDescent="0.25">
      <c r="F675" s="12"/>
      <c r="K675" s="5"/>
    </row>
    <row r="676" spans="6:11" x14ac:dyDescent="0.25">
      <c r="F676" s="12"/>
      <c r="K676" s="5"/>
    </row>
    <row r="677" spans="6:11" x14ac:dyDescent="0.25">
      <c r="F677" s="12"/>
      <c r="K677" s="5"/>
    </row>
    <row r="678" spans="6:11" x14ac:dyDescent="0.25">
      <c r="F678" s="12"/>
      <c r="K678" s="5"/>
    </row>
    <row r="679" spans="6:11" x14ac:dyDescent="0.25">
      <c r="F679" s="12"/>
      <c r="K679" s="5"/>
    </row>
    <row r="680" spans="6:11" x14ac:dyDescent="0.25">
      <c r="F680" s="12"/>
      <c r="K680" s="5"/>
    </row>
    <row r="681" spans="6:11" x14ac:dyDescent="0.25">
      <c r="F681" s="12"/>
      <c r="K681" s="5"/>
    </row>
    <row r="682" spans="6:11" x14ac:dyDescent="0.25">
      <c r="F682" s="12"/>
      <c r="K682" s="5"/>
    </row>
    <row r="683" spans="6:11" x14ac:dyDescent="0.25">
      <c r="F683" s="12"/>
      <c r="K683" s="5"/>
    </row>
    <row r="684" spans="6:11" x14ac:dyDescent="0.25">
      <c r="F684" s="12"/>
      <c r="K684" s="5"/>
    </row>
    <row r="685" spans="6:11" x14ac:dyDescent="0.25">
      <c r="F685" s="12"/>
      <c r="K685" s="5"/>
    </row>
    <row r="686" spans="6:11" x14ac:dyDescent="0.25">
      <c r="F686" s="12"/>
      <c r="K686" s="5"/>
    </row>
    <row r="687" spans="6:11" x14ac:dyDescent="0.25">
      <c r="F687" s="12"/>
      <c r="K687" s="5"/>
    </row>
    <row r="688" spans="6:11" x14ac:dyDescent="0.25">
      <c r="F688" s="12"/>
      <c r="K688" s="5"/>
    </row>
    <row r="689" spans="6:11" x14ac:dyDescent="0.25">
      <c r="F689" s="12"/>
      <c r="K689" s="5"/>
    </row>
    <row r="690" spans="6:11" x14ac:dyDescent="0.25">
      <c r="F690" s="12"/>
      <c r="K690" s="5"/>
    </row>
    <row r="691" spans="6:11" x14ac:dyDescent="0.25">
      <c r="F691" s="12"/>
      <c r="K691" s="5"/>
    </row>
    <row r="692" spans="6:11" x14ac:dyDescent="0.25">
      <c r="F692" s="12"/>
      <c r="K692" s="5"/>
    </row>
    <row r="693" spans="6:11" x14ac:dyDescent="0.25">
      <c r="F693" s="12"/>
      <c r="K693" s="5"/>
    </row>
    <row r="694" spans="6:11" x14ac:dyDescent="0.25">
      <c r="F694" s="12"/>
      <c r="K694" s="5"/>
    </row>
    <row r="695" spans="6:11" x14ac:dyDescent="0.25">
      <c r="F695" s="12"/>
      <c r="K695" s="5"/>
    </row>
    <row r="696" spans="6:11" x14ac:dyDescent="0.25">
      <c r="F696" s="12"/>
      <c r="K696" s="5"/>
    </row>
    <row r="697" spans="6:11" x14ac:dyDescent="0.25">
      <c r="F697" s="12"/>
      <c r="K697" s="5"/>
    </row>
    <row r="698" spans="6:11" x14ac:dyDescent="0.25">
      <c r="F698" s="12"/>
      <c r="K698" s="5"/>
    </row>
    <row r="699" spans="6:11" x14ac:dyDescent="0.25">
      <c r="F699" s="12"/>
      <c r="K699" s="5"/>
    </row>
    <row r="700" spans="6:11" x14ac:dyDescent="0.25">
      <c r="F700" s="12"/>
      <c r="K700" s="5"/>
    </row>
    <row r="701" spans="6:11" x14ac:dyDescent="0.25">
      <c r="F701" s="12"/>
      <c r="K701" s="5"/>
    </row>
    <row r="702" spans="6:11" x14ac:dyDescent="0.25">
      <c r="F702" s="12"/>
      <c r="K702" s="5"/>
    </row>
    <row r="703" spans="6:11" x14ac:dyDescent="0.25">
      <c r="F703" s="12"/>
      <c r="K703" s="5"/>
    </row>
    <row r="704" spans="6:11" x14ac:dyDescent="0.25">
      <c r="F704" s="12"/>
      <c r="K704" s="5"/>
    </row>
    <row r="705" spans="6:11" x14ac:dyDescent="0.25">
      <c r="F705" s="12"/>
      <c r="K705" s="5"/>
    </row>
    <row r="706" spans="6:11" x14ac:dyDescent="0.25">
      <c r="F706" s="12"/>
      <c r="K706" s="5"/>
    </row>
    <row r="707" spans="6:11" x14ac:dyDescent="0.25">
      <c r="F707" s="12"/>
      <c r="K707" s="5"/>
    </row>
    <row r="708" spans="6:11" x14ac:dyDescent="0.25">
      <c r="F708" s="12"/>
      <c r="K708" s="5"/>
    </row>
    <row r="709" spans="6:11" x14ac:dyDescent="0.25">
      <c r="F709" s="12"/>
      <c r="K709" s="5"/>
    </row>
    <row r="710" spans="6:11" x14ac:dyDescent="0.25">
      <c r="F710" s="12"/>
      <c r="K710" s="5"/>
    </row>
    <row r="711" spans="6:11" x14ac:dyDescent="0.25">
      <c r="F711" s="12"/>
      <c r="K711" s="5"/>
    </row>
    <row r="712" spans="6:11" x14ac:dyDescent="0.25">
      <c r="F712" s="12"/>
      <c r="K712" s="5"/>
    </row>
    <row r="713" spans="6:11" x14ac:dyDescent="0.25">
      <c r="F713" s="12"/>
      <c r="K713" s="5"/>
    </row>
    <row r="714" spans="6:11" x14ac:dyDescent="0.25">
      <c r="F714" s="12"/>
      <c r="K714" s="5"/>
    </row>
    <row r="715" spans="6:11" x14ac:dyDescent="0.25">
      <c r="F715" s="12"/>
      <c r="K715" s="5"/>
    </row>
    <row r="716" spans="6:11" x14ac:dyDescent="0.25">
      <c r="F716" s="12"/>
      <c r="K716" s="5"/>
    </row>
    <row r="717" spans="6:11" x14ac:dyDescent="0.25">
      <c r="F717" s="12"/>
      <c r="K717" s="5"/>
    </row>
    <row r="718" spans="6:11" x14ac:dyDescent="0.25">
      <c r="F718" s="12"/>
      <c r="K718" s="5"/>
    </row>
    <row r="719" spans="6:11" x14ac:dyDescent="0.25">
      <c r="F719" s="12"/>
      <c r="K719" s="5"/>
    </row>
    <row r="720" spans="6:11" x14ac:dyDescent="0.25">
      <c r="F720" s="12"/>
      <c r="K720" s="5"/>
    </row>
    <row r="721" spans="6:11" x14ac:dyDescent="0.25">
      <c r="F721" s="12"/>
      <c r="K721" s="5"/>
    </row>
    <row r="722" spans="6:11" x14ac:dyDescent="0.25">
      <c r="F722" s="12"/>
      <c r="K722" s="5"/>
    </row>
    <row r="723" spans="6:11" x14ac:dyDescent="0.25">
      <c r="F723" s="12"/>
      <c r="K723" s="5"/>
    </row>
    <row r="724" spans="6:11" x14ac:dyDescent="0.25">
      <c r="F724" s="12"/>
      <c r="K724" s="5"/>
    </row>
    <row r="725" spans="6:11" x14ac:dyDescent="0.25">
      <c r="F725" s="12"/>
      <c r="K725" s="5"/>
    </row>
    <row r="726" spans="6:11" x14ac:dyDescent="0.25">
      <c r="F726" s="12"/>
      <c r="K726" s="5"/>
    </row>
    <row r="727" spans="6:11" x14ac:dyDescent="0.25">
      <c r="F727" s="12"/>
      <c r="K727" s="5"/>
    </row>
    <row r="728" spans="6:11" x14ac:dyDescent="0.25">
      <c r="F728" s="12"/>
      <c r="K728" s="5"/>
    </row>
    <row r="729" spans="6:11" x14ac:dyDescent="0.25">
      <c r="F729" s="12"/>
      <c r="K729" s="5"/>
    </row>
    <row r="730" spans="6:11" x14ac:dyDescent="0.25">
      <c r="F730" s="12"/>
      <c r="K730" s="5"/>
    </row>
    <row r="731" spans="6:11" x14ac:dyDescent="0.25">
      <c r="F731" s="12"/>
      <c r="K731" s="5"/>
    </row>
    <row r="732" spans="6:11" x14ac:dyDescent="0.25">
      <c r="F732" s="12"/>
      <c r="K732" s="5"/>
    </row>
    <row r="733" spans="6:11" x14ac:dyDescent="0.25">
      <c r="F733" s="12"/>
      <c r="K733" s="5"/>
    </row>
    <row r="734" spans="6:11" x14ac:dyDescent="0.25">
      <c r="F734" s="12"/>
      <c r="K734" s="5"/>
    </row>
    <row r="735" spans="6:11" x14ac:dyDescent="0.25">
      <c r="F735" s="12"/>
      <c r="K735" s="5"/>
    </row>
    <row r="736" spans="6:11" x14ac:dyDescent="0.25">
      <c r="F736" s="12"/>
      <c r="K736" s="5"/>
    </row>
    <row r="737" spans="6:11" x14ac:dyDescent="0.25">
      <c r="F737" s="12"/>
      <c r="K737" s="5"/>
    </row>
    <row r="738" spans="6:11" x14ac:dyDescent="0.25">
      <c r="F738" s="12"/>
      <c r="K738" s="5"/>
    </row>
    <row r="739" spans="6:11" x14ac:dyDescent="0.25">
      <c r="F739" s="12"/>
      <c r="K739" s="5"/>
    </row>
    <row r="740" spans="6:11" x14ac:dyDescent="0.25">
      <c r="F740" s="12"/>
      <c r="K740" s="5"/>
    </row>
    <row r="741" spans="6:11" x14ac:dyDescent="0.25">
      <c r="F741" s="12"/>
      <c r="K741" s="5"/>
    </row>
    <row r="742" spans="6:11" x14ac:dyDescent="0.25">
      <c r="F742" s="12"/>
      <c r="K742" s="5"/>
    </row>
    <row r="743" spans="6:11" x14ac:dyDescent="0.25">
      <c r="F743" s="12"/>
      <c r="K743" s="5"/>
    </row>
    <row r="744" spans="6:11" x14ac:dyDescent="0.25">
      <c r="F744" s="12"/>
      <c r="K744" s="5"/>
    </row>
    <row r="745" spans="6:11" x14ac:dyDescent="0.25">
      <c r="F745" s="12"/>
      <c r="K745" s="5"/>
    </row>
    <row r="746" spans="6:11" x14ac:dyDescent="0.25">
      <c r="F746" s="12"/>
      <c r="K746" s="5"/>
    </row>
    <row r="747" spans="6:11" x14ac:dyDescent="0.25">
      <c r="F747" s="12"/>
      <c r="K747" s="5"/>
    </row>
    <row r="748" spans="6:11" x14ac:dyDescent="0.25">
      <c r="F748" s="12"/>
      <c r="K748" s="5"/>
    </row>
    <row r="749" spans="6:11" x14ac:dyDescent="0.25">
      <c r="F749" s="12"/>
      <c r="K749" s="5"/>
    </row>
    <row r="750" spans="6:11" x14ac:dyDescent="0.25">
      <c r="F750" s="12"/>
      <c r="K750" s="5"/>
    </row>
    <row r="751" spans="6:11" x14ac:dyDescent="0.25">
      <c r="F751" s="12"/>
      <c r="K751" s="5"/>
    </row>
    <row r="752" spans="6:11" x14ac:dyDescent="0.25">
      <c r="F752" s="12"/>
      <c r="K752" s="5"/>
    </row>
    <row r="753" spans="6:11" x14ac:dyDescent="0.25">
      <c r="F753" s="12"/>
      <c r="K753" s="5"/>
    </row>
    <row r="754" spans="6:11" x14ac:dyDescent="0.25">
      <c r="F754" s="12"/>
      <c r="K754" s="5"/>
    </row>
    <row r="755" spans="6:11" x14ac:dyDescent="0.25">
      <c r="F755" s="12"/>
      <c r="K755" s="5"/>
    </row>
    <row r="756" spans="6:11" x14ac:dyDescent="0.25">
      <c r="F756" s="12"/>
      <c r="K756" s="5"/>
    </row>
    <row r="757" spans="6:11" x14ac:dyDescent="0.25">
      <c r="F757" s="12"/>
      <c r="K757" s="5"/>
    </row>
    <row r="758" spans="6:11" x14ac:dyDescent="0.25">
      <c r="F758" s="12"/>
      <c r="K758" s="5"/>
    </row>
    <row r="759" spans="6:11" x14ac:dyDescent="0.25">
      <c r="F759" s="12"/>
      <c r="K759" s="5"/>
    </row>
    <row r="760" spans="6:11" x14ac:dyDescent="0.25">
      <c r="F760" s="12"/>
      <c r="K760" s="5"/>
    </row>
    <row r="761" spans="6:11" x14ac:dyDescent="0.25">
      <c r="F761" s="12"/>
      <c r="K761" s="5"/>
    </row>
    <row r="762" spans="6:11" x14ac:dyDescent="0.25">
      <c r="F762" s="12"/>
      <c r="K762" s="5"/>
    </row>
    <row r="763" spans="6:11" x14ac:dyDescent="0.25">
      <c r="F763" s="12"/>
      <c r="K763" s="5"/>
    </row>
    <row r="764" spans="6:11" x14ac:dyDescent="0.25">
      <c r="F764" s="12"/>
      <c r="K764" s="5"/>
    </row>
    <row r="765" spans="6:11" x14ac:dyDescent="0.25">
      <c r="F765" s="12"/>
      <c r="K765" s="5"/>
    </row>
    <row r="766" spans="6:11" x14ac:dyDescent="0.25">
      <c r="F766" s="12"/>
      <c r="K766" s="5"/>
    </row>
    <row r="767" spans="6:11" x14ac:dyDescent="0.25">
      <c r="F767" s="12"/>
      <c r="K767" s="5"/>
    </row>
    <row r="768" spans="6:11" x14ac:dyDescent="0.25">
      <c r="F768" s="12"/>
      <c r="K768" s="5"/>
    </row>
    <row r="769" spans="6:11" x14ac:dyDescent="0.25">
      <c r="F769" s="12"/>
      <c r="K769" s="5"/>
    </row>
    <row r="770" spans="6:11" x14ac:dyDescent="0.25">
      <c r="F770" s="12"/>
      <c r="K770" s="5"/>
    </row>
    <row r="771" spans="6:11" x14ac:dyDescent="0.25">
      <c r="F771" s="12"/>
      <c r="K771" s="5"/>
    </row>
    <row r="772" spans="6:11" x14ac:dyDescent="0.25">
      <c r="F772" s="12"/>
      <c r="K772" s="5"/>
    </row>
    <row r="773" spans="6:11" x14ac:dyDescent="0.25">
      <c r="F773" s="12"/>
      <c r="K773" s="5"/>
    </row>
    <row r="774" spans="6:11" x14ac:dyDescent="0.25">
      <c r="F774" s="12"/>
      <c r="K774" s="5"/>
    </row>
    <row r="775" spans="6:11" x14ac:dyDescent="0.25">
      <c r="F775" s="12"/>
      <c r="K775" s="5"/>
    </row>
    <row r="776" spans="6:11" x14ac:dyDescent="0.25">
      <c r="F776" s="12"/>
      <c r="K776" s="5"/>
    </row>
    <row r="777" spans="6:11" x14ac:dyDescent="0.25">
      <c r="F777" s="12"/>
      <c r="K777" s="5"/>
    </row>
    <row r="778" spans="6:11" x14ac:dyDescent="0.25">
      <c r="F778" s="12"/>
      <c r="K778" s="5"/>
    </row>
    <row r="779" spans="6:11" x14ac:dyDescent="0.25">
      <c r="F779" s="12"/>
      <c r="K779" s="5"/>
    </row>
    <row r="780" spans="6:11" x14ac:dyDescent="0.25">
      <c r="F780" s="12"/>
      <c r="K780" s="5"/>
    </row>
    <row r="781" spans="6:11" x14ac:dyDescent="0.25">
      <c r="F781" s="12"/>
      <c r="K781" s="5"/>
    </row>
    <row r="782" spans="6:11" x14ac:dyDescent="0.25">
      <c r="F782" s="12"/>
      <c r="K782" s="5"/>
    </row>
    <row r="783" spans="6:11" x14ac:dyDescent="0.25">
      <c r="F783" s="12"/>
      <c r="K783" s="5"/>
    </row>
    <row r="784" spans="6:11" x14ac:dyDescent="0.25">
      <c r="F784" s="12"/>
      <c r="K784" s="5"/>
    </row>
    <row r="785" spans="6:11" x14ac:dyDescent="0.25">
      <c r="F785" s="12"/>
      <c r="K785" s="5"/>
    </row>
    <row r="786" spans="6:11" x14ac:dyDescent="0.25">
      <c r="F786" s="12"/>
      <c r="K786" s="5"/>
    </row>
    <row r="787" spans="6:11" x14ac:dyDescent="0.25">
      <c r="F787" s="12"/>
      <c r="K787" s="5"/>
    </row>
    <row r="788" spans="6:11" x14ac:dyDescent="0.25">
      <c r="F788" s="12"/>
      <c r="K788" s="5"/>
    </row>
    <row r="789" spans="6:11" x14ac:dyDescent="0.25">
      <c r="F789" s="12"/>
      <c r="K789" s="5"/>
    </row>
    <row r="790" spans="6:11" x14ac:dyDescent="0.25">
      <c r="F790" s="12"/>
      <c r="K790" s="5"/>
    </row>
    <row r="791" spans="6:11" x14ac:dyDescent="0.25">
      <c r="F791" s="12"/>
      <c r="K791" s="5"/>
    </row>
    <row r="792" spans="6:11" x14ac:dyDescent="0.25">
      <c r="F792" s="12"/>
      <c r="K792" s="5"/>
    </row>
    <row r="793" spans="6:11" x14ac:dyDescent="0.25">
      <c r="F793" s="12"/>
      <c r="K793" s="5"/>
    </row>
    <row r="794" spans="6:11" x14ac:dyDescent="0.25">
      <c r="F794" s="12"/>
      <c r="K794" s="5"/>
    </row>
    <row r="795" spans="6:11" x14ac:dyDescent="0.25">
      <c r="F795" s="12"/>
      <c r="K795" s="5"/>
    </row>
    <row r="796" spans="6:11" x14ac:dyDescent="0.25">
      <c r="F796" s="12"/>
      <c r="K796" s="5"/>
    </row>
    <row r="797" spans="6:11" x14ac:dyDescent="0.25">
      <c r="F797" s="12"/>
      <c r="K797" s="5"/>
    </row>
    <row r="798" spans="6:11" x14ac:dyDescent="0.25">
      <c r="F798" s="12"/>
      <c r="K798" s="5"/>
    </row>
    <row r="799" spans="6:11" x14ac:dyDescent="0.25">
      <c r="F799" s="12"/>
      <c r="K799" s="5"/>
    </row>
    <row r="800" spans="6:11" x14ac:dyDescent="0.25">
      <c r="F800" s="12"/>
      <c r="K800" s="5"/>
    </row>
    <row r="801" spans="6:11" x14ac:dyDescent="0.25">
      <c r="F801" s="12"/>
      <c r="K801" s="5"/>
    </row>
    <row r="802" spans="6:11" x14ac:dyDescent="0.25">
      <c r="F802" s="12"/>
      <c r="K802" s="5"/>
    </row>
    <row r="803" spans="6:11" x14ac:dyDescent="0.25">
      <c r="F803" s="12"/>
      <c r="K803" s="5"/>
    </row>
    <row r="804" spans="6:11" x14ac:dyDescent="0.25">
      <c r="F804" s="12"/>
      <c r="K804" s="5"/>
    </row>
    <row r="805" spans="6:11" x14ac:dyDescent="0.25">
      <c r="F805" s="12"/>
      <c r="K805" s="5"/>
    </row>
    <row r="806" spans="6:11" x14ac:dyDescent="0.25">
      <c r="F806" s="12"/>
      <c r="K806" s="5"/>
    </row>
    <row r="807" spans="6:11" x14ac:dyDescent="0.25">
      <c r="F807" s="12"/>
      <c r="K807" s="5"/>
    </row>
    <row r="808" spans="6:11" x14ac:dyDescent="0.25">
      <c r="F808" s="12"/>
      <c r="K808" s="5"/>
    </row>
    <row r="809" spans="6:11" x14ac:dyDescent="0.25">
      <c r="F809" s="12"/>
      <c r="K809" s="5"/>
    </row>
    <row r="810" spans="6:11" x14ac:dyDescent="0.25">
      <c r="F810" s="12"/>
      <c r="K810" s="5"/>
    </row>
    <row r="811" spans="6:11" x14ac:dyDescent="0.25">
      <c r="F811" s="12"/>
      <c r="K811" s="5"/>
    </row>
    <row r="812" spans="6:11" x14ac:dyDescent="0.25">
      <c r="F812" s="12"/>
      <c r="K812" s="5"/>
    </row>
    <row r="813" spans="6:11" x14ac:dyDescent="0.25">
      <c r="F813" s="12"/>
      <c r="K813" s="5"/>
    </row>
    <row r="814" spans="6:11" x14ac:dyDescent="0.25">
      <c r="F814" s="12"/>
      <c r="K814" s="5"/>
    </row>
    <row r="815" spans="6:11" x14ac:dyDescent="0.25">
      <c r="F815" s="12"/>
      <c r="K815" s="5"/>
    </row>
    <row r="816" spans="6:11" x14ac:dyDescent="0.25">
      <c r="F816" s="12"/>
      <c r="K816" s="5"/>
    </row>
    <row r="817" spans="6:11" x14ac:dyDescent="0.25">
      <c r="F817" s="12"/>
      <c r="K817" s="5"/>
    </row>
    <row r="818" spans="6:11" x14ac:dyDescent="0.25">
      <c r="F818" s="12"/>
      <c r="K818" s="5"/>
    </row>
    <row r="819" spans="6:11" x14ac:dyDescent="0.25">
      <c r="F819" s="12"/>
      <c r="K819" s="5"/>
    </row>
    <row r="820" spans="6:11" x14ac:dyDescent="0.25">
      <c r="F820" s="12"/>
      <c r="K820" s="5"/>
    </row>
    <row r="821" spans="6:11" x14ac:dyDescent="0.25">
      <c r="F821" s="12"/>
      <c r="K821" s="5"/>
    </row>
    <row r="822" spans="6:11" x14ac:dyDescent="0.25">
      <c r="F822" s="12"/>
      <c r="K822" s="5"/>
    </row>
    <row r="823" spans="6:11" x14ac:dyDescent="0.25">
      <c r="F823" s="12"/>
      <c r="K823" s="5"/>
    </row>
    <row r="824" spans="6:11" x14ac:dyDescent="0.25">
      <c r="F824" s="12"/>
      <c r="K824" s="5"/>
    </row>
    <row r="825" spans="6:11" x14ac:dyDescent="0.25">
      <c r="F825" s="12"/>
      <c r="K825" s="5"/>
    </row>
    <row r="826" spans="6:11" x14ac:dyDescent="0.25">
      <c r="F826" s="12"/>
      <c r="K826" s="5"/>
    </row>
    <row r="827" spans="6:11" x14ac:dyDescent="0.25">
      <c r="F827" s="12"/>
      <c r="K827" s="5"/>
    </row>
    <row r="828" spans="6:11" x14ac:dyDescent="0.25">
      <c r="F828" s="12"/>
      <c r="K828" s="5"/>
    </row>
    <row r="829" spans="6:11" x14ac:dyDescent="0.25">
      <c r="F829" s="12"/>
      <c r="K829" s="5"/>
    </row>
    <row r="830" spans="6:11" x14ac:dyDescent="0.25">
      <c r="F830" s="12"/>
      <c r="K830" s="5"/>
    </row>
    <row r="831" spans="6:11" x14ac:dyDescent="0.25">
      <c r="F831" s="12"/>
      <c r="K831" s="5"/>
    </row>
    <row r="832" spans="6:11" x14ac:dyDescent="0.25">
      <c r="F832" s="12"/>
      <c r="K832" s="5"/>
    </row>
    <row r="833" spans="6:11" x14ac:dyDescent="0.25">
      <c r="F833" s="12"/>
      <c r="K833" s="5"/>
    </row>
    <row r="834" spans="6:11" x14ac:dyDescent="0.25">
      <c r="F834" s="12"/>
      <c r="K834" s="5"/>
    </row>
    <row r="835" spans="6:11" x14ac:dyDescent="0.25">
      <c r="F835" s="12"/>
      <c r="K835" s="5"/>
    </row>
    <row r="836" spans="6:11" x14ac:dyDescent="0.25">
      <c r="F836" s="12"/>
      <c r="K836" s="5"/>
    </row>
    <row r="837" spans="6:11" x14ac:dyDescent="0.25">
      <c r="F837" s="12"/>
      <c r="K837" s="5"/>
    </row>
    <row r="838" spans="6:11" x14ac:dyDescent="0.25">
      <c r="F838" s="12"/>
      <c r="K838" s="5"/>
    </row>
    <row r="839" spans="6:11" x14ac:dyDescent="0.25">
      <c r="F839" s="12"/>
      <c r="K839" s="5"/>
    </row>
    <row r="840" spans="6:11" x14ac:dyDescent="0.25">
      <c r="F840" s="12"/>
      <c r="K840" s="5"/>
    </row>
    <row r="841" spans="6:11" x14ac:dyDescent="0.25">
      <c r="F841" s="12"/>
      <c r="K841" s="5"/>
    </row>
    <row r="842" spans="6:11" x14ac:dyDescent="0.25">
      <c r="F842" s="12"/>
      <c r="K842" s="5"/>
    </row>
    <row r="843" spans="6:11" x14ac:dyDescent="0.25">
      <c r="F843" s="12"/>
      <c r="K843" s="5"/>
    </row>
    <row r="844" spans="6:11" x14ac:dyDescent="0.25">
      <c r="F844" s="12"/>
      <c r="K844" s="5"/>
    </row>
    <row r="845" spans="6:11" x14ac:dyDescent="0.25">
      <c r="F845" s="12"/>
      <c r="K845" s="5"/>
    </row>
    <row r="846" spans="6:11" x14ac:dyDescent="0.25">
      <c r="F846" s="12"/>
      <c r="K846" s="5"/>
    </row>
    <row r="847" spans="6:11" x14ac:dyDescent="0.25">
      <c r="F847" s="12"/>
      <c r="K847" s="5"/>
    </row>
    <row r="848" spans="6:11" x14ac:dyDescent="0.25">
      <c r="F848" s="12"/>
      <c r="K848" s="5"/>
    </row>
    <row r="849" spans="6:11" x14ac:dyDescent="0.25">
      <c r="F849" s="12"/>
      <c r="K849" s="5"/>
    </row>
    <row r="850" spans="6:11" x14ac:dyDescent="0.25">
      <c r="F850" s="12"/>
      <c r="K850" s="5"/>
    </row>
    <row r="851" spans="6:11" x14ac:dyDescent="0.25">
      <c r="F851" s="12"/>
      <c r="K851" s="5"/>
    </row>
    <row r="852" spans="6:11" x14ac:dyDescent="0.25">
      <c r="F852" s="12"/>
      <c r="K852" s="5"/>
    </row>
    <row r="853" spans="6:11" x14ac:dyDescent="0.25">
      <c r="F853" s="12"/>
      <c r="K853" s="5"/>
    </row>
    <row r="854" spans="6:11" x14ac:dyDescent="0.25">
      <c r="F854" s="12"/>
      <c r="K854" s="5"/>
    </row>
    <row r="855" spans="6:11" x14ac:dyDescent="0.25">
      <c r="F855" s="12"/>
      <c r="K855" s="5"/>
    </row>
    <row r="856" spans="6:11" x14ac:dyDescent="0.25">
      <c r="F856" s="12"/>
      <c r="K856" s="5"/>
    </row>
    <row r="857" spans="6:11" x14ac:dyDescent="0.25">
      <c r="F857" s="12"/>
      <c r="K857" s="5"/>
    </row>
    <row r="858" spans="6:11" x14ac:dyDescent="0.25">
      <c r="F858" s="12"/>
      <c r="K858" s="5"/>
    </row>
    <row r="859" spans="6:11" x14ac:dyDescent="0.25">
      <c r="F859" s="12"/>
      <c r="K859" s="5"/>
    </row>
    <row r="860" spans="6:11" x14ac:dyDescent="0.25">
      <c r="F860" s="12"/>
      <c r="K860" s="5"/>
    </row>
    <row r="861" spans="6:11" x14ac:dyDescent="0.25">
      <c r="F861" s="12"/>
      <c r="K861" s="5"/>
    </row>
    <row r="862" spans="6:11" x14ac:dyDescent="0.25">
      <c r="F862" s="12"/>
      <c r="K862" s="5"/>
    </row>
    <row r="863" spans="6:11" x14ac:dyDescent="0.25">
      <c r="F863" s="12"/>
      <c r="K863" s="5"/>
    </row>
    <row r="864" spans="6:11" x14ac:dyDescent="0.25">
      <c r="F864" s="12"/>
      <c r="K864" s="5"/>
    </row>
    <row r="865" spans="6:11" x14ac:dyDescent="0.25">
      <c r="F865" s="12"/>
      <c r="K865" s="5"/>
    </row>
    <row r="866" spans="6:11" x14ac:dyDescent="0.25">
      <c r="F866" s="12"/>
      <c r="K866" s="5"/>
    </row>
    <row r="867" spans="6:11" x14ac:dyDescent="0.25">
      <c r="F867" s="12"/>
      <c r="K867" s="5"/>
    </row>
    <row r="868" spans="6:11" x14ac:dyDescent="0.25">
      <c r="F868" s="12"/>
      <c r="K868" s="5"/>
    </row>
    <row r="869" spans="6:11" x14ac:dyDescent="0.25">
      <c r="F869" s="12"/>
      <c r="K869" s="5"/>
    </row>
    <row r="870" spans="6:11" x14ac:dyDescent="0.25">
      <c r="F870" s="12"/>
      <c r="K870" s="5"/>
    </row>
    <row r="871" spans="6:11" x14ac:dyDescent="0.25">
      <c r="F871" s="12"/>
      <c r="K871" s="5"/>
    </row>
    <row r="872" spans="6:11" x14ac:dyDescent="0.25">
      <c r="F872" s="12"/>
      <c r="K872" s="5"/>
    </row>
    <row r="873" spans="6:11" x14ac:dyDescent="0.25">
      <c r="F873" s="12"/>
      <c r="K873" s="5"/>
    </row>
    <row r="874" spans="6:11" x14ac:dyDescent="0.25">
      <c r="F874" s="12"/>
      <c r="K874" s="5"/>
    </row>
    <row r="875" spans="6:11" x14ac:dyDescent="0.25">
      <c r="F875" s="12"/>
      <c r="K875" s="5"/>
    </row>
    <row r="876" spans="6:11" x14ac:dyDescent="0.25">
      <c r="F876" s="12"/>
      <c r="K876" s="5"/>
    </row>
    <row r="877" spans="6:11" x14ac:dyDescent="0.25">
      <c r="F877" s="12"/>
      <c r="K877" s="5"/>
    </row>
    <row r="878" spans="6:11" x14ac:dyDescent="0.25">
      <c r="F878" s="12"/>
      <c r="K878" s="5"/>
    </row>
    <row r="879" spans="6:11" x14ac:dyDescent="0.25">
      <c r="F879" s="12"/>
      <c r="K879" s="5"/>
    </row>
    <row r="880" spans="6:11" x14ac:dyDescent="0.25">
      <c r="F880" s="12"/>
      <c r="K880" s="5"/>
    </row>
    <row r="881" spans="6:11" x14ac:dyDescent="0.25">
      <c r="F881" s="12"/>
      <c r="K881" s="5"/>
    </row>
    <row r="882" spans="6:11" x14ac:dyDescent="0.25">
      <c r="F882" s="12"/>
      <c r="K882" s="5"/>
    </row>
    <row r="883" spans="6:11" x14ac:dyDescent="0.25">
      <c r="F883" s="12"/>
      <c r="K883" s="5"/>
    </row>
    <row r="884" spans="6:11" x14ac:dyDescent="0.25">
      <c r="F884" s="12"/>
      <c r="K884" s="5"/>
    </row>
    <row r="885" spans="6:11" x14ac:dyDescent="0.25">
      <c r="F885" s="12"/>
      <c r="K885" s="5"/>
    </row>
    <row r="886" spans="6:11" x14ac:dyDescent="0.25">
      <c r="F886" s="12"/>
      <c r="K886" s="5"/>
    </row>
    <row r="887" spans="6:11" x14ac:dyDescent="0.25">
      <c r="F887" s="12"/>
      <c r="K887" s="5"/>
    </row>
    <row r="888" spans="6:11" x14ac:dyDescent="0.25">
      <c r="F888" s="12"/>
      <c r="K888" s="5"/>
    </row>
    <row r="889" spans="6:11" x14ac:dyDescent="0.25">
      <c r="F889" s="12"/>
      <c r="K889" s="5"/>
    </row>
    <row r="890" spans="6:11" x14ac:dyDescent="0.25">
      <c r="F890" s="12"/>
      <c r="K890" s="5"/>
    </row>
    <row r="891" spans="6:11" x14ac:dyDescent="0.25">
      <c r="F891" s="12"/>
      <c r="K891" s="5"/>
    </row>
    <row r="892" spans="6:11" x14ac:dyDescent="0.25">
      <c r="F892" s="12"/>
      <c r="K892" s="5"/>
    </row>
    <row r="893" spans="6:11" x14ac:dyDescent="0.25">
      <c r="F893" s="12"/>
      <c r="K893" s="5"/>
    </row>
    <row r="894" spans="6:11" x14ac:dyDescent="0.25">
      <c r="F894" s="12"/>
      <c r="K894" s="5"/>
    </row>
    <row r="895" spans="6:11" x14ac:dyDescent="0.25">
      <c r="F895" s="12"/>
      <c r="K895" s="5"/>
    </row>
    <row r="896" spans="6:11" x14ac:dyDescent="0.25">
      <c r="F896" s="12"/>
      <c r="K896" s="5"/>
    </row>
    <row r="897" spans="6:11" x14ac:dyDescent="0.25">
      <c r="F897" s="12"/>
      <c r="K897" s="5"/>
    </row>
    <row r="898" spans="6:11" x14ac:dyDescent="0.25">
      <c r="F898" s="12"/>
      <c r="K898" s="5"/>
    </row>
    <row r="899" spans="6:11" x14ac:dyDescent="0.25">
      <c r="F899" s="12"/>
      <c r="K899" s="5"/>
    </row>
    <row r="900" spans="6:11" x14ac:dyDescent="0.25">
      <c r="F900" s="12"/>
      <c r="K900" s="5"/>
    </row>
    <row r="901" spans="6:11" x14ac:dyDescent="0.25">
      <c r="F901" s="12"/>
      <c r="K901" s="5"/>
    </row>
    <row r="902" spans="6:11" x14ac:dyDescent="0.25">
      <c r="F902" s="12"/>
      <c r="K902" s="5"/>
    </row>
    <row r="903" spans="6:11" x14ac:dyDescent="0.25">
      <c r="F903" s="12"/>
      <c r="K903" s="5"/>
    </row>
    <row r="904" spans="6:11" x14ac:dyDescent="0.25">
      <c r="F904" s="12"/>
      <c r="K904" s="5"/>
    </row>
    <row r="905" spans="6:11" x14ac:dyDescent="0.25">
      <c r="F905" s="12"/>
      <c r="K905" s="5"/>
    </row>
    <row r="906" spans="6:11" x14ac:dyDescent="0.25">
      <c r="F906" s="12"/>
      <c r="K906" s="5"/>
    </row>
    <row r="907" spans="6:11" x14ac:dyDescent="0.25">
      <c r="F907" s="12"/>
      <c r="K907" s="5"/>
    </row>
    <row r="908" spans="6:11" x14ac:dyDescent="0.25">
      <c r="F908" s="12"/>
      <c r="K908" s="5"/>
    </row>
    <row r="909" spans="6:11" x14ac:dyDescent="0.25">
      <c r="F909" s="12"/>
      <c r="K909" s="5"/>
    </row>
    <row r="910" spans="6:11" x14ac:dyDescent="0.25">
      <c r="F910" s="12"/>
      <c r="K910" s="5"/>
    </row>
    <row r="911" spans="6:11" x14ac:dyDescent="0.25">
      <c r="F911" s="12"/>
      <c r="K911" s="5"/>
    </row>
    <row r="912" spans="6:11" x14ac:dyDescent="0.25">
      <c r="F912" s="12"/>
      <c r="K912" s="5"/>
    </row>
    <row r="913" spans="6:11" x14ac:dyDescent="0.25">
      <c r="F913" s="12"/>
      <c r="K913" s="5"/>
    </row>
    <row r="914" spans="6:11" x14ac:dyDescent="0.25">
      <c r="F914" s="12"/>
      <c r="K914" s="5"/>
    </row>
    <row r="915" spans="6:11" x14ac:dyDescent="0.25">
      <c r="F915" s="12"/>
      <c r="K915" s="5"/>
    </row>
    <row r="916" spans="6:11" x14ac:dyDescent="0.25">
      <c r="F916" s="12"/>
      <c r="K916" s="5"/>
    </row>
    <row r="917" spans="6:11" x14ac:dyDescent="0.25">
      <c r="F917" s="12"/>
      <c r="K917" s="5"/>
    </row>
    <row r="918" spans="6:11" x14ac:dyDescent="0.25">
      <c r="F918" s="12"/>
      <c r="K918" s="5"/>
    </row>
    <row r="919" spans="6:11" x14ac:dyDescent="0.25">
      <c r="F919" s="12"/>
      <c r="K919" s="5"/>
    </row>
    <row r="920" spans="6:11" x14ac:dyDescent="0.25">
      <c r="F920" s="12"/>
      <c r="K920" s="5"/>
    </row>
    <row r="921" spans="6:11" x14ac:dyDescent="0.25">
      <c r="F921" s="12"/>
      <c r="K921" s="5"/>
    </row>
    <row r="922" spans="6:11" x14ac:dyDescent="0.25">
      <c r="F922" s="12"/>
      <c r="K922" s="5"/>
    </row>
    <row r="923" spans="6:11" x14ac:dyDescent="0.25">
      <c r="F923" s="12"/>
      <c r="K923" s="5"/>
    </row>
    <row r="924" spans="6:11" x14ac:dyDescent="0.25">
      <c r="F924" s="12"/>
      <c r="K924" s="5"/>
    </row>
    <row r="925" spans="6:11" x14ac:dyDescent="0.25">
      <c r="F925" s="12"/>
      <c r="K925" s="5"/>
    </row>
    <row r="926" spans="6:11" x14ac:dyDescent="0.25">
      <c r="F926" s="12"/>
      <c r="K926" s="5"/>
    </row>
    <row r="927" spans="6:11" x14ac:dyDescent="0.25">
      <c r="F927" s="12"/>
      <c r="K927" s="5"/>
    </row>
    <row r="928" spans="6:11" x14ac:dyDescent="0.25">
      <c r="F928" s="12"/>
      <c r="K928" s="5"/>
    </row>
    <row r="929" spans="6:11" x14ac:dyDescent="0.25">
      <c r="F929" s="12"/>
      <c r="K929" s="5"/>
    </row>
    <row r="930" spans="6:11" x14ac:dyDescent="0.25">
      <c r="F930" s="12"/>
      <c r="K930" s="5"/>
    </row>
    <row r="931" spans="6:11" x14ac:dyDescent="0.25">
      <c r="F931" s="12"/>
      <c r="K931" s="5"/>
    </row>
    <row r="932" spans="6:11" x14ac:dyDescent="0.25">
      <c r="F932" s="12"/>
      <c r="K932" s="5"/>
    </row>
    <row r="933" spans="6:11" x14ac:dyDescent="0.25">
      <c r="F933" s="12"/>
      <c r="K933" s="5"/>
    </row>
    <row r="934" spans="6:11" x14ac:dyDescent="0.25">
      <c r="F934" s="12"/>
      <c r="K934" s="5"/>
    </row>
    <row r="935" spans="6:11" x14ac:dyDescent="0.25">
      <c r="F935" s="12"/>
      <c r="K935" s="5"/>
    </row>
    <row r="936" spans="6:11" x14ac:dyDescent="0.25">
      <c r="F936" s="12"/>
      <c r="K936" s="5"/>
    </row>
    <row r="937" spans="6:11" x14ac:dyDescent="0.25">
      <c r="F937" s="12"/>
      <c r="K937" s="5"/>
    </row>
    <row r="938" spans="6:11" x14ac:dyDescent="0.25">
      <c r="F938" s="12"/>
      <c r="K938" s="5"/>
    </row>
    <row r="939" spans="6:11" x14ac:dyDescent="0.25">
      <c r="F939" s="12"/>
      <c r="K939" s="5"/>
    </row>
    <row r="940" spans="6:11" x14ac:dyDescent="0.25">
      <c r="F940" s="12"/>
      <c r="K940" s="5"/>
    </row>
    <row r="941" spans="6:11" x14ac:dyDescent="0.25">
      <c r="F941" s="12"/>
      <c r="K941" s="5"/>
    </row>
    <row r="942" spans="6:11" x14ac:dyDescent="0.25">
      <c r="F942" s="12"/>
      <c r="K942" s="5"/>
    </row>
    <row r="943" spans="6:11" x14ac:dyDescent="0.25">
      <c r="F943" s="12"/>
      <c r="K943" s="5"/>
    </row>
    <row r="944" spans="6:11" x14ac:dyDescent="0.25">
      <c r="F944" s="12"/>
      <c r="K944" s="5"/>
    </row>
    <row r="945" spans="6:11" x14ac:dyDescent="0.25">
      <c r="F945" s="12"/>
      <c r="K945" s="5"/>
    </row>
    <row r="946" spans="6:11" x14ac:dyDescent="0.25">
      <c r="F946" s="12"/>
      <c r="K946" s="5"/>
    </row>
    <row r="947" spans="6:11" x14ac:dyDescent="0.25">
      <c r="F947" s="12"/>
      <c r="K947" s="5"/>
    </row>
    <row r="948" spans="6:11" x14ac:dyDescent="0.25">
      <c r="F948" s="12"/>
      <c r="K948" s="5"/>
    </row>
    <row r="949" spans="6:11" x14ac:dyDescent="0.25">
      <c r="F949" s="12"/>
      <c r="K949" s="5"/>
    </row>
    <row r="950" spans="6:11" x14ac:dyDescent="0.25">
      <c r="F950" s="12"/>
      <c r="K950" s="5"/>
    </row>
    <row r="951" spans="6:11" x14ac:dyDescent="0.25">
      <c r="F951" s="12"/>
      <c r="K951" s="5"/>
    </row>
    <row r="952" spans="6:11" x14ac:dyDescent="0.25">
      <c r="F952" s="12"/>
      <c r="K952" s="5"/>
    </row>
    <row r="953" spans="6:11" x14ac:dyDescent="0.25">
      <c r="F953" s="12"/>
      <c r="K953" s="5"/>
    </row>
    <row r="954" spans="6:11" x14ac:dyDescent="0.25">
      <c r="F954" s="12"/>
      <c r="K954" s="5"/>
    </row>
    <row r="955" spans="6:11" x14ac:dyDescent="0.25">
      <c r="F955" s="12"/>
      <c r="K955" s="5"/>
    </row>
    <row r="956" spans="6:11" x14ac:dyDescent="0.25">
      <c r="F956" s="12"/>
      <c r="K956" s="5"/>
    </row>
    <row r="957" spans="6:11" x14ac:dyDescent="0.25">
      <c r="F957" s="12"/>
      <c r="K957" s="5"/>
    </row>
    <row r="958" spans="6:11" x14ac:dyDescent="0.25">
      <c r="F958" s="12"/>
      <c r="K958" s="5"/>
    </row>
    <row r="959" spans="6:11" x14ac:dyDescent="0.25">
      <c r="F959" s="12"/>
      <c r="K959" s="5"/>
    </row>
    <row r="960" spans="6:11" x14ac:dyDescent="0.25">
      <c r="F960" s="12"/>
      <c r="K960" s="5"/>
    </row>
    <row r="961" spans="6:11" x14ac:dyDescent="0.25">
      <c r="F961" s="12"/>
      <c r="K961" s="5"/>
    </row>
    <row r="962" spans="6:11" x14ac:dyDescent="0.25">
      <c r="F962" s="12"/>
      <c r="K962" s="5"/>
    </row>
    <row r="963" spans="6:11" x14ac:dyDescent="0.25">
      <c r="F963" s="12"/>
      <c r="K963" s="5"/>
    </row>
    <row r="964" spans="6:11" x14ac:dyDescent="0.25">
      <c r="F964" s="12"/>
      <c r="K964" s="5"/>
    </row>
    <row r="965" spans="6:11" x14ac:dyDescent="0.25">
      <c r="F965" s="12"/>
      <c r="K965" s="5"/>
    </row>
    <row r="966" spans="6:11" x14ac:dyDescent="0.25">
      <c r="F966" s="12"/>
      <c r="K966" s="5"/>
    </row>
    <row r="967" spans="6:11" x14ac:dyDescent="0.25">
      <c r="F967" s="12"/>
      <c r="K967" s="5"/>
    </row>
    <row r="968" spans="6:11" x14ac:dyDescent="0.25">
      <c r="F968" s="12"/>
      <c r="K968" s="5"/>
    </row>
    <row r="969" spans="6:11" x14ac:dyDescent="0.25">
      <c r="F969" s="12"/>
      <c r="K969" s="5"/>
    </row>
    <row r="970" spans="6:11" x14ac:dyDescent="0.25">
      <c r="F970" s="12"/>
      <c r="K970" s="5"/>
    </row>
    <row r="971" spans="6:11" x14ac:dyDescent="0.25">
      <c r="F971" s="12"/>
      <c r="K971" s="5"/>
    </row>
    <row r="972" spans="6:11" x14ac:dyDescent="0.25">
      <c r="F972" s="12"/>
      <c r="K972" s="5"/>
    </row>
    <row r="973" spans="6:11" x14ac:dyDescent="0.25">
      <c r="F973" s="12"/>
      <c r="K973" s="5"/>
    </row>
    <row r="974" spans="6:11" x14ac:dyDescent="0.25">
      <c r="F974" s="12"/>
      <c r="K974" s="5"/>
    </row>
    <row r="975" spans="6:11" x14ac:dyDescent="0.25">
      <c r="F975" s="12"/>
      <c r="K975" s="5"/>
    </row>
    <row r="976" spans="6:11" x14ac:dyDescent="0.25">
      <c r="F976" s="12"/>
      <c r="K976" s="5"/>
    </row>
    <row r="977" spans="6:11" x14ac:dyDescent="0.25">
      <c r="F977" s="12"/>
      <c r="K977" s="5"/>
    </row>
    <row r="978" spans="6:11" x14ac:dyDescent="0.25">
      <c r="F978" s="12"/>
      <c r="K978" s="5"/>
    </row>
    <row r="979" spans="6:11" x14ac:dyDescent="0.25">
      <c r="F979" s="12"/>
      <c r="K979" s="5"/>
    </row>
    <row r="980" spans="6:11" x14ac:dyDescent="0.25">
      <c r="F980" s="12"/>
      <c r="K980" s="5"/>
    </row>
    <row r="981" spans="6:11" x14ac:dyDescent="0.25">
      <c r="F981" s="12"/>
      <c r="K981" s="5"/>
    </row>
    <row r="982" spans="6:11" x14ac:dyDescent="0.25">
      <c r="F982" s="12"/>
      <c r="K982" s="5"/>
    </row>
    <row r="983" spans="6:11" x14ac:dyDescent="0.25">
      <c r="F983" s="12"/>
      <c r="K983" s="5"/>
    </row>
    <row r="984" spans="6:11" x14ac:dyDescent="0.25">
      <c r="F984" s="12"/>
      <c r="K984" s="5"/>
    </row>
    <row r="985" spans="6:11" x14ac:dyDescent="0.25">
      <c r="F985" s="12"/>
      <c r="K985" s="5"/>
    </row>
    <row r="986" spans="6:11" x14ac:dyDescent="0.25">
      <c r="F986" s="12"/>
      <c r="K986" s="5"/>
    </row>
    <row r="987" spans="6:11" x14ac:dyDescent="0.25">
      <c r="F987" s="12"/>
      <c r="K987" s="5"/>
    </row>
    <row r="988" spans="6:11" x14ac:dyDescent="0.25">
      <c r="F988" s="12"/>
      <c r="K988" s="5"/>
    </row>
    <row r="989" spans="6:11" x14ac:dyDescent="0.25">
      <c r="F989" s="12"/>
      <c r="K989" s="5"/>
    </row>
    <row r="990" spans="6:11" x14ac:dyDescent="0.25">
      <c r="F990" s="12"/>
      <c r="K990" s="5"/>
    </row>
    <row r="991" spans="6:11" x14ac:dyDescent="0.25">
      <c r="F991" s="12"/>
      <c r="K991" s="5"/>
    </row>
    <row r="992" spans="6:11" x14ac:dyDescent="0.25">
      <c r="F992" s="12"/>
      <c r="K992" s="5"/>
    </row>
    <row r="993" spans="6:11" x14ac:dyDescent="0.25">
      <c r="F993" s="12"/>
      <c r="K993" s="5"/>
    </row>
    <row r="994" spans="6:11" x14ac:dyDescent="0.25">
      <c r="F994" s="12"/>
      <c r="K994" s="5"/>
    </row>
    <row r="995" spans="6:11" x14ac:dyDescent="0.25">
      <c r="F995" s="12"/>
      <c r="K995" s="5"/>
    </row>
    <row r="996" spans="6:11" x14ac:dyDescent="0.25">
      <c r="F996" s="12"/>
      <c r="K996" s="5"/>
    </row>
    <row r="997" spans="6:11" x14ac:dyDescent="0.25">
      <c r="F997" s="12"/>
      <c r="K997" s="5"/>
    </row>
    <row r="998" spans="6:11" x14ac:dyDescent="0.25">
      <c r="F998" s="12"/>
      <c r="K998" s="5"/>
    </row>
    <row r="999" spans="6:11" x14ac:dyDescent="0.25">
      <c r="F999" s="12"/>
      <c r="K999" s="5"/>
    </row>
    <row r="1000" spans="6:11" x14ac:dyDescent="0.25">
      <c r="F1000" s="12"/>
      <c r="K1000" s="5"/>
    </row>
    <row r="1001" spans="6:11" x14ac:dyDescent="0.25">
      <c r="F1001" s="12"/>
      <c r="K1001" s="5"/>
    </row>
    <row r="1002" spans="6:11" x14ac:dyDescent="0.25">
      <c r="F1002" s="12"/>
      <c r="K1002" s="5"/>
    </row>
    <row r="1003" spans="6:11" x14ac:dyDescent="0.25">
      <c r="F1003" s="12"/>
      <c r="K1003" s="5"/>
    </row>
    <row r="1004" spans="6:11" x14ac:dyDescent="0.25">
      <c r="F1004" s="12"/>
      <c r="K1004" s="5"/>
    </row>
    <row r="1005" spans="6:11" x14ac:dyDescent="0.25">
      <c r="F1005" s="12"/>
      <c r="K1005" s="5"/>
    </row>
    <row r="1006" spans="6:11" x14ac:dyDescent="0.25">
      <c r="F1006" s="12"/>
      <c r="K1006" s="5"/>
    </row>
    <row r="1007" spans="6:11" x14ac:dyDescent="0.25">
      <c r="F1007" s="12"/>
      <c r="K1007" s="5"/>
    </row>
    <row r="1008" spans="6:11" x14ac:dyDescent="0.25">
      <c r="F1008" s="12"/>
      <c r="K1008" s="5"/>
    </row>
    <row r="1009" spans="6:11" x14ac:dyDescent="0.25">
      <c r="F1009" s="12"/>
      <c r="K1009" s="5"/>
    </row>
    <row r="1010" spans="6:11" x14ac:dyDescent="0.25">
      <c r="F1010" s="12"/>
      <c r="K1010" s="5"/>
    </row>
    <row r="1011" spans="6:11" x14ac:dyDescent="0.25">
      <c r="F1011" s="12"/>
      <c r="K1011" s="5"/>
    </row>
    <row r="1012" spans="6:11" x14ac:dyDescent="0.25">
      <c r="F1012" s="12"/>
      <c r="K1012" s="5"/>
    </row>
    <row r="1013" spans="6:11" x14ac:dyDescent="0.25">
      <c r="F1013" s="12"/>
      <c r="K1013" s="5"/>
    </row>
    <row r="1014" spans="6:11" x14ac:dyDescent="0.25">
      <c r="F1014" s="12"/>
      <c r="K1014" s="5"/>
    </row>
    <row r="1015" spans="6:11" x14ac:dyDescent="0.25">
      <c r="F1015" s="12"/>
      <c r="K1015" s="5"/>
    </row>
    <row r="1016" spans="6:11" x14ac:dyDescent="0.25">
      <c r="F1016" s="12"/>
      <c r="K1016" s="5"/>
    </row>
    <row r="1017" spans="6:11" x14ac:dyDescent="0.25">
      <c r="F1017" s="12"/>
      <c r="K1017" s="5"/>
    </row>
    <row r="1018" spans="6:11" x14ac:dyDescent="0.25">
      <c r="F1018" s="12"/>
      <c r="K1018" s="5"/>
    </row>
    <row r="1019" spans="6:11" x14ac:dyDescent="0.25">
      <c r="F1019" s="12"/>
      <c r="K1019" s="5"/>
    </row>
    <row r="1020" spans="6:11" x14ac:dyDescent="0.25">
      <c r="F1020" s="12"/>
      <c r="K1020" s="5"/>
    </row>
    <row r="1021" spans="6:11" x14ac:dyDescent="0.25">
      <c r="F1021" s="12"/>
      <c r="K1021" s="5"/>
    </row>
    <row r="1022" spans="6:11" x14ac:dyDescent="0.25">
      <c r="F1022" s="12"/>
      <c r="K1022" s="5"/>
    </row>
    <row r="1023" spans="6:11" x14ac:dyDescent="0.25">
      <c r="F1023" s="12"/>
      <c r="K1023" s="5"/>
    </row>
    <row r="1024" spans="6:11" x14ac:dyDescent="0.25">
      <c r="F1024" s="12"/>
      <c r="K1024" s="5"/>
    </row>
    <row r="1025" spans="6:11" x14ac:dyDescent="0.25">
      <c r="F1025" s="12"/>
      <c r="K1025" s="5"/>
    </row>
    <row r="1026" spans="6:11" x14ac:dyDescent="0.25">
      <c r="F1026" s="12"/>
      <c r="K1026" s="5"/>
    </row>
    <row r="1027" spans="6:11" x14ac:dyDescent="0.25">
      <c r="F1027" s="12"/>
      <c r="K1027" s="5"/>
    </row>
    <row r="1028" spans="6:11" x14ac:dyDescent="0.25">
      <c r="F1028" s="12"/>
      <c r="K1028" s="5"/>
    </row>
    <row r="1029" spans="6:11" x14ac:dyDescent="0.25">
      <c r="F1029" s="12"/>
      <c r="K1029" s="5"/>
    </row>
    <row r="1030" spans="6:11" x14ac:dyDescent="0.25">
      <c r="F1030" s="12"/>
      <c r="K1030" s="5"/>
    </row>
    <row r="1031" spans="6:11" x14ac:dyDescent="0.25">
      <c r="F1031" s="12"/>
      <c r="K1031" s="5"/>
    </row>
    <row r="1032" spans="6:11" x14ac:dyDescent="0.25">
      <c r="F1032" s="12"/>
      <c r="K1032" s="5"/>
    </row>
    <row r="1033" spans="6:11" x14ac:dyDescent="0.25">
      <c r="F1033" s="12"/>
      <c r="K1033" s="5"/>
    </row>
    <row r="1034" spans="6:11" x14ac:dyDescent="0.25">
      <c r="F1034" s="12"/>
      <c r="K1034" s="5"/>
    </row>
    <row r="1035" spans="6:11" x14ac:dyDescent="0.25">
      <c r="F1035" s="12"/>
      <c r="K1035" s="5"/>
    </row>
    <row r="1036" spans="6:11" x14ac:dyDescent="0.25">
      <c r="F1036" s="12"/>
      <c r="K1036" s="5"/>
    </row>
    <row r="1037" spans="6:11" x14ac:dyDescent="0.25">
      <c r="F1037" s="12"/>
      <c r="K1037" s="5"/>
    </row>
    <row r="1038" spans="6:11" x14ac:dyDescent="0.25">
      <c r="F1038" s="12"/>
      <c r="K1038" s="5"/>
    </row>
    <row r="1039" spans="6:11" x14ac:dyDescent="0.25">
      <c r="F1039" s="12"/>
      <c r="K1039" s="5"/>
    </row>
    <row r="1040" spans="6:11" x14ac:dyDescent="0.25">
      <c r="F1040" s="12"/>
      <c r="K1040" s="5"/>
    </row>
    <row r="1041" spans="6:11" x14ac:dyDescent="0.25">
      <c r="F1041" s="12"/>
      <c r="K1041" s="5"/>
    </row>
    <row r="1042" spans="6:11" x14ac:dyDescent="0.25">
      <c r="F1042" s="12"/>
      <c r="K1042" s="5"/>
    </row>
    <row r="1043" spans="6:11" x14ac:dyDescent="0.25">
      <c r="F1043" s="12"/>
      <c r="K1043" s="5"/>
    </row>
    <row r="1044" spans="6:11" x14ac:dyDescent="0.25">
      <c r="F1044" s="12"/>
      <c r="K1044" s="5"/>
    </row>
    <row r="1045" spans="6:11" x14ac:dyDescent="0.25">
      <c r="F1045" s="12"/>
      <c r="K1045" s="5"/>
    </row>
    <row r="1046" spans="6:11" x14ac:dyDescent="0.25">
      <c r="F1046" s="12"/>
      <c r="K1046" s="5"/>
    </row>
    <row r="1047" spans="6:11" x14ac:dyDescent="0.25">
      <c r="F1047" s="12"/>
      <c r="K1047" s="5"/>
    </row>
    <row r="1048" spans="6:11" x14ac:dyDescent="0.25">
      <c r="F1048" s="12"/>
      <c r="K1048" s="5"/>
    </row>
    <row r="1049" spans="6:11" x14ac:dyDescent="0.25">
      <c r="F1049" s="12"/>
      <c r="K1049" s="5"/>
    </row>
    <row r="1050" spans="6:11" x14ac:dyDescent="0.25">
      <c r="F1050" s="12"/>
      <c r="K1050" s="5"/>
    </row>
    <row r="1051" spans="6:11" x14ac:dyDescent="0.25">
      <c r="F1051" s="12"/>
      <c r="K1051" s="5"/>
    </row>
    <row r="1052" spans="6:11" x14ac:dyDescent="0.25">
      <c r="F1052" s="12"/>
      <c r="K1052" s="5"/>
    </row>
    <row r="1053" spans="6:11" x14ac:dyDescent="0.25">
      <c r="F1053" s="12"/>
      <c r="K1053" s="5"/>
    </row>
    <row r="1054" spans="6:11" x14ac:dyDescent="0.25">
      <c r="F1054" s="12"/>
      <c r="K1054" s="5"/>
    </row>
    <row r="1055" spans="6:11" x14ac:dyDescent="0.25">
      <c r="F1055" s="12"/>
      <c r="K1055" s="5"/>
    </row>
    <row r="1056" spans="6:11" x14ac:dyDescent="0.25">
      <c r="F1056" s="12"/>
      <c r="K1056" s="5"/>
    </row>
    <row r="1057" spans="6:11" x14ac:dyDescent="0.25">
      <c r="F1057" s="12"/>
      <c r="K1057" s="5"/>
    </row>
    <row r="1058" spans="6:11" x14ac:dyDescent="0.25">
      <c r="F1058" s="12"/>
      <c r="K1058" s="5"/>
    </row>
    <row r="1059" spans="6:11" x14ac:dyDescent="0.25">
      <c r="F1059" s="12"/>
      <c r="K1059" s="5"/>
    </row>
    <row r="1060" spans="6:11" x14ac:dyDescent="0.25">
      <c r="F1060" s="12"/>
      <c r="K1060" s="5"/>
    </row>
    <row r="1061" spans="6:11" x14ac:dyDescent="0.25">
      <c r="F1061" s="12"/>
      <c r="K1061" s="5"/>
    </row>
    <row r="1062" spans="6:11" x14ac:dyDescent="0.25">
      <c r="F1062" s="12"/>
      <c r="K1062" s="5"/>
    </row>
    <row r="1063" spans="6:11" x14ac:dyDescent="0.25">
      <c r="F1063" s="12"/>
      <c r="K1063" s="5"/>
    </row>
    <row r="1064" spans="6:11" x14ac:dyDescent="0.25">
      <c r="F1064" s="12"/>
      <c r="K1064" s="5"/>
    </row>
    <row r="1065" spans="6:11" x14ac:dyDescent="0.25">
      <c r="F1065" s="12"/>
      <c r="K1065" s="5"/>
    </row>
    <row r="1066" spans="6:11" x14ac:dyDescent="0.25">
      <c r="F1066" s="12"/>
      <c r="K1066" s="5"/>
    </row>
    <row r="1067" spans="6:11" x14ac:dyDescent="0.25">
      <c r="F1067" s="12"/>
      <c r="K1067" s="5"/>
    </row>
    <row r="1068" spans="6:11" x14ac:dyDescent="0.25">
      <c r="F1068" s="12"/>
      <c r="K1068" s="5"/>
    </row>
    <row r="1069" spans="6:11" x14ac:dyDescent="0.25">
      <c r="F1069" s="12"/>
      <c r="K1069" s="5"/>
    </row>
    <row r="1070" spans="6:11" x14ac:dyDescent="0.25">
      <c r="F1070" s="12"/>
      <c r="K1070" s="5"/>
    </row>
    <row r="1071" spans="6:11" x14ac:dyDescent="0.25">
      <c r="F1071" s="12"/>
      <c r="K1071" s="5"/>
    </row>
    <row r="1072" spans="6:11" x14ac:dyDescent="0.25">
      <c r="F1072" s="12"/>
      <c r="K1072" s="5"/>
    </row>
    <row r="1073" spans="6:11" x14ac:dyDescent="0.25">
      <c r="F1073" s="12"/>
      <c r="K1073" s="5"/>
    </row>
    <row r="1074" spans="6:11" x14ac:dyDescent="0.25">
      <c r="F1074" s="12"/>
      <c r="K1074" s="5"/>
    </row>
    <row r="1075" spans="6:11" x14ac:dyDescent="0.25">
      <c r="F1075" s="12"/>
      <c r="K1075" s="5"/>
    </row>
    <row r="1076" spans="6:11" x14ac:dyDescent="0.25">
      <c r="F1076" s="12"/>
      <c r="K1076" s="5"/>
    </row>
    <row r="1077" spans="6:11" x14ac:dyDescent="0.25">
      <c r="F1077" s="12"/>
      <c r="K1077" s="5"/>
    </row>
    <row r="1078" spans="6:11" x14ac:dyDescent="0.25">
      <c r="F1078" s="12"/>
      <c r="K1078" s="5"/>
    </row>
    <row r="1079" spans="6:11" x14ac:dyDescent="0.25">
      <c r="F1079" s="12"/>
      <c r="K1079" s="5"/>
    </row>
    <row r="1080" spans="6:11" x14ac:dyDescent="0.25">
      <c r="F1080" s="12"/>
      <c r="K1080" s="5"/>
    </row>
    <row r="1081" spans="6:11" x14ac:dyDescent="0.25">
      <c r="F1081" s="12"/>
      <c r="K1081" s="5"/>
    </row>
    <row r="1082" spans="6:11" x14ac:dyDescent="0.25">
      <c r="F1082" s="12"/>
      <c r="K1082" s="5"/>
    </row>
    <row r="1083" spans="6:11" x14ac:dyDescent="0.25">
      <c r="F1083" s="12"/>
      <c r="K1083" s="5"/>
    </row>
    <row r="1084" spans="6:11" x14ac:dyDescent="0.25">
      <c r="F1084" s="12"/>
      <c r="K1084" s="5"/>
    </row>
    <row r="1085" spans="6:11" x14ac:dyDescent="0.25">
      <c r="F1085" s="12"/>
      <c r="K1085" s="5"/>
    </row>
    <row r="1086" spans="6:11" x14ac:dyDescent="0.25">
      <c r="F1086" s="12"/>
      <c r="K1086" s="5"/>
    </row>
    <row r="1087" spans="6:11" x14ac:dyDescent="0.25">
      <c r="F1087" s="12"/>
      <c r="K1087" s="5"/>
    </row>
    <row r="1088" spans="6:11" x14ac:dyDescent="0.25">
      <c r="F1088" s="12"/>
      <c r="K1088" s="5"/>
    </row>
    <row r="1089" spans="6:11" x14ac:dyDescent="0.25">
      <c r="F1089" s="12"/>
      <c r="K1089" s="5"/>
    </row>
    <row r="1090" spans="6:11" x14ac:dyDescent="0.25">
      <c r="F1090" s="12"/>
      <c r="K1090" s="5"/>
    </row>
    <row r="1091" spans="6:11" x14ac:dyDescent="0.25">
      <c r="F1091" s="12"/>
      <c r="K1091" s="5"/>
    </row>
    <row r="1092" spans="6:11" x14ac:dyDescent="0.25">
      <c r="F1092" s="12"/>
      <c r="K1092" s="5"/>
    </row>
    <row r="1093" spans="6:11" x14ac:dyDescent="0.25">
      <c r="F1093" s="12"/>
      <c r="K1093" s="5"/>
    </row>
    <row r="1094" spans="6:11" x14ac:dyDescent="0.25">
      <c r="F1094" s="12"/>
      <c r="K1094" s="5"/>
    </row>
    <row r="1095" spans="6:11" x14ac:dyDescent="0.25">
      <c r="F1095" s="12"/>
      <c r="K1095" s="5"/>
    </row>
    <row r="1096" spans="6:11" x14ac:dyDescent="0.25">
      <c r="F1096" s="12"/>
      <c r="K1096" s="5"/>
    </row>
    <row r="1097" spans="6:11" x14ac:dyDescent="0.25">
      <c r="F1097" s="12"/>
      <c r="K1097" s="5"/>
    </row>
    <row r="1098" spans="6:11" x14ac:dyDescent="0.25">
      <c r="F1098" s="12"/>
      <c r="K1098" s="5"/>
    </row>
    <row r="1099" spans="6:11" x14ac:dyDescent="0.25">
      <c r="F1099" s="12"/>
      <c r="K1099" s="5"/>
    </row>
    <row r="1100" spans="6:11" x14ac:dyDescent="0.25">
      <c r="F1100" s="12"/>
      <c r="K1100" s="5"/>
    </row>
    <row r="1101" spans="6:11" x14ac:dyDescent="0.25">
      <c r="F1101" s="12"/>
      <c r="K1101" s="5"/>
    </row>
    <row r="1102" spans="6:11" x14ac:dyDescent="0.25">
      <c r="F1102" s="12"/>
      <c r="K1102" s="5"/>
    </row>
    <row r="1103" spans="6:11" x14ac:dyDescent="0.25">
      <c r="F1103" s="12"/>
      <c r="K1103" s="5"/>
    </row>
    <row r="1104" spans="6:11" x14ac:dyDescent="0.25">
      <c r="F1104" s="12"/>
      <c r="K1104" s="5"/>
    </row>
    <row r="1105" spans="6:11" x14ac:dyDescent="0.25">
      <c r="F1105" s="12"/>
      <c r="K1105" s="5"/>
    </row>
    <row r="1106" spans="6:11" x14ac:dyDescent="0.25">
      <c r="F1106" s="12"/>
      <c r="K1106" s="5"/>
    </row>
    <row r="1107" spans="6:11" x14ac:dyDescent="0.25">
      <c r="F1107" s="12"/>
      <c r="K1107" s="5"/>
    </row>
    <row r="1108" spans="6:11" x14ac:dyDescent="0.25">
      <c r="F1108" s="12"/>
      <c r="K1108" s="5"/>
    </row>
    <row r="1109" spans="6:11" x14ac:dyDescent="0.25">
      <c r="F1109" s="12"/>
      <c r="K1109" s="5"/>
    </row>
    <row r="1110" spans="6:11" x14ac:dyDescent="0.25">
      <c r="F1110" s="12"/>
      <c r="K1110" s="5"/>
    </row>
    <row r="1111" spans="6:11" x14ac:dyDescent="0.25">
      <c r="F1111" s="12"/>
      <c r="K1111" s="5"/>
    </row>
    <row r="1112" spans="6:11" x14ac:dyDescent="0.25">
      <c r="F1112" s="12"/>
      <c r="K1112" s="5"/>
    </row>
    <row r="1113" spans="6:11" x14ac:dyDescent="0.25">
      <c r="F1113" s="12"/>
      <c r="K1113" s="5"/>
    </row>
    <row r="1114" spans="6:11" x14ac:dyDescent="0.25">
      <c r="F1114" s="12"/>
      <c r="K1114" s="5"/>
    </row>
    <row r="1115" spans="6:11" x14ac:dyDescent="0.25">
      <c r="F1115" s="12"/>
      <c r="K1115" s="5"/>
    </row>
    <row r="1116" spans="6:11" x14ac:dyDescent="0.25">
      <c r="F1116" s="12"/>
      <c r="K1116" s="5"/>
    </row>
    <row r="1117" spans="6:11" x14ac:dyDescent="0.25">
      <c r="F1117" s="12"/>
      <c r="K1117" s="5"/>
    </row>
    <row r="1118" spans="6:11" x14ac:dyDescent="0.25">
      <c r="F1118" s="12"/>
      <c r="K1118" s="5"/>
    </row>
    <row r="1119" spans="6:11" x14ac:dyDescent="0.25">
      <c r="F1119" s="12"/>
      <c r="K1119" s="5"/>
    </row>
    <row r="1120" spans="6:11" x14ac:dyDescent="0.25">
      <c r="F1120" s="12"/>
      <c r="K1120" s="5"/>
    </row>
    <row r="1121" spans="6:11" x14ac:dyDescent="0.25">
      <c r="F1121" s="12"/>
      <c r="K1121" s="5"/>
    </row>
    <row r="1122" spans="6:11" x14ac:dyDescent="0.25">
      <c r="F1122" s="12"/>
      <c r="K1122" s="5"/>
    </row>
    <row r="1123" spans="6:11" x14ac:dyDescent="0.25">
      <c r="F1123" s="12"/>
      <c r="K1123" s="5"/>
    </row>
    <row r="1124" spans="6:11" x14ac:dyDescent="0.25">
      <c r="F1124" s="12"/>
      <c r="K1124" s="5"/>
    </row>
    <row r="1125" spans="6:11" x14ac:dyDescent="0.25">
      <c r="F1125" s="12"/>
      <c r="K1125" s="5"/>
    </row>
    <row r="1126" spans="6:11" x14ac:dyDescent="0.25">
      <c r="F1126" s="12"/>
      <c r="K1126" s="5"/>
    </row>
    <row r="1127" spans="6:11" x14ac:dyDescent="0.25">
      <c r="F1127" s="12"/>
      <c r="K1127" s="5"/>
    </row>
    <row r="1128" spans="6:11" x14ac:dyDescent="0.25">
      <c r="F1128" s="12"/>
      <c r="K1128" s="5"/>
    </row>
    <row r="1129" spans="6:11" x14ac:dyDescent="0.25">
      <c r="F1129" s="12"/>
      <c r="K1129" s="5"/>
    </row>
    <row r="1130" spans="6:11" x14ac:dyDescent="0.25">
      <c r="F1130" s="12"/>
      <c r="K1130" s="5"/>
    </row>
    <row r="1131" spans="6:11" x14ac:dyDescent="0.25">
      <c r="F1131" s="12"/>
      <c r="K1131" s="5"/>
    </row>
    <row r="1132" spans="6:11" x14ac:dyDescent="0.25">
      <c r="F1132" s="12"/>
      <c r="K1132" s="5"/>
    </row>
    <row r="1133" spans="6:11" x14ac:dyDescent="0.25">
      <c r="F1133" s="12"/>
      <c r="K1133" s="5"/>
    </row>
    <row r="1134" spans="6:11" x14ac:dyDescent="0.25">
      <c r="F1134" s="12"/>
      <c r="K1134" s="5"/>
    </row>
    <row r="1135" spans="6:11" x14ac:dyDescent="0.25">
      <c r="F1135" s="12"/>
      <c r="K1135" s="5"/>
    </row>
    <row r="1136" spans="6:11" x14ac:dyDescent="0.25">
      <c r="F1136" s="12"/>
      <c r="K1136" s="5"/>
    </row>
    <row r="1137" spans="6:11" x14ac:dyDescent="0.25">
      <c r="F1137" s="12"/>
      <c r="K1137" s="5"/>
    </row>
    <row r="1138" spans="6:11" x14ac:dyDescent="0.25">
      <c r="F1138" s="12"/>
      <c r="K1138" s="5"/>
    </row>
    <row r="1139" spans="6:11" x14ac:dyDescent="0.25">
      <c r="F1139" s="12"/>
      <c r="K1139" s="5"/>
    </row>
    <row r="1140" spans="6:11" x14ac:dyDescent="0.25">
      <c r="F1140" s="12"/>
      <c r="K1140" s="5"/>
    </row>
    <row r="1141" spans="6:11" x14ac:dyDescent="0.25">
      <c r="F1141" s="12"/>
      <c r="K1141" s="5"/>
    </row>
    <row r="1142" spans="6:11" x14ac:dyDescent="0.25">
      <c r="F1142" s="12"/>
      <c r="K1142" s="5"/>
    </row>
    <row r="1143" spans="6:11" x14ac:dyDescent="0.25">
      <c r="F1143" s="12"/>
      <c r="K1143" s="5"/>
    </row>
    <row r="1144" spans="6:11" x14ac:dyDescent="0.25">
      <c r="F1144" s="12"/>
      <c r="K1144" s="5"/>
    </row>
    <row r="1145" spans="6:11" x14ac:dyDescent="0.25">
      <c r="F1145" s="12"/>
      <c r="K1145" s="5"/>
    </row>
    <row r="1146" spans="6:11" x14ac:dyDescent="0.25">
      <c r="F1146" s="12"/>
      <c r="K1146" s="5"/>
    </row>
    <row r="1147" spans="6:11" x14ac:dyDescent="0.25">
      <c r="F1147" s="12"/>
      <c r="K1147" s="5"/>
    </row>
    <row r="1148" spans="6:11" x14ac:dyDescent="0.25">
      <c r="F1148" s="12"/>
      <c r="K1148" s="5"/>
    </row>
    <row r="1149" spans="6:11" x14ac:dyDescent="0.25">
      <c r="F1149" s="12"/>
      <c r="K1149" s="5"/>
    </row>
    <row r="1150" spans="6:11" x14ac:dyDescent="0.25">
      <c r="F1150" s="12"/>
      <c r="K1150" s="5"/>
    </row>
    <row r="1151" spans="6:11" x14ac:dyDescent="0.25">
      <c r="F1151" s="12"/>
      <c r="K1151" s="5"/>
    </row>
    <row r="1152" spans="6:11" x14ac:dyDescent="0.25">
      <c r="F1152" s="12"/>
      <c r="K1152" s="5"/>
    </row>
    <row r="1153" spans="6:11" x14ac:dyDescent="0.25">
      <c r="F1153" s="12"/>
      <c r="K1153" s="5"/>
    </row>
    <row r="1154" spans="6:11" x14ac:dyDescent="0.25">
      <c r="F1154" s="12"/>
      <c r="K1154" s="5"/>
    </row>
    <row r="1155" spans="6:11" x14ac:dyDescent="0.25">
      <c r="F1155" s="12"/>
      <c r="K1155" s="5"/>
    </row>
    <row r="1156" spans="6:11" x14ac:dyDescent="0.25">
      <c r="F1156" s="12"/>
      <c r="K1156" s="5"/>
    </row>
    <row r="1157" spans="6:11" x14ac:dyDescent="0.25">
      <c r="F1157" s="12"/>
      <c r="K1157" s="5"/>
    </row>
    <row r="1158" spans="6:11" x14ac:dyDescent="0.25">
      <c r="F1158" s="12"/>
      <c r="K1158" s="5"/>
    </row>
    <row r="1159" spans="6:11" x14ac:dyDescent="0.25">
      <c r="F1159" s="12"/>
      <c r="K1159" s="5"/>
    </row>
    <row r="1160" spans="6:11" x14ac:dyDescent="0.25">
      <c r="F1160" s="12"/>
      <c r="K1160" s="5"/>
    </row>
    <row r="1161" spans="6:11" x14ac:dyDescent="0.25">
      <c r="F1161" s="12"/>
      <c r="K1161" s="5"/>
    </row>
    <row r="1162" spans="6:11" x14ac:dyDescent="0.25">
      <c r="F1162" s="12"/>
      <c r="K1162" s="5"/>
    </row>
    <row r="1163" spans="6:11" x14ac:dyDescent="0.25">
      <c r="F1163" s="12"/>
      <c r="K1163" s="5"/>
    </row>
    <row r="1164" spans="6:11" x14ac:dyDescent="0.25">
      <c r="F1164" s="12"/>
      <c r="K1164" s="5"/>
    </row>
    <row r="1165" spans="6:11" x14ac:dyDescent="0.25">
      <c r="F1165" s="12"/>
      <c r="K1165" s="5"/>
    </row>
    <row r="1166" spans="6:11" x14ac:dyDescent="0.25">
      <c r="F1166" s="12"/>
      <c r="K1166" s="5"/>
    </row>
    <row r="1167" spans="6:11" x14ac:dyDescent="0.25">
      <c r="F1167" s="12"/>
      <c r="K1167" s="5"/>
    </row>
    <row r="1168" spans="6:11" x14ac:dyDescent="0.25">
      <c r="F1168" s="12"/>
      <c r="K1168" s="5"/>
    </row>
    <row r="1169" spans="6:11" x14ac:dyDescent="0.25">
      <c r="F1169" s="12"/>
      <c r="K1169" s="5"/>
    </row>
    <row r="1170" spans="6:11" x14ac:dyDescent="0.25">
      <c r="F1170" s="12"/>
      <c r="K1170" s="5"/>
    </row>
    <row r="1171" spans="6:11" x14ac:dyDescent="0.25">
      <c r="F1171" s="12"/>
      <c r="K1171" s="5"/>
    </row>
    <row r="1172" spans="6:11" x14ac:dyDescent="0.25">
      <c r="F1172" s="12"/>
      <c r="K1172" s="5"/>
    </row>
    <row r="1173" spans="6:11" x14ac:dyDescent="0.25">
      <c r="F1173" s="12"/>
      <c r="K1173" s="5"/>
    </row>
    <row r="1174" spans="6:11" x14ac:dyDescent="0.25">
      <c r="F1174" s="12"/>
      <c r="K1174" s="5"/>
    </row>
    <row r="1175" spans="6:11" x14ac:dyDescent="0.25">
      <c r="F1175" s="12"/>
      <c r="K1175" s="5"/>
    </row>
    <row r="1176" spans="6:11" x14ac:dyDescent="0.25">
      <c r="F1176" s="12"/>
      <c r="K1176" s="5"/>
    </row>
    <row r="1177" spans="6:11" x14ac:dyDescent="0.25">
      <c r="F1177" s="12"/>
      <c r="K1177" s="5"/>
    </row>
    <row r="1178" spans="6:11" x14ac:dyDescent="0.25">
      <c r="F1178" s="12"/>
      <c r="K1178" s="5"/>
    </row>
    <row r="1179" spans="6:11" x14ac:dyDescent="0.25">
      <c r="F1179" s="12"/>
      <c r="K1179" s="5"/>
    </row>
    <row r="1180" spans="6:11" x14ac:dyDescent="0.25">
      <c r="F1180" s="12"/>
      <c r="K1180" s="5"/>
    </row>
    <row r="1181" spans="6:11" x14ac:dyDescent="0.25">
      <c r="F1181" s="12"/>
      <c r="K1181" s="5"/>
    </row>
    <row r="1182" spans="6:11" x14ac:dyDescent="0.25">
      <c r="F1182" s="12"/>
      <c r="K1182" s="5"/>
    </row>
    <row r="1183" spans="6:11" x14ac:dyDescent="0.25">
      <c r="F1183" s="12"/>
      <c r="K1183" s="5"/>
    </row>
    <row r="1184" spans="6:11" x14ac:dyDescent="0.25">
      <c r="F1184" s="12"/>
      <c r="K1184" s="5"/>
    </row>
    <row r="1185" spans="6:11" x14ac:dyDescent="0.25">
      <c r="F1185" s="12"/>
      <c r="K1185" s="5"/>
    </row>
    <row r="1186" spans="6:11" x14ac:dyDescent="0.25">
      <c r="F1186" s="12"/>
      <c r="K1186" s="5"/>
    </row>
    <row r="1187" spans="6:11" x14ac:dyDescent="0.25">
      <c r="F1187" s="12"/>
      <c r="K1187" s="5"/>
    </row>
    <row r="1188" spans="6:11" x14ac:dyDescent="0.25">
      <c r="F1188" s="12"/>
      <c r="K1188" s="5"/>
    </row>
    <row r="1189" spans="6:11" x14ac:dyDescent="0.25">
      <c r="F1189" s="12"/>
      <c r="K1189" s="5"/>
    </row>
    <row r="1190" spans="6:11" x14ac:dyDescent="0.25">
      <c r="F1190" s="12"/>
      <c r="K1190" s="5"/>
    </row>
    <row r="1191" spans="6:11" x14ac:dyDescent="0.25">
      <c r="F1191" s="12"/>
      <c r="K1191" s="5"/>
    </row>
    <row r="1192" spans="6:11" x14ac:dyDescent="0.25">
      <c r="F1192" s="12"/>
      <c r="K1192" s="5"/>
    </row>
    <row r="1193" spans="6:11" x14ac:dyDescent="0.25">
      <c r="F1193" s="12"/>
      <c r="K1193" s="5"/>
    </row>
    <row r="1194" spans="6:11" x14ac:dyDescent="0.25">
      <c r="F1194" s="12"/>
      <c r="K1194" s="5"/>
    </row>
    <row r="1195" spans="6:11" x14ac:dyDescent="0.25">
      <c r="F1195" s="12"/>
      <c r="K1195" s="5"/>
    </row>
    <row r="1196" spans="6:11" x14ac:dyDescent="0.25">
      <c r="F1196" s="12"/>
      <c r="K1196" s="5"/>
    </row>
    <row r="1197" spans="6:11" x14ac:dyDescent="0.25">
      <c r="F1197" s="12"/>
      <c r="K1197" s="5"/>
    </row>
    <row r="1198" spans="6:11" x14ac:dyDescent="0.25">
      <c r="F1198" s="12"/>
      <c r="K1198" s="5"/>
    </row>
    <row r="1199" spans="6:11" x14ac:dyDescent="0.25">
      <c r="F1199" s="12"/>
      <c r="K1199" s="5"/>
    </row>
    <row r="1200" spans="6:11" x14ac:dyDescent="0.25">
      <c r="F1200" s="12"/>
      <c r="K1200" s="5"/>
    </row>
    <row r="1201" spans="6:11" x14ac:dyDescent="0.25">
      <c r="F1201" s="12"/>
      <c r="K1201" s="5"/>
    </row>
    <row r="1202" spans="6:11" x14ac:dyDescent="0.25">
      <c r="F1202" s="12"/>
      <c r="K1202" s="5"/>
    </row>
    <row r="1203" spans="6:11" x14ac:dyDescent="0.25">
      <c r="F1203" s="12"/>
      <c r="K1203" s="5"/>
    </row>
    <row r="1204" spans="6:11" x14ac:dyDescent="0.25">
      <c r="F1204" s="12"/>
      <c r="K1204" s="5"/>
    </row>
    <row r="1205" spans="6:11" x14ac:dyDescent="0.25">
      <c r="F1205" s="12"/>
      <c r="K1205" s="5"/>
    </row>
    <row r="1206" spans="6:11" x14ac:dyDescent="0.25">
      <c r="F1206" s="12"/>
      <c r="K1206" s="5"/>
    </row>
    <row r="1207" spans="6:11" x14ac:dyDescent="0.25">
      <c r="F1207" s="12"/>
      <c r="K1207" s="5"/>
    </row>
    <row r="1208" spans="6:11" x14ac:dyDescent="0.25">
      <c r="F1208" s="12"/>
      <c r="K1208" s="5"/>
    </row>
    <row r="1209" spans="6:11" x14ac:dyDescent="0.25">
      <c r="F1209" s="12"/>
      <c r="K1209" s="5"/>
    </row>
    <row r="1210" spans="6:11" x14ac:dyDescent="0.25">
      <c r="F1210" s="12"/>
      <c r="K1210" s="5"/>
    </row>
    <row r="1211" spans="6:11" x14ac:dyDescent="0.25">
      <c r="F1211" s="12"/>
      <c r="K1211" s="5"/>
    </row>
    <row r="1212" spans="6:11" x14ac:dyDescent="0.25">
      <c r="F1212" s="12"/>
      <c r="K1212" s="5"/>
    </row>
    <row r="1213" spans="6:11" x14ac:dyDescent="0.25">
      <c r="F1213" s="12"/>
      <c r="K1213" s="5"/>
    </row>
    <row r="1214" spans="6:11" x14ac:dyDescent="0.25">
      <c r="F1214" s="12"/>
      <c r="K1214" s="5"/>
    </row>
    <row r="1215" spans="6:11" x14ac:dyDescent="0.25">
      <c r="F1215" s="12"/>
      <c r="K1215" s="5"/>
    </row>
    <row r="1216" spans="6:11" x14ac:dyDescent="0.25">
      <c r="F1216" s="12"/>
      <c r="K1216" s="5"/>
    </row>
    <row r="1217" spans="6:11" x14ac:dyDescent="0.25">
      <c r="F1217" s="12"/>
      <c r="K1217" s="5"/>
    </row>
    <row r="1218" spans="6:11" x14ac:dyDescent="0.25">
      <c r="F1218" s="12"/>
      <c r="K1218" s="5"/>
    </row>
    <row r="1219" spans="6:11" x14ac:dyDescent="0.25">
      <c r="F1219" s="12"/>
      <c r="K1219" s="5"/>
    </row>
    <row r="1220" spans="6:11" x14ac:dyDescent="0.25">
      <c r="F1220" s="12"/>
      <c r="K1220" s="5"/>
    </row>
    <row r="1221" spans="6:11" x14ac:dyDescent="0.25">
      <c r="F1221" s="12"/>
      <c r="K1221" s="5"/>
    </row>
    <row r="1222" spans="6:11" x14ac:dyDescent="0.25">
      <c r="F1222" s="12"/>
      <c r="K1222" s="5"/>
    </row>
    <row r="1223" spans="6:11" x14ac:dyDescent="0.25">
      <c r="F1223" s="12"/>
      <c r="K1223" s="5"/>
    </row>
    <row r="1224" spans="6:11" x14ac:dyDescent="0.25">
      <c r="F1224" s="12"/>
      <c r="K1224" s="5"/>
    </row>
    <row r="1225" spans="6:11" x14ac:dyDescent="0.25">
      <c r="F1225" s="12"/>
      <c r="K1225" s="5"/>
    </row>
    <row r="1226" spans="6:11" x14ac:dyDescent="0.25">
      <c r="F1226" s="12"/>
      <c r="K1226" s="5"/>
    </row>
    <row r="1227" spans="6:11" x14ac:dyDescent="0.25">
      <c r="F1227" s="12"/>
      <c r="K1227" s="5"/>
    </row>
    <row r="1228" spans="6:11" x14ac:dyDescent="0.25">
      <c r="F1228" s="12"/>
      <c r="K1228" s="5"/>
    </row>
    <row r="1229" spans="6:11" x14ac:dyDescent="0.25">
      <c r="F1229" s="12"/>
      <c r="K1229" s="5"/>
    </row>
    <row r="1230" spans="6:11" x14ac:dyDescent="0.25">
      <c r="F1230" s="12"/>
      <c r="K1230" s="5"/>
    </row>
    <row r="1231" spans="6:11" x14ac:dyDescent="0.25">
      <c r="F1231" s="12"/>
      <c r="K1231" s="5"/>
    </row>
    <row r="1232" spans="6:11" x14ac:dyDescent="0.25">
      <c r="F1232" s="12"/>
      <c r="K1232" s="5"/>
    </row>
    <row r="1233" spans="6:11" x14ac:dyDescent="0.25">
      <c r="F1233" s="12"/>
      <c r="K1233" s="5"/>
    </row>
    <row r="1234" spans="6:11" x14ac:dyDescent="0.25">
      <c r="F1234" s="12"/>
      <c r="K1234" s="5"/>
    </row>
    <row r="1235" spans="6:11" x14ac:dyDescent="0.25">
      <c r="F1235" s="12"/>
      <c r="K1235" s="5"/>
    </row>
    <row r="1236" spans="6:11" x14ac:dyDescent="0.25">
      <c r="F1236" s="12"/>
      <c r="K1236" s="5"/>
    </row>
    <row r="1237" spans="6:11" x14ac:dyDescent="0.25">
      <c r="F1237" s="12"/>
      <c r="K1237" s="5"/>
    </row>
    <row r="1238" spans="6:11" x14ac:dyDescent="0.25">
      <c r="F1238" s="12"/>
      <c r="K1238" s="5"/>
    </row>
    <row r="1239" spans="6:11" x14ac:dyDescent="0.25">
      <c r="F1239" s="12"/>
      <c r="K1239" s="5"/>
    </row>
    <row r="1240" spans="6:11" x14ac:dyDescent="0.25">
      <c r="F1240" s="12"/>
      <c r="K1240" s="5"/>
    </row>
    <row r="1241" spans="6:11" x14ac:dyDescent="0.25">
      <c r="F1241" s="12"/>
      <c r="K1241" s="5"/>
    </row>
    <row r="1242" spans="6:11" x14ac:dyDescent="0.25">
      <c r="F1242" s="12"/>
      <c r="K1242" s="5"/>
    </row>
    <row r="1243" spans="6:11" x14ac:dyDescent="0.25">
      <c r="F1243" s="12"/>
      <c r="K1243" s="5"/>
    </row>
    <row r="1244" spans="6:11" x14ac:dyDescent="0.25">
      <c r="F1244" s="12"/>
      <c r="K1244" s="5"/>
    </row>
    <row r="1245" spans="6:11" x14ac:dyDescent="0.25">
      <c r="F1245" s="12"/>
      <c r="K1245" s="5"/>
    </row>
    <row r="1246" spans="6:11" x14ac:dyDescent="0.25">
      <c r="F1246" s="12"/>
      <c r="K1246" s="5"/>
    </row>
    <row r="1247" spans="6:11" x14ac:dyDescent="0.25">
      <c r="F1247" s="12"/>
      <c r="K1247" s="5"/>
    </row>
    <row r="1248" spans="6:11" x14ac:dyDescent="0.25">
      <c r="F1248" s="12"/>
      <c r="K1248" s="5"/>
    </row>
    <row r="1249" spans="6:11" x14ac:dyDescent="0.25">
      <c r="F1249" s="12"/>
      <c r="K1249" s="5"/>
    </row>
    <row r="1250" spans="6:11" x14ac:dyDescent="0.25">
      <c r="F1250" s="12"/>
      <c r="K1250" s="5"/>
    </row>
    <row r="1251" spans="6:11" x14ac:dyDescent="0.25">
      <c r="F1251" s="12"/>
      <c r="K1251" s="5"/>
    </row>
    <row r="1252" spans="6:11" x14ac:dyDescent="0.25">
      <c r="F1252" s="12"/>
      <c r="K1252" s="5"/>
    </row>
    <row r="1253" spans="6:11" x14ac:dyDescent="0.25">
      <c r="F1253" s="12"/>
      <c r="K1253" s="5"/>
    </row>
    <row r="1254" spans="6:11" x14ac:dyDescent="0.25">
      <c r="F1254" s="12"/>
      <c r="K1254" s="5"/>
    </row>
    <row r="1255" spans="6:11" x14ac:dyDescent="0.25">
      <c r="F1255" s="12"/>
      <c r="K1255" s="5"/>
    </row>
    <row r="1256" spans="6:11" x14ac:dyDescent="0.25">
      <c r="F1256" s="12"/>
      <c r="K1256" s="5"/>
    </row>
    <row r="1257" spans="6:11" x14ac:dyDescent="0.25">
      <c r="F1257" s="12"/>
      <c r="K1257" s="5"/>
    </row>
    <row r="1258" spans="6:11" x14ac:dyDescent="0.25">
      <c r="F1258" s="12"/>
      <c r="K1258" s="5"/>
    </row>
    <row r="1259" spans="6:11" x14ac:dyDescent="0.25">
      <c r="F1259" s="12"/>
      <c r="K1259" s="5"/>
    </row>
    <row r="1260" spans="6:11" x14ac:dyDescent="0.25">
      <c r="F1260" s="12"/>
      <c r="K1260" s="5"/>
    </row>
    <row r="1261" spans="6:11" x14ac:dyDescent="0.25">
      <c r="F1261" s="12"/>
      <c r="K1261" s="5"/>
    </row>
    <row r="1262" spans="6:11" x14ac:dyDescent="0.25">
      <c r="F1262" s="12"/>
      <c r="K1262" s="5"/>
    </row>
    <row r="1263" spans="6:11" x14ac:dyDescent="0.25">
      <c r="F1263" s="12"/>
      <c r="K1263" s="5"/>
    </row>
    <row r="1264" spans="6:11" x14ac:dyDescent="0.25">
      <c r="F1264" s="12"/>
      <c r="K1264" s="5"/>
    </row>
    <row r="1265" spans="6:11" x14ac:dyDescent="0.25">
      <c r="F1265" s="12"/>
      <c r="K1265" s="5"/>
    </row>
    <row r="1266" spans="6:11" x14ac:dyDescent="0.25">
      <c r="F1266" s="12"/>
      <c r="K1266" s="5"/>
    </row>
    <row r="1267" spans="6:11" x14ac:dyDescent="0.25">
      <c r="F1267" s="12"/>
      <c r="K1267" s="5"/>
    </row>
    <row r="1268" spans="6:11" x14ac:dyDescent="0.25">
      <c r="F1268" s="12"/>
      <c r="K1268" s="5"/>
    </row>
    <row r="1269" spans="6:11" x14ac:dyDescent="0.25">
      <c r="F1269" s="12"/>
      <c r="K1269" s="5"/>
    </row>
    <row r="1270" spans="6:11" x14ac:dyDescent="0.25">
      <c r="F1270" s="12"/>
      <c r="K1270" s="5"/>
    </row>
    <row r="1271" spans="6:11" x14ac:dyDescent="0.25">
      <c r="F1271" s="12"/>
      <c r="K1271" s="5"/>
    </row>
    <row r="1272" spans="6:11" x14ac:dyDescent="0.25">
      <c r="F1272" s="12"/>
      <c r="K1272" s="5"/>
    </row>
    <row r="1273" spans="6:11" x14ac:dyDescent="0.25">
      <c r="F1273" s="12"/>
      <c r="K1273" s="5"/>
    </row>
    <row r="1274" spans="6:11" x14ac:dyDescent="0.25">
      <c r="F1274" s="12"/>
      <c r="K1274" s="5"/>
    </row>
    <row r="1275" spans="6:11" x14ac:dyDescent="0.25">
      <c r="F1275" s="12"/>
      <c r="K1275" s="5"/>
    </row>
    <row r="1276" spans="6:11" x14ac:dyDescent="0.25">
      <c r="F1276" s="12"/>
      <c r="K1276" s="5"/>
    </row>
    <row r="1277" spans="6:11" x14ac:dyDescent="0.25">
      <c r="F1277" s="12"/>
      <c r="K1277" s="5"/>
    </row>
    <row r="1278" spans="6:11" x14ac:dyDescent="0.25">
      <c r="F1278" s="12"/>
      <c r="K1278" s="5"/>
    </row>
    <row r="1279" spans="6:11" x14ac:dyDescent="0.25">
      <c r="F1279" s="12"/>
      <c r="K1279" s="5"/>
    </row>
    <row r="1280" spans="6:11" x14ac:dyDescent="0.25">
      <c r="F1280" s="12"/>
      <c r="K1280" s="5"/>
    </row>
    <row r="1281" spans="6:11" x14ac:dyDescent="0.25">
      <c r="F1281" s="12"/>
      <c r="K1281" s="5"/>
    </row>
    <row r="1282" spans="6:11" x14ac:dyDescent="0.25">
      <c r="F1282" s="12"/>
      <c r="K1282" s="5"/>
    </row>
    <row r="1283" spans="6:11" x14ac:dyDescent="0.25">
      <c r="F1283" s="12"/>
      <c r="K1283" s="5"/>
    </row>
    <row r="1284" spans="6:11" x14ac:dyDescent="0.25">
      <c r="F1284" s="12"/>
      <c r="K1284" s="5"/>
    </row>
    <row r="1285" spans="6:11" x14ac:dyDescent="0.25">
      <c r="F1285" s="12"/>
      <c r="K1285" s="5"/>
    </row>
    <row r="1286" spans="6:11" x14ac:dyDescent="0.25">
      <c r="F1286" s="12"/>
      <c r="K1286" s="5"/>
    </row>
    <row r="1287" spans="6:11" x14ac:dyDescent="0.25">
      <c r="F1287" s="12"/>
      <c r="K1287" s="5"/>
    </row>
    <row r="1288" spans="6:11" x14ac:dyDescent="0.25">
      <c r="F1288" s="12"/>
      <c r="K1288" s="5"/>
    </row>
    <row r="1289" spans="6:11" x14ac:dyDescent="0.25">
      <c r="F1289" s="12"/>
      <c r="K1289" s="5"/>
    </row>
    <row r="1290" spans="6:11" x14ac:dyDescent="0.25">
      <c r="F1290" s="12"/>
      <c r="K1290" s="5"/>
    </row>
    <row r="1291" spans="6:11" x14ac:dyDescent="0.25">
      <c r="F1291" s="12"/>
      <c r="K1291" s="5"/>
    </row>
    <row r="1292" spans="6:11" x14ac:dyDescent="0.25">
      <c r="F1292" s="12"/>
      <c r="K1292" s="5"/>
    </row>
    <row r="1293" spans="6:11" x14ac:dyDescent="0.25">
      <c r="F1293" s="12"/>
      <c r="K1293" s="5"/>
    </row>
    <row r="1294" spans="6:11" x14ac:dyDescent="0.25">
      <c r="F1294" s="12"/>
      <c r="K1294" s="5"/>
    </row>
    <row r="1295" spans="6:11" x14ac:dyDescent="0.25">
      <c r="F1295" s="12"/>
      <c r="K1295" s="5"/>
    </row>
    <row r="1296" spans="6:11" x14ac:dyDescent="0.25">
      <c r="F1296" s="12"/>
      <c r="K1296" s="5"/>
    </row>
    <row r="1297" spans="6:11" x14ac:dyDescent="0.25">
      <c r="F1297" s="12"/>
      <c r="K1297" s="5"/>
    </row>
    <row r="1298" spans="6:11" x14ac:dyDescent="0.25">
      <c r="F1298" s="12"/>
      <c r="K1298" s="5"/>
    </row>
    <row r="1299" spans="6:11" x14ac:dyDescent="0.25">
      <c r="F1299" s="12"/>
      <c r="K1299" s="5"/>
    </row>
    <row r="1300" spans="6:11" x14ac:dyDescent="0.25">
      <c r="F1300" s="12"/>
      <c r="K1300" s="5"/>
    </row>
    <row r="1301" spans="6:11" x14ac:dyDescent="0.25">
      <c r="F1301" s="12"/>
      <c r="K1301" s="5"/>
    </row>
    <row r="1302" spans="6:11" x14ac:dyDescent="0.25">
      <c r="F1302" s="12"/>
      <c r="K1302" s="5"/>
    </row>
    <row r="1303" spans="6:11" x14ac:dyDescent="0.25">
      <c r="F1303" s="12"/>
      <c r="K1303" s="5"/>
    </row>
    <row r="1304" spans="6:11" x14ac:dyDescent="0.25">
      <c r="F1304" s="12"/>
      <c r="K1304" s="5"/>
    </row>
    <row r="1305" spans="6:11" x14ac:dyDescent="0.25">
      <c r="F1305" s="12"/>
      <c r="K1305" s="5"/>
    </row>
    <row r="1306" spans="6:11" x14ac:dyDescent="0.25">
      <c r="F1306" s="12"/>
      <c r="K1306" s="5"/>
    </row>
    <row r="1307" spans="6:11" x14ac:dyDescent="0.25">
      <c r="F1307" s="12"/>
      <c r="K1307" s="5"/>
    </row>
    <row r="1308" spans="6:11" x14ac:dyDescent="0.25">
      <c r="F1308" s="12"/>
      <c r="K1308" s="5"/>
    </row>
    <row r="1309" spans="6:11" x14ac:dyDescent="0.25">
      <c r="F1309" s="12"/>
      <c r="K1309" s="5"/>
    </row>
    <row r="1310" spans="6:11" x14ac:dyDescent="0.25">
      <c r="F1310" s="12"/>
      <c r="K1310" s="5"/>
    </row>
    <row r="1311" spans="6:11" x14ac:dyDescent="0.25">
      <c r="F1311" s="12"/>
      <c r="K1311" s="5"/>
    </row>
    <row r="1312" spans="6:11" x14ac:dyDescent="0.25">
      <c r="F1312" s="12"/>
      <c r="K1312" s="5"/>
    </row>
    <row r="1313" spans="6:11" x14ac:dyDescent="0.25">
      <c r="F1313" s="12"/>
      <c r="K1313" s="5"/>
    </row>
    <row r="1314" spans="6:11" x14ac:dyDescent="0.25">
      <c r="F1314" s="12"/>
      <c r="K1314" s="5"/>
    </row>
    <row r="1315" spans="6:11" x14ac:dyDescent="0.25">
      <c r="F1315" s="12"/>
      <c r="K1315" s="5"/>
    </row>
    <row r="1316" spans="6:11" x14ac:dyDescent="0.25">
      <c r="F1316" s="12"/>
      <c r="K1316" s="5"/>
    </row>
    <row r="1317" spans="6:11" x14ac:dyDescent="0.25">
      <c r="F1317" s="12"/>
      <c r="K1317" s="5"/>
    </row>
    <row r="1318" spans="6:11" x14ac:dyDescent="0.25">
      <c r="F1318" s="12"/>
      <c r="K1318" s="5"/>
    </row>
    <row r="1319" spans="6:11" x14ac:dyDescent="0.25">
      <c r="F1319" s="12"/>
      <c r="K1319" s="5"/>
    </row>
    <row r="1320" spans="6:11" x14ac:dyDescent="0.25">
      <c r="F1320" s="12"/>
      <c r="K1320" s="5"/>
    </row>
    <row r="1321" spans="6:11" x14ac:dyDescent="0.25">
      <c r="F1321" s="12"/>
      <c r="K1321" s="5"/>
    </row>
    <row r="1322" spans="6:11" x14ac:dyDescent="0.25">
      <c r="F1322" s="12"/>
      <c r="K1322" s="5"/>
    </row>
    <row r="1323" spans="6:11" x14ac:dyDescent="0.25">
      <c r="F1323" s="12"/>
      <c r="K1323" s="5"/>
    </row>
    <row r="1324" spans="6:11" x14ac:dyDescent="0.25">
      <c r="F1324" s="12"/>
      <c r="K1324" s="5"/>
    </row>
    <row r="1325" spans="6:11" x14ac:dyDescent="0.25">
      <c r="F1325" s="12"/>
      <c r="K1325" s="5"/>
    </row>
    <row r="1326" spans="6:11" x14ac:dyDescent="0.25">
      <c r="F1326" s="12"/>
      <c r="K1326" s="5"/>
    </row>
    <row r="1327" spans="6:11" x14ac:dyDescent="0.25">
      <c r="F1327" s="12"/>
      <c r="K1327" s="5"/>
    </row>
    <row r="1328" spans="6:11" x14ac:dyDescent="0.25">
      <c r="F1328" s="12"/>
      <c r="K1328" s="5"/>
    </row>
    <row r="1329" spans="6:11" x14ac:dyDescent="0.25">
      <c r="F1329" s="12"/>
      <c r="K1329" s="5"/>
    </row>
    <row r="1330" spans="6:11" x14ac:dyDescent="0.25">
      <c r="F1330" s="12"/>
      <c r="K1330" s="5"/>
    </row>
    <row r="1331" spans="6:11" x14ac:dyDescent="0.25">
      <c r="F1331" s="12"/>
      <c r="K1331" s="5"/>
    </row>
    <row r="1332" spans="6:11" x14ac:dyDescent="0.25">
      <c r="F1332" s="12"/>
      <c r="K1332" s="5"/>
    </row>
    <row r="1333" spans="6:11" x14ac:dyDescent="0.25">
      <c r="F1333" s="12"/>
      <c r="K1333" s="5"/>
    </row>
    <row r="1334" spans="6:11" x14ac:dyDescent="0.25">
      <c r="F1334" s="12"/>
      <c r="K1334" s="5"/>
    </row>
    <row r="1335" spans="6:11" x14ac:dyDescent="0.25">
      <c r="F1335" s="12"/>
      <c r="K1335" s="5"/>
    </row>
    <row r="1336" spans="6:11" x14ac:dyDescent="0.25">
      <c r="F1336" s="12"/>
      <c r="K1336" s="5"/>
    </row>
    <row r="1337" spans="6:11" x14ac:dyDescent="0.25">
      <c r="F1337" s="12"/>
      <c r="K1337" s="5"/>
    </row>
    <row r="1338" spans="6:11" x14ac:dyDescent="0.25">
      <c r="F1338" s="12"/>
      <c r="K1338" s="5"/>
    </row>
    <row r="1339" spans="6:11" x14ac:dyDescent="0.25">
      <c r="F1339" s="12"/>
      <c r="K1339" s="5"/>
    </row>
    <row r="1340" spans="6:11" x14ac:dyDescent="0.25">
      <c r="F1340" s="12"/>
      <c r="K1340" s="5"/>
    </row>
    <row r="1341" spans="6:11" x14ac:dyDescent="0.25">
      <c r="F1341" s="12"/>
      <c r="K1341" s="5"/>
    </row>
    <row r="1342" spans="6:11" x14ac:dyDescent="0.25">
      <c r="F1342" s="12"/>
      <c r="K1342" s="5"/>
    </row>
    <row r="1343" spans="6:11" x14ac:dyDescent="0.25">
      <c r="F1343" s="12"/>
      <c r="K1343" s="5"/>
    </row>
    <row r="1344" spans="6:11" x14ac:dyDescent="0.25">
      <c r="F1344" s="12"/>
      <c r="K1344" s="5"/>
    </row>
    <row r="1345" spans="6:11" x14ac:dyDescent="0.25">
      <c r="F1345" s="12"/>
      <c r="K1345" s="5"/>
    </row>
    <row r="1346" spans="6:11" x14ac:dyDescent="0.25">
      <c r="F1346" s="12"/>
      <c r="K1346" s="5"/>
    </row>
    <row r="1347" spans="6:11" x14ac:dyDescent="0.25">
      <c r="F1347" s="12"/>
      <c r="K1347" s="5"/>
    </row>
    <row r="1348" spans="6:11" x14ac:dyDescent="0.25">
      <c r="F1348" s="12"/>
      <c r="K1348" s="5"/>
    </row>
    <row r="1349" spans="6:11" x14ac:dyDescent="0.25">
      <c r="F1349" s="12"/>
      <c r="K1349" s="5"/>
    </row>
    <row r="1350" spans="6:11" x14ac:dyDescent="0.25">
      <c r="F1350" s="12"/>
      <c r="K1350" s="5"/>
    </row>
    <row r="1351" spans="6:11" x14ac:dyDescent="0.25">
      <c r="F1351" s="12"/>
      <c r="K1351" s="5"/>
    </row>
    <row r="1352" spans="6:11" x14ac:dyDescent="0.25">
      <c r="F1352" s="12"/>
      <c r="K1352" s="5"/>
    </row>
    <row r="1353" spans="6:11" x14ac:dyDescent="0.25">
      <c r="F1353" s="12"/>
      <c r="K1353" s="5"/>
    </row>
    <row r="1354" spans="6:11" x14ac:dyDescent="0.25">
      <c r="F1354" s="12"/>
      <c r="K1354" s="5"/>
    </row>
    <row r="1355" spans="6:11" x14ac:dyDescent="0.25">
      <c r="F1355" s="12"/>
      <c r="K1355" s="5"/>
    </row>
    <row r="1356" spans="6:11" x14ac:dyDescent="0.25">
      <c r="F1356" s="12"/>
      <c r="K1356" s="5"/>
    </row>
    <row r="1357" spans="6:11" x14ac:dyDescent="0.25">
      <c r="F1357" s="12"/>
      <c r="K1357" s="5"/>
    </row>
    <row r="1358" spans="6:11" x14ac:dyDescent="0.25">
      <c r="F1358" s="12"/>
      <c r="K1358" s="5"/>
    </row>
    <row r="1359" spans="6:11" x14ac:dyDescent="0.25">
      <c r="F1359" s="12"/>
      <c r="K1359" s="5"/>
    </row>
    <row r="1360" spans="6:11" x14ac:dyDescent="0.25">
      <c r="F1360" s="12"/>
      <c r="K1360" s="5"/>
    </row>
    <row r="1361" spans="6:11" x14ac:dyDescent="0.25">
      <c r="F1361" s="12"/>
      <c r="K1361" s="5"/>
    </row>
    <row r="1362" spans="6:11" x14ac:dyDescent="0.25">
      <c r="F1362" s="12"/>
      <c r="K1362" s="5"/>
    </row>
    <row r="1363" spans="6:11" x14ac:dyDescent="0.25">
      <c r="F1363" s="12"/>
      <c r="K1363" s="5"/>
    </row>
    <row r="1364" spans="6:11" x14ac:dyDescent="0.25">
      <c r="F1364" s="12"/>
      <c r="K1364" s="5"/>
    </row>
    <row r="1365" spans="6:11" x14ac:dyDescent="0.25">
      <c r="F1365" s="12"/>
      <c r="K1365" s="5"/>
    </row>
    <row r="1366" spans="6:11" x14ac:dyDescent="0.25">
      <c r="F1366" s="12"/>
      <c r="K1366" s="5"/>
    </row>
    <row r="1367" spans="6:11" x14ac:dyDescent="0.25">
      <c r="F1367" s="12"/>
      <c r="K1367" s="5"/>
    </row>
    <row r="1368" spans="6:11" x14ac:dyDescent="0.25">
      <c r="F1368" s="12"/>
      <c r="K1368" s="5"/>
    </row>
    <row r="1369" spans="6:11" x14ac:dyDescent="0.25">
      <c r="F1369" s="12"/>
      <c r="K1369" s="5"/>
    </row>
    <row r="1370" spans="6:11" x14ac:dyDescent="0.25">
      <c r="F1370" s="12"/>
      <c r="K1370" s="5"/>
    </row>
    <row r="1371" spans="6:11" x14ac:dyDescent="0.25">
      <c r="F1371" s="12"/>
      <c r="K1371" s="5"/>
    </row>
    <row r="1372" spans="6:11" x14ac:dyDescent="0.25">
      <c r="F1372" s="12"/>
      <c r="K1372" s="5"/>
    </row>
    <row r="1373" spans="6:11" x14ac:dyDescent="0.25">
      <c r="F1373" s="12"/>
      <c r="K1373" s="5"/>
    </row>
    <row r="1374" spans="6:11" x14ac:dyDescent="0.25">
      <c r="F1374" s="12"/>
      <c r="K1374" s="5"/>
    </row>
    <row r="1375" spans="6:11" x14ac:dyDescent="0.25">
      <c r="F1375" s="12"/>
      <c r="K1375" s="5"/>
    </row>
    <row r="1376" spans="6:11" x14ac:dyDescent="0.25">
      <c r="F1376" s="12"/>
      <c r="K1376" s="5"/>
    </row>
    <row r="1377" spans="6:11" x14ac:dyDescent="0.25">
      <c r="F1377" s="12"/>
      <c r="K1377" s="5"/>
    </row>
    <row r="1378" spans="6:11" x14ac:dyDescent="0.25">
      <c r="F1378" s="12"/>
      <c r="K1378" s="5"/>
    </row>
    <row r="1379" spans="6:11" x14ac:dyDescent="0.25">
      <c r="F1379" s="12"/>
      <c r="K1379" s="5"/>
    </row>
    <row r="1380" spans="6:11" x14ac:dyDescent="0.25">
      <c r="F1380" s="12"/>
      <c r="K1380" s="5"/>
    </row>
    <row r="1381" spans="6:11" x14ac:dyDescent="0.25">
      <c r="F1381" s="12"/>
      <c r="K1381" s="5"/>
    </row>
    <row r="1382" spans="6:11" x14ac:dyDescent="0.25">
      <c r="F1382" s="12"/>
      <c r="K1382" s="5"/>
    </row>
    <row r="1383" spans="6:11" x14ac:dyDescent="0.25">
      <c r="F1383" s="12"/>
      <c r="K1383" s="5"/>
    </row>
    <row r="1384" spans="6:11" x14ac:dyDescent="0.25">
      <c r="F1384" s="12"/>
      <c r="K1384" s="5"/>
    </row>
    <row r="1385" spans="6:11" x14ac:dyDescent="0.25">
      <c r="F1385" s="12"/>
      <c r="K1385" s="5"/>
    </row>
    <row r="1386" spans="6:11" x14ac:dyDescent="0.25">
      <c r="F1386" s="12"/>
      <c r="K1386" s="5"/>
    </row>
    <row r="1387" spans="6:11" x14ac:dyDescent="0.25">
      <c r="F1387" s="12"/>
      <c r="K1387" s="5"/>
    </row>
    <row r="1388" spans="6:11" x14ac:dyDescent="0.25">
      <c r="F1388" s="12"/>
      <c r="K1388" s="5"/>
    </row>
    <row r="1389" spans="6:11" x14ac:dyDescent="0.25">
      <c r="F1389" s="12"/>
      <c r="K1389" s="5"/>
    </row>
    <row r="1390" spans="6:11" x14ac:dyDescent="0.25">
      <c r="F1390" s="12"/>
      <c r="K1390" s="5"/>
    </row>
    <row r="1391" spans="6:11" x14ac:dyDescent="0.25">
      <c r="F1391" s="12"/>
      <c r="K1391" s="5"/>
    </row>
    <row r="1392" spans="6:11" x14ac:dyDescent="0.25">
      <c r="F1392" s="12"/>
      <c r="K1392" s="5"/>
    </row>
    <row r="1393" spans="6:11" x14ac:dyDescent="0.25">
      <c r="F1393" s="12"/>
      <c r="K1393" s="5"/>
    </row>
    <row r="1394" spans="6:11" x14ac:dyDescent="0.25">
      <c r="F1394" s="12"/>
      <c r="K1394" s="5"/>
    </row>
    <row r="1395" spans="6:11" x14ac:dyDescent="0.25">
      <c r="F1395" s="12"/>
      <c r="K1395" s="5"/>
    </row>
    <row r="1396" spans="6:11" x14ac:dyDescent="0.25">
      <c r="F1396" s="12"/>
      <c r="K1396" s="5"/>
    </row>
    <row r="1397" spans="6:11" x14ac:dyDescent="0.25">
      <c r="F1397" s="12"/>
      <c r="K1397" s="5"/>
    </row>
    <row r="1398" spans="6:11" x14ac:dyDescent="0.25">
      <c r="F1398" s="12"/>
      <c r="K1398" s="5"/>
    </row>
    <row r="1399" spans="6:11" x14ac:dyDescent="0.25">
      <c r="F1399" s="12"/>
      <c r="K1399" s="5"/>
    </row>
    <row r="1400" spans="6:11" x14ac:dyDescent="0.25">
      <c r="F1400" s="12"/>
      <c r="K1400" s="5"/>
    </row>
    <row r="1401" spans="6:11" x14ac:dyDescent="0.25">
      <c r="F1401" s="12"/>
      <c r="K1401" s="5"/>
    </row>
    <row r="1402" spans="6:11" x14ac:dyDescent="0.25">
      <c r="F1402" s="12"/>
      <c r="K1402" s="5"/>
    </row>
    <row r="1403" spans="6:11" x14ac:dyDescent="0.25">
      <c r="F1403" s="12"/>
      <c r="K1403" s="5"/>
    </row>
    <row r="1404" spans="6:11" x14ac:dyDescent="0.25">
      <c r="F1404" s="12"/>
      <c r="K1404" s="5"/>
    </row>
    <row r="1405" spans="6:11" x14ac:dyDescent="0.25">
      <c r="F1405" s="12"/>
      <c r="K1405" s="5"/>
    </row>
    <row r="1406" spans="6:11" x14ac:dyDescent="0.25">
      <c r="F1406" s="12"/>
      <c r="K1406" s="5"/>
    </row>
    <row r="1407" spans="6:11" x14ac:dyDescent="0.25">
      <c r="F1407" s="12"/>
      <c r="K1407" s="5"/>
    </row>
    <row r="1408" spans="6:11" x14ac:dyDescent="0.25">
      <c r="F1408" s="12"/>
      <c r="K1408" s="5"/>
    </row>
    <row r="1409" spans="6:11" x14ac:dyDescent="0.25">
      <c r="F1409" s="12"/>
      <c r="K1409" s="5"/>
    </row>
    <row r="1410" spans="6:11" x14ac:dyDescent="0.25">
      <c r="F1410" s="12"/>
      <c r="K1410" s="5"/>
    </row>
    <row r="1411" spans="6:11" x14ac:dyDescent="0.25">
      <c r="F1411" s="12"/>
      <c r="K1411" s="5"/>
    </row>
    <row r="1412" spans="6:11" x14ac:dyDescent="0.25">
      <c r="F1412" s="12"/>
      <c r="K1412" s="5"/>
    </row>
    <row r="1413" spans="6:11" x14ac:dyDescent="0.25">
      <c r="F1413" s="12"/>
      <c r="K1413" s="5"/>
    </row>
    <row r="1414" spans="6:11" x14ac:dyDescent="0.25">
      <c r="F1414" s="12"/>
      <c r="K1414" s="5"/>
    </row>
    <row r="1415" spans="6:11" x14ac:dyDescent="0.25">
      <c r="F1415" s="12"/>
      <c r="K1415" s="5"/>
    </row>
    <row r="1416" spans="6:11" x14ac:dyDescent="0.25">
      <c r="F1416" s="12"/>
      <c r="K1416" s="5"/>
    </row>
    <row r="1417" spans="6:11" x14ac:dyDescent="0.25">
      <c r="F1417" s="12"/>
      <c r="K1417" s="5"/>
    </row>
    <row r="1418" spans="6:11" x14ac:dyDescent="0.25">
      <c r="F1418" s="12"/>
      <c r="K1418" s="5"/>
    </row>
    <row r="1419" spans="6:11" x14ac:dyDescent="0.25">
      <c r="F1419" s="12"/>
      <c r="K1419" s="5"/>
    </row>
    <row r="1420" spans="6:11" x14ac:dyDescent="0.25">
      <c r="F1420" s="12"/>
      <c r="K1420" s="5"/>
    </row>
    <row r="1421" spans="6:11" x14ac:dyDescent="0.25">
      <c r="F1421" s="12"/>
      <c r="K1421" s="5"/>
    </row>
    <row r="1422" spans="6:11" x14ac:dyDescent="0.25">
      <c r="F1422" s="12"/>
      <c r="K1422" s="5"/>
    </row>
    <row r="1423" spans="6:11" x14ac:dyDescent="0.25">
      <c r="F1423" s="12"/>
      <c r="K1423" s="5"/>
    </row>
    <row r="1424" spans="6:11" x14ac:dyDescent="0.25">
      <c r="F1424" s="12"/>
      <c r="K1424" s="5"/>
    </row>
    <row r="1425" spans="6:11" x14ac:dyDescent="0.25">
      <c r="F1425" s="12"/>
      <c r="K1425" s="5"/>
    </row>
    <row r="1426" spans="6:11" x14ac:dyDescent="0.25">
      <c r="F1426" s="12"/>
      <c r="K1426" s="5"/>
    </row>
    <row r="1427" spans="6:11" x14ac:dyDescent="0.25">
      <c r="F1427" s="12"/>
      <c r="K1427" s="5"/>
    </row>
    <row r="1428" spans="6:11" x14ac:dyDescent="0.25">
      <c r="F1428" s="12"/>
      <c r="K1428" s="5"/>
    </row>
    <row r="1429" spans="6:11" x14ac:dyDescent="0.25">
      <c r="F1429" s="12"/>
      <c r="K1429" s="5"/>
    </row>
    <row r="1430" spans="6:11" x14ac:dyDescent="0.25">
      <c r="F1430" s="12"/>
      <c r="K1430" s="5"/>
    </row>
    <row r="1431" spans="6:11" x14ac:dyDescent="0.25">
      <c r="F1431" s="12"/>
      <c r="K1431" s="5"/>
    </row>
    <row r="1432" spans="6:11" x14ac:dyDescent="0.25">
      <c r="F1432" s="12"/>
      <c r="K1432" s="5"/>
    </row>
    <row r="1433" spans="6:11" x14ac:dyDescent="0.25">
      <c r="F1433" s="12"/>
      <c r="K1433" s="5"/>
    </row>
    <row r="1434" spans="6:11" x14ac:dyDescent="0.25">
      <c r="F1434" s="12"/>
      <c r="K1434" s="5"/>
    </row>
    <row r="1435" spans="6:11" x14ac:dyDescent="0.25">
      <c r="F1435" s="12"/>
      <c r="K1435" s="5"/>
    </row>
    <row r="1436" spans="6:11" x14ac:dyDescent="0.25">
      <c r="F1436" s="12"/>
      <c r="K1436" s="5"/>
    </row>
    <row r="1437" spans="6:11" x14ac:dyDescent="0.25">
      <c r="F1437" s="12"/>
      <c r="K1437" s="5"/>
    </row>
    <row r="1438" spans="6:11" x14ac:dyDescent="0.25">
      <c r="F1438" s="12"/>
      <c r="K1438" s="5"/>
    </row>
    <row r="1439" spans="6:11" x14ac:dyDescent="0.25">
      <c r="F1439" s="12"/>
      <c r="K1439" s="5"/>
    </row>
    <row r="1440" spans="6:11" x14ac:dyDescent="0.25">
      <c r="F1440" s="12"/>
      <c r="K1440" s="5"/>
    </row>
    <row r="1441" spans="6:11" x14ac:dyDescent="0.25">
      <c r="F1441" s="12"/>
      <c r="K1441" s="5"/>
    </row>
    <row r="1442" spans="6:11" x14ac:dyDescent="0.25">
      <c r="F1442" s="12"/>
      <c r="K1442" s="5"/>
    </row>
    <row r="1443" spans="6:11" x14ac:dyDescent="0.25">
      <c r="F1443" s="12"/>
      <c r="K1443" s="5"/>
    </row>
    <row r="1444" spans="6:11" x14ac:dyDescent="0.25">
      <c r="F1444" s="12"/>
      <c r="K1444" s="5"/>
    </row>
    <row r="1445" spans="6:11" x14ac:dyDescent="0.25">
      <c r="F1445" s="12"/>
      <c r="K1445" s="5"/>
    </row>
    <row r="1446" spans="6:11" x14ac:dyDescent="0.25">
      <c r="F1446" s="12"/>
      <c r="K1446" s="5"/>
    </row>
    <row r="1447" spans="6:11" x14ac:dyDescent="0.25">
      <c r="F1447" s="12"/>
      <c r="K1447" s="5"/>
    </row>
    <row r="1448" spans="6:11" x14ac:dyDescent="0.25">
      <c r="F1448" s="12"/>
      <c r="K1448" s="5"/>
    </row>
    <row r="1449" spans="6:11" x14ac:dyDescent="0.25">
      <c r="F1449" s="12"/>
      <c r="K1449" s="5"/>
    </row>
    <row r="1450" spans="6:11" x14ac:dyDescent="0.25">
      <c r="F1450" s="12"/>
      <c r="K1450" s="5"/>
    </row>
    <row r="1451" spans="6:11" x14ac:dyDescent="0.25">
      <c r="F1451" s="12"/>
      <c r="K1451" s="5"/>
    </row>
    <row r="1452" spans="6:11" x14ac:dyDescent="0.25">
      <c r="F1452" s="12"/>
      <c r="K1452" s="5"/>
    </row>
    <row r="1453" spans="6:11" x14ac:dyDescent="0.25">
      <c r="F1453" s="12"/>
      <c r="K1453" s="5"/>
    </row>
    <row r="1454" spans="6:11" x14ac:dyDescent="0.25">
      <c r="F1454" s="12"/>
      <c r="K1454" s="5"/>
    </row>
    <row r="1455" spans="6:11" x14ac:dyDescent="0.25">
      <c r="F1455" s="12"/>
      <c r="K1455" s="5"/>
    </row>
    <row r="1456" spans="6:11" x14ac:dyDescent="0.25">
      <c r="F1456" s="12"/>
      <c r="K1456" s="5"/>
    </row>
    <row r="1457" spans="6:11" x14ac:dyDescent="0.25">
      <c r="F1457" s="12"/>
      <c r="K1457" s="5"/>
    </row>
    <row r="1458" spans="6:11" x14ac:dyDescent="0.25">
      <c r="F1458" s="12"/>
      <c r="K1458" s="5"/>
    </row>
    <row r="1459" spans="6:11" x14ac:dyDescent="0.25">
      <c r="F1459" s="12"/>
      <c r="K1459" s="5"/>
    </row>
    <row r="1460" spans="6:11" x14ac:dyDescent="0.25">
      <c r="F1460" s="12"/>
      <c r="K1460" s="5"/>
    </row>
    <row r="1461" spans="6:11" x14ac:dyDescent="0.25">
      <c r="F1461" s="12"/>
      <c r="K1461" s="5"/>
    </row>
    <row r="1462" spans="6:11" x14ac:dyDescent="0.25">
      <c r="F1462" s="12"/>
      <c r="K1462" s="5"/>
    </row>
    <row r="1463" spans="6:11" x14ac:dyDescent="0.25">
      <c r="F1463" s="12"/>
      <c r="K1463" s="5"/>
    </row>
    <row r="1464" spans="6:11" x14ac:dyDescent="0.25">
      <c r="F1464" s="12"/>
      <c r="K1464" s="5"/>
    </row>
    <row r="1465" spans="6:11" x14ac:dyDescent="0.25">
      <c r="F1465" s="12"/>
      <c r="K1465" s="5"/>
    </row>
    <row r="1466" spans="6:11" x14ac:dyDescent="0.25">
      <c r="F1466" s="12"/>
      <c r="K1466" s="5"/>
    </row>
    <row r="1467" spans="6:11" x14ac:dyDescent="0.25">
      <c r="F1467" s="12"/>
      <c r="K1467" s="5"/>
    </row>
    <row r="1468" spans="6:11" x14ac:dyDescent="0.25">
      <c r="F1468" s="12"/>
      <c r="K1468" s="5"/>
    </row>
    <row r="1469" spans="6:11" x14ac:dyDescent="0.25">
      <c r="F1469" s="12"/>
      <c r="K1469" s="5"/>
    </row>
    <row r="1470" spans="6:11" x14ac:dyDescent="0.25">
      <c r="F1470" s="12"/>
      <c r="K1470" s="5"/>
    </row>
    <row r="1471" spans="6:11" x14ac:dyDescent="0.25">
      <c r="F1471" s="12"/>
      <c r="K1471" s="5"/>
    </row>
    <row r="1472" spans="6:11" x14ac:dyDescent="0.25">
      <c r="F1472" s="12"/>
      <c r="K1472" s="5"/>
    </row>
    <row r="1473" spans="6:11" x14ac:dyDescent="0.25">
      <c r="F1473" s="12"/>
      <c r="K1473" s="5"/>
    </row>
    <row r="1474" spans="6:11" x14ac:dyDescent="0.25">
      <c r="F1474" s="12"/>
      <c r="K1474" s="5"/>
    </row>
    <row r="1475" spans="6:11" x14ac:dyDescent="0.25">
      <c r="F1475" s="12"/>
      <c r="K1475" s="5"/>
    </row>
    <row r="1476" spans="6:11" x14ac:dyDescent="0.25">
      <c r="F1476" s="12"/>
      <c r="K1476" s="5"/>
    </row>
    <row r="1477" spans="6:11" x14ac:dyDescent="0.25">
      <c r="F1477" s="12"/>
      <c r="K1477" s="5"/>
    </row>
    <row r="1478" spans="6:11" x14ac:dyDescent="0.25">
      <c r="F1478" s="12"/>
      <c r="K1478" s="5"/>
    </row>
    <row r="1479" spans="6:11" x14ac:dyDescent="0.25">
      <c r="F1479" s="12"/>
      <c r="K1479" s="5"/>
    </row>
    <row r="1480" spans="6:11" x14ac:dyDescent="0.25">
      <c r="F1480" s="12"/>
      <c r="K1480" s="5"/>
    </row>
    <row r="1481" spans="6:11" x14ac:dyDescent="0.25">
      <c r="F1481" s="12"/>
      <c r="K1481" s="5"/>
    </row>
    <row r="1482" spans="6:11" x14ac:dyDescent="0.25">
      <c r="F1482" s="12"/>
      <c r="K1482" s="5"/>
    </row>
    <row r="1483" spans="6:11" x14ac:dyDescent="0.25">
      <c r="F1483" s="12"/>
      <c r="K1483" s="5"/>
    </row>
    <row r="1484" spans="6:11" x14ac:dyDescent="0.25">
      <c r="F1484" s="12"/>
      <c r="K1484" s="5"/>
    </row>
    <row r="1485" spans="6:11" x14ac:dyDescent="0.25">
      <c r="F1485" s="12"/>
      <c r="K1485" s="5"/>
    </row>
    <row r="1486" spans="6:11" x14ac:dyDescent="0.25">
      <c r="F1486" s="12"/>
      <c r="K1486" s="5"/>
    </row>
    <row r="1487" spans="6:11" x14ac:dyDescent="0.25">
      <c r="F1487" s="12"/>
      <c r="K1487" s="5"/>
    </row>
    <row r="1488" spans="6:11" x14ac:dyDescent="0.25">
      <c r="F1488" s="12"/>
      <c r="K1488" s="5"/>
    </row>
    <row r="1489" spans="6:11" x14ac:dyDescent="0.25">
      <c r="F1489" s="12"/>
      <c r="K1489" s="5"/>
    </row>
    <row r="1490" spans="6:11" x14ac:dyDescent="0.25">
      <c r="F1490" s="12"/>
      <c r="K1490" s="5"/>
    </row>
    <row r="1491" spans="6:11" x14ac:dyDescent="0.25">
      <c r="F1491" s="12"/>
      <c r="K1491" s="5"/>
    </row>
    <row r="1492" spans="6:11" x14ac:dyDescent="0.25">
      <c r="F1492" s="12"/>
      <c r="K1492" s="5"/>
    </row>
    <row r="1493" spans="6:11" x14ac:dyDescent="0.25">
      <c r="F1493" s="12"/>
      <c r="K1493" s="5"/>
    </row>
    <row r="1494" spans="6:11" x14ac:dyDescent="0.25">
      <c r="F1494" s="12"/>
      <c r="K1494" s="5"/>
    </row>
    <row r="1495" spans="6:11" x14ac:dyDescent="0.25">
      <c r="F1495" s="12"/>
      <c r="K1495" s="5"/>
    </row>
    <row r="1496" spans="6:11" x14ac:dyDescent="0.25">
      <c r="F1496" s="12"/>
      <c r="K1496" s="5"/>
    </row>
    <row r="1497" spans="6:11" x14ac:dyDescent="0.25">
      <c r="F1497" s="12"/>
      <c r="K1497" s="5"/>
    </row>
    <row r="1498" spans="6:11" x14ac:dyDescent="0.25">
      <c r="F1498" s="12"/>
      <c r="K1498" s="5"/>
    </row>
    <row r="1499" spans="6:11" x14ac:dyDescent="0.25">
      <c r="F1499" s="12"/>
      <c r="K1499" s="5"/>
    </row>
    <row r="1500" spans="6:11" x14ac:dyDescent="0.25">
      <c r="F1500" s="12"/>
      <c r="K1500" s="5"/>
    </row>
    <row r="1501" spans="6:11" x14ac:dyDescent="0.25">
      <c r="F1501" s="12"/>
      <c r="K1501" s="5"/>
    </row>
    <row r="1502" spans="6:11" x14ac:dyDescent="0.25">
      <c r="F1502" s="12"/>
      <c r="K1502" s="5"/>
    </row>
    <row r="1503" spans="6:11" x14ac:dyDescent="0.25">
      <c r="F1503" s="12"/>
      <c r="K1503" s="5"/>
    </row>
    <row r="1504" spans="6:11" x14ac:dyDescent="0.25">
      <c r="F1504" s="12"/>
      <c r="K1504" s="5"/>
    </row>
    <row r="1505" spans="6:11" x14ac:dyDescent="0.25">
      <c r="F1505" s="12"/>
      <c r="K1505" s="5"/>
    </row>
    <row r="1506" spans="6:11" x14ac:dyDescent="0.25">
      <c r="F1506" s="12"/>
      <c r="K1506" s="5"/>
    </row>
    <row r="1507" spans="6:11" x14ac:dyDescent="0.25">
      <c r="F1507" s="12"/>
      <c r="K1507" s="5"/>
    </row>
    <row r="1508" spans="6:11" x14ac:dyDescent="0.25">
      <c r="F1508" s="12"/>
      <c r="K1508" s="5"/>
    </row>
    <row r="1509" spans="6:11" x14ac:dyDescent="0.25">
      <c r="F1509" s="12"/>
      <c r="K1509" s="5"/>
    </row>
    <row r="1510" spans="6:11" x14ac:dyDescent="0.25">
      <c r="F1510" s="12"/>
      <c r="K1510" s="5"/>
    </row>
    <row r="1511" spans="6:11" x14ac:dyDescent="0.25">
      <c r="F1511" s="12"/>
      <c r="K1511" s="5"/>
    </row>
    <row r="1512" spans="6:11" x14ac:dyDescent="0.25">
      <c r="F1512" s="12"/>
      <c r="K1512" s="5"/>
    </row>
    <row r="1513" spans="6:11" x14ac:dyDescent="0.25">
      <c r="F1513" s="12"/>
      <c r="K1513" s="5"/>
    </row>
    <row r="1514" spans="6:11" x14ac:dyDescent="0.25">
      <c r="F1514" s="12"/>
      <c r="K1514" s="5"/>
    </row>
    <row r="1515" spans="6:11" x14ac:dyDescent="0.25">
      <c r="F1515" s="12"/>
      <c r="K1515" s="5"/>
    </row>
    <row r="1516" spans="6:11" x14ac:dyDescent="0.25">
      <c r="F1516" s="12"/>
      <c r="K1516" s="5"/>
    </row>
    <row r="1517" spans="6:11" x14ac:dyDescent="0.25">
      <c r="F1517" s="12"/>
      <c r="K1517" s="5"/>
    </row>
    <row r="1518" spans="6:11" x14ac:dyDescent="0.25">
      <c r="F1518" s="12"/>
      <c r="K1518" s="5"/>
    </row>
    <row r="1519" spans="6:11" x14ac:dyDescent="0.25">
      <c r="F1519" s="12"/>
      <c r="K1519" s="5"/>
    </row>
    <row r="1520" spans="6:11" x14ac:dyDescent="0.25">
      <c r="F1520" s="12"/>
      <c r="K1520" s="5"/>
    </row>
    <row r="1521" spans="6:11" x14ac:dyDescent="0.25">
      <c r="F1521" s="12"/>
      <c r="K1521" s="5"/>
    </row>
    <row r="1522" spans="6:11" x14ac:dyDescent="0.25">
      <c r="F1522" s="12"/>
      <c r="K1522" s="5"/>
    </row>
    <row r="1523" spans="6:11" x14ac:dyDescent="0.25">
      <c r="F1523" s="12"/>
      <c r="K1523" s="5"/>
    </row>
    <row r="1524" spans="6:11" x14ac:dyDescent="0.25">
      <c r="F1524" s="12"/>
      <c r="K1524" s="5"/>
    </row>
    <row r="1525" spans="6:11" x14ac:dyDescent="0.25">
      <c r="F1525" s="12"/>
      <c r="K1525" s="5"/>
    </row>
    <row r="1526" spans="6:11" x14ac:dyDescent="0.25">
      <c r="F1526" s="12"/>
      <c r="K1526" s="5"/>
    </row>
    <row r="1527" spans="6:11" x14ac:dyDescent="0.25">
      <c r="F1527" s="12"/>
      <c r="K1527" s="5"/>
    </row>
    <row r="1528" spans="6:11" x14ac:dyDescent="0.25">
      <c r="F1528" s="12"/>
      <c r="K1528" s="5"/>
    </row>
    <row r="1529" spans="6:11" x14ac:dyDescent="0.25">
      <c r="F1529" s="12"/>
      <c r="K1529" s="5"/>
    </row>
    <row r="1530" spans="6:11" x14ac:dyDescent="0.25">
      <c r="F1530" s="12"/>
      <c r="K1530" s="5"/>
    </row>
    <row r="1531" spans="6:11" x14ac:dyDescent="0.25">
      <c r="F1531" s="12"/>
      <c r="K1531" s="5"/>
    </row>
    <row r="1532" spans="6:11" x14ac:dyDescent="0.25">
      <c r="F1532" s="12"/>
      <c r="K1532" s="5"/>
    </row>
    <row r="1533" spans="6:11" x14ac:dyDescent="0.25">
      <c r="F1533" s="12"/>
      <c r="K1533" s="5"/>
    </row>
    <row r="1534" spans="6:11" x14ac:dyDescent="0.25">
      <c r="F1534" s="12"/>
      <c r="K1534" s="5"/>
    </row>
    <row r="1535" spans="6:11" x14ac:dyDescent="0.25">
      <c r="F1535" s="12"/>
      <c r="K1535" s="5"/>
    </row>
    <row r="1536" spans="6:11" x14ac:dyDescent="0.25">
      <c r="F1536" s="12"/>
      <c r="K1536" s="5"/>
    </row>
    <row r="1537" spans="6:11" x14ac:dyDescent="0.25">
      <c r="F1537" s="12"/>
      <c r="K1537" s="5"/>
    </row>
    <row r="1538" spans="6:11" x14ac:dyDescent="0.25">
      <c r="F1538" s="12"/>
      <c r="K1538" s="5"/>
    </row>
    <row r="1539" spans="6:11" x14ac:dyDescent="0.25">
      <c r="F1539" s="12"/>
      <c r="K1539" s="5"/>
    </row>
    <row r="1540" spans="6:11" x14ac:dyDescent="0.25">
      <c r="F1540" s="12"/>
      <c r="K1540" s="5"/>
    </row>
    <row r="1541" spans="6:11" x14ac:dyDescent="0.25">
      <c r="F1541" s="12"/>
      <c r="K1541" s="5"/>
    </row>
    <row r="1542" spans="6:11" x14ac:dyDescent="0.25">
      <c r="F1542" s="12"/>
      <c r="K1542" s="5"/>
    </row>
    <row r="1543" spans="6:11" x14ac:dyDescent="0.25">
      <c r="F1543" s="12"/>
      <c r="K1543" s="5"/>
    </row>
    <row r="1544" spans="6:11" x14ac:dyDescent="0.25">
      <c r="F1544" s="12"/>
      <c r="K1544" s="5"/>
    </row>
    <row r="1545" spans="6:11" x14ac:dyDescent="0.25">
      <c r="F1545" s="12"/>
      <c r="K1545" s="5"/>
    </row>
    <row r="1546" spans="6:11" x14ac:dyDescent="0.25">
      <c r="F1546" s="12"/>
      <c r="K1546" s="5"/>
    </row>
    <row r="1547" spans="6:11" x14ac:dyDescent="0.25">
      <c r="F1547" s="12"/>
      <c r="K1547" s="5"/>
    </row>
    <row r="1548" spans="6:11" x14ac:dyDescent="0.25">
      <c r="F1548" s="12"/>
      <c r="K1548" s="5"/>
    </row>
    <row r="1549" spans="6:11" x14ac:dyDescent="0.25">
      <c r="F1549" s="12"/>
      <c r="K1549" s="5"/>
    </row>
    <row r="1550" spans="6:11" x14ac:dyDescent="0.25">
      <c r="F1550" s="12"/>
      <c r="K1550" s="5"/>
    </row>
    <row r="1551" spans="6:11" x14ac:dyDescent="0.25">
      <c r="F1551" s="12"/>
      <c r="K1551" s="5"/>
    </row>
    <row r="1552" spans="6:11" x14ac:dyDescent="0.25">
      <c r="F1552" s="12"/>
      <c r="K1552" s="5"/>
    </row>
    <row r="1553" spans="6:11" x14ac:dyDescent="0.25">
      <c r="F1553" s="12"/>
      <c r="K1553" s="5"/>
    </row>
    <row r="1554" spans="6:11" x14ac:dyDescent="0.25">
      <c r="F1554" s="12"/>
      <c r="K1554" s="5"/>
    </row>
    <row r="1555" spans="6:11" x14ac:dyDescent="0.25">
      <c r="F1555" s="12"/>
      <c r="K1555" s="5"/>
    </row>
    <row r="1556" spans="6:11" x14ac:dyDescent="0.25">
      <c r="F1556" s="12"/>
      <c r="K1556" s="5"/>
    </row>
    <row r="1557" spans="6:11" x14ac:dyDescent="0.25">
      <c r="F1557" s="12"/>
      <c r="K1557" s="5"/>
    </row>
    <row r="1558" spans="6:11" x14ac:dyDescent="0.25">
      <c r="F1558" s="12"/>
      <c r="K1558" s="5"/>
    </row>
    <row r="1559" spans="6:11" x14ac:dyDescent="0.25">
      <c r="F1559" s="12"/>
      <c r="K1559" s="5"/>
    </row>
    <row r="1560" spans="6:11" x14ac:dyDescent="0.25">
      <c r="F1560" s="12"/>
      <c r="K1560" s="5"/>
    </row>
    <row r="1561" spans="6:11" x14ac:dyDescent="0.25">
      <c r="F1561" s="12"/>
      <c r="K1561" s="5"/>
    </row>
    <row r="1562" spans="6:11" x14ac:dyDescent="0.25">
      <c r="F1562" s="12"/>
      <c r="K1562" s="5"/>
    </row>
    <row r="1563" spans="6:11" x14ac:dyDescent="0.25">
      <c r="F1563" s="12"/>
      <c r="K1563" s="5"/>
    </row>
    <row r="1564" spans="6:11" x14ac:dyDescent="0.25">
      <c r="F1564" s="12"/>
      <c r="K1564" s="5"/>
    </row>
    <row r="1565" spans="6:11" x14ac:dyDescent="0.25">
      <c r="F1565" s="12"/>
      <c r="K1565" s="5"/>
    </row>
    <row r="1566" spans="6:11" x14ac:dyDescent="0.25">
      <c r="F1566" s="12"/>
      <c r="K1566" s="5"/>
    </row>
    <row r="1567" spans="6:11" x14ac:dyDescent="0.25">
      <c r="F1567" s="12"/>
      <c r="K1567" s="5"/>
    </row>
    <row r="1568" spans="6:11" x14ac:dyDescent="0.25">
      <c r="F1568" s="12"/>
      <c r="K1568" s="5"/>
    </row>
    <row r="1569" spans="6:11" x14ac:dyDescent="0.25">
      <c r="F1569" s="12"/>
      <c r="K1569" s="5"/>
    </row>
    <row r="1570" spans="6:11" x14ac:dyDescent="0.25">
      <c r="F1570" s="12"/>
      <c r="K1570" s="5"/>
    </row>
    <row r="1571" spans="6:11" x14ac:dyDescent="0.25">
      <c r="F1571" s="12"/>
      <c r="K1571" s="5"/>
    </row>
    <row r="1572" spans="6:11" x14ac:dyDescent="0.25">
      <c r="F1572" s="12"/>
      <c r="K1572" s="5"/>
    </row>
    <row r="1573" spans="6:11" x14ac:dyDescent="0.25">
      <c r="F1573" s="12"/>
      <c r="K1573" s="5"/>
    </row>
    <row r="1574" spans="6:11" x14ac:dyDescent="0.25">
      <c r="F1574" s="12"/>
      <c r="K1574" s="5"/>
    </row>
    <row r="1575" spans="6:11" x14ac:dyDescent="0.25">
      <c r="F1575" s="12"/>
      <c r="K1575" s="5"/>
    </row>
    <row r="1576" spans="6:11" x14ac:dyDescent="0.25">
      <c r="F1576" s="12"/>
      <c r="K1576" s="5"/>
    </row>
    <row r="1577" spans="6:11" x14ac:dyDescent="0.25">
      <c r="F1577" s="12"/>
      <c r="K1577" s="5"/>
    </row>
    <row r="1578" spans="6:11" x14ac:dyDescent="0.25">
      <c r="F1578" s="12"/>
      <c r="K1578" s="5"/>
    </row>
    <row r="1579" spans="6:11" x14ac:dyDescent="0.25">
      <c r="F1579" s="12"/>
      <c r="K1579" s="5"/>
    </row>
    <row r="1580" spans="6:11" x14ac:dyDescent="0.25">
      <c r="F1580" s="12"/>
      <c r="K1580" s="5"/>
    </row>
    <row r="1581" spans="6:11" x14ac:dyDescent="0.25">
      <c r="F1581" s="12"/>
      <c r="K1581" s="5"/>
    </row>
    <row r="1582" spans="6:11" x14ac:dyDescent="0.25">
      <c r="F1582" s="12"/>
      <c r="K1582" s="5"/>
    </row>
    <row r="1583" spans="6:11" x14ac:dyDescent="0.25">
      <c r="F1583" s="12"/>
      <c r="K1583" s="5"/>
    </row>
    <row r="1584" spans="6:11" x14ac:dyDescent="0.25">
      <c r="F1584" s="12"/>
      <c r="K1584" s="5"/>
    </row>
    <row r="1585" spans="6:11" x14ac:dyDescent="0.25">
      <c r="F1585" s="12"/>
      <c r="K1585" s="5"/>
    </row>
    <row r="1586" spans="6:11" x14ac:dyDescent="0.25">
      <c r="F1586" s="12"/>
      <c r="K1586" s="5"/>
    </row>
    <row r="1587" spans="6:11" x14ac:dyDescent="0.25">
      <c r="F1587" s="12"/>
      <c r="K1587" s="5"/>
    </row>
    <row r="1588" spans="6:11" x14ac:dyDescent="0.25">
      <c r="F1588" s="12"/>
      <c r="K1588" s="5"/>
    </row>
    <row r="1589" spans="6:11" x14ac:dyDescent="0.25">
      <c r="F1589" s="12"/>
      <c r="K1589" s="5"/>
    </row>
    <row r="1590" spans="6:11" x14ac:dyDescent="0.25">
      <c r="F1590" s="12"/>
      <c r="K1590" s="5"/>
    </row>
    <row r="1591" spans="6:11" x14ac:dyDescent="0.25">
      <c r="F1591" s="12"/>
      <c r="K1591" s="5"/>
    </row>
    <row r="1592" spans="6:11" x14ac:dyDescent="0.25">
      <c r="F1592" s="12"/>
      <c r="K1592" s="5"/>
    </row>
    <row r="1593" spans="6:11" x14ac:dyDescent="0.25">
      <c r="F1593" s="12"/>
      <c r="K1593" s="5"/>
    </row>
    <row r="1594" spans="6:11" x14ac:dyDescent="0.25">
      <c r="F1594" s="12"/>
      <c r="K1594" s="5"/>
    </row>
    <row r="1595" spans="6:11" x14ac:dyDescent="0.25">
      <c r="F1595" s="12"/>
      <c r="K1595" s="5"/>
    </row>
    <row r="1596" spans="6:11" x14ac:dyDescent="0.25">
      <c r="F1596" s="12"/>
      <c r="K1596" s="5"/>
    </row>
    <row r="1597" spans="6:11" x14ac:dyDescent="0.25">
      <c r="F1597" s="12"/>
      <c r="K1597" s="5"/>
    </row>
    <row r="1598" spans="6:11" x14ac:dyDescent="0.25">
      <c r="F1598" s="12"/>
      <c r="K1598" s="5"/>
    </row>
    <row r="1599" spans="6:11" x14ac:dyDescent="0.25">
      <c r="F1599" s="12"/>
      <c r="K1599" s="5"/>
    </row>
    <row r="1600" spans="6:11" x14ac:dyDescent="0.25">
      <c r="F1600" s="12"/>
      <c r="K1600" s="5"/>
    </row>
    <row r="1601" spans="6:11" x14ac:dyDescent="0.25">
      <c r="F1601" s="12"/>
      <c r="K1601" s="5"/>
    </row>
    <row r="1602" spans="6:11" x14ac:dyDescent="0.25">
      <c r="F1602" s="12"/>
      <c r="K1602" s="5"/>
    </row>
    <row r="1603" spans="6:11" x14ac:dyDescent="0.25">
      <c r="F1603" s="12"/>
      <c r="K1603" s="5"/>
    </row>
    <row r="1604" spans="6:11" x14ac:dyDescent="0.25">
      <c r="F1604" s="12"/>
      <c r="K1604" s="5"/>
    </row>
    <row r="1605" spans="6:11" x14ac:dyDescent="0.25">
      <c r="F1605" s="12"/>
      <c r="K1605" s="5"/>
    </row>
    <row r="1606" spans="6:11" x14ac:dyDescent="0.25">
      <c r="F1606" s="12"/>
      <c r="K1606" s="5"/>
    </row>
    <row r="1607" spans="6:11" x14ac:dyDescent="0.25">
      <c r="F1607" s="12"/>
      <c r="K1607" s="5"/>
    </row>
    <row r="1608" spans="6:11" x14ac:dyDescent="0.25">
      <c r="F1608" s="12"/>
      <c r="K1608" s="5"/>
    </row>
    <row r="1609" spans="6:11" x14ac:dyDescent="0.25">
      <c r="F1609" s="12"/>
      <c r="K1609" s="5"/>
    </row>
    <row r="1610" spans="6:11" x14ac:dyDescent="0.25">
      <c r="F1610" s="12"/>
      <c r="K1610" s="5"/>
    </row>
    <row r="1611" spans="6:11" x14ac:dyDescent="0.25">
      <c r="F1611" s="12"/>
      <c r="K1611" s="5"/>
    </row>
    <row r="1612" spans="6:11" x14ac:dyDescent="0.25">
      <c r="F1612" s="12"/>
      <c r="K1612" s="5"/>
    </row>
    <row r="1613" spans="6:11" x14ac:dyDescent="0.25">
      <c r="F1613" s="12"/>
      <c r="K1613" s="5"/>
    </row>
    <row r="1614" spans="6:11" x14ac:dyDescent="0.25">
      <c r="F1614" s="12"/>
      <c r="K1614" s="5"/>
    </row>
    <row r="1615" spans="6:11" x14ac:dyDescent="0.25">
      <c r="F1615" s="12"/>
      <c r="K1615" s="5"/>
    </row>
    <row r="1616" spans="6:11" x14ac:dyDescent="0.25">
      <c r="F1616" s="12"/>
      <c r="K1616" s="5"/>
    </row>
    <row r="1617" spans="6:11" x14ac:dyDescent="0.25">
      <c r="F1617" s="12"/>
      <c r="K1617" s="5"/>
    </row>
    <row r="1618" spans="6:11" x14ac:dyDescent="0.25">
      <c r="F1618" s="12"/>
      <c r="K1618" s="5"/>
    </row>
    <row r="1619" spans="6:11" x14ac:dyDescent="0.25">
      <c r="F1619" s="12"/>
      <c r="K1619" s="5"/>
    </row>
    <row r="1620" spans="6:11" x14ac:dyDescent="0.25">
      <c r="F1620" s="12"/>
      <c r="K1620" s="5"/>
    </row>
    <row r="1621" spans="6:11" x14ac:dyDescent="0.25">
      <c r="F1621" s="12"/>
      <c r="K1621" s="5"/>
    </row>
    <row r="1622" spans="6:11" x14ac:dyDescent="0.25">
      <c r="F1622" s="12"/>
      <c r="K1622" s="5"/>
    </row>
    <row r="1623" spans="6:11" x14ac:dyDescent="0.25">
      <c r="F1623" s="12"/>
      <c r="K1623" s="5"/>
    </row>
    <row r="1624" spans="6:11" x14ac:dyDescent="0.25">
      <c r="F1624" s="12"/>
      <c r="K1624" s="5"/>
    </row>
    <row r="1625" spans="6:11" x14ac:dyDescent="0.25">
      <c r="F1625" s="12"/>
      <c r="K1625" s="5"/>
    </row>
    <row r="1626" spans="6:11" x14ac:dyDescent="0.25">
      <c r="F1626" s="12"/>
      <c r="K1626" s="5"/>
    </row>
    <row r="1627" spans="6:11" x14ac:dyDescent="0.25">
      <c r="F1627" s="12"/>
      <c r="K1627" s="5"/>
    </row>
    <row r="1628" spans="6:11" x14ac:dyDescent="0.25">
      <c r="F1628" s="12"/>
      <c r="K1628" s="5"/>
    </row>
    <row r="1629" spans="6:11" x14ac:dyDescent="0.25">
      <c r="F1629" s="12"/>
      <c r="K1629" s="5"/>
    </row>
    <row r="1630" spans="6:11" x14ac:dyDescent="0.25">
      <c r="F1630" s="12"/>
      <c r="K1630" s="5"/>
    </row>
    <row r="1631" spans="6:11" x14ac:dyDescent="0.25">
      <c r="F1631" s="12"/>
      <c r="K1631" s="5"/>
    </row>
    <row r="1632" spans="6:11" x14ac:dyDescent="0.25">
      <c r="F1632" s="12"/>
      <c r="K1632" s="5"/>
    </row>
    <row r="1633" spans="6:11" x14ac:dyDescent="0.25">
      <c r="F1633" s="12"/>
      <c r="K1633" s="5"/>
    </row>
    <row r="1634" spans="6:11" x14ac:dyDescent="0.25">
      <c r="F1634" s="12"/>
      <c r="K1634" s="5"/>
    </row>
    <row r="1635" spans="6:11" x14ac:dyDescent="0.25">
      <c r="F1635" s="12"/>
      <c r="K1635" s="5"/>
    </row>
    <row r="1636" spans="6:11" x14ac:dyDescent="0.25">
      <c r="F1636" s="12"/>
      <c r="K1636" s="5"/>
    </row>
    <row r="1637" spans="6:11" x14ac:dyDescent="0.25">
      <c r="F1637" s="12"/>
      <c r="K1637" s="5"/>
    </row>
    <row r="1638" spans="6:11" x14ac:dyDescent="0.25">
      <c r="F1638" s="12"/>
      <c r="K1638" s="5"/>
    </row>
    <row r="1639" spans="6:11" x14ac:dyDescent="0.25">
      <c r="F1639" s="12"/>
      <c r="K1639" s="5"/>
    </row>
    <row r="1640" spans="6:11" x14ac:dyDescent="0.25">
      <c r="F1640" s="12"/>
      <c r="K1640" s="5"/>
    </row>
    <row r="1641" spans="6:11" x14ac:dyDescent="0.25">
      <c r="F1641" s="12"/>
      <c r="K1641" s="5"/>
    </row>
    <row r="1642" spans="6:11" x14ac:dyDescent="0.25">
      <c r="F1642" s="12"/>
      <c r="K1642" s="5"/>
    </row>
    <row r="1643" spans="6:11" x14ac:dyDescent="0.25">
      <c r="F1643" s="12"/>
      <c r="K1643" s="5"/>
    </row>
    <row r="1644" spans="6:11" x14ac:dyDescent="0.25">
      <c r="F1644" s="12"/>
      <c r="K1644" s="5"/>
    </row>
    <row r="1645" spans="6:11" x14ac:dyDescent="0.25">
      <c r="F1645" s="12"/>
      <c r="K1645" s="5"/>
    </row>
    <row r="1646" spans="6:11" x14ac:dyDescent="0.25">
      <c r="F1646" s="12"/>
      <c r="K1646" s="5"/>
    </row>
    <row r="1647" spans="6:11" x14ac:dyDescent="0.25">
      <c r="F1647" s="12"/>
      <c r="K1647" s="5"/>
    </row>
    <row r="1648" spans="6:11" x14ac:dyDescent="0.25">
      <c r="F1648" s="12"/>
      <c r="K1648" s="5"/>
    </row>
    <row r="1649" spans="6:11" x14ac:dyDescent="0.25">
      <c r="F1649" s="12"/>
      <c r="K1649" s="5"/>
    </row>
    <row r="1650" spans="6:11" x14ac:dyDescent="0.25">
      <c r="F1650" s="12"/>
      <c r="K1650" s="5"/>
    </row>
    <row r="1651" spans="6:11" x14ac:dyDescent="0.25">
      <c r="F1651" s="12"/>
      <c r="K1651" s="5"/>
    </row>
    <row r="1652" spans="6:11" x14ac:dyDescent="0.25">
      <c r="F1652" s="12"/>
      <c r="K1652" s="5"/>
    </row>
    <row r="1653" spans="6:11" x14ac:dyDescent="0.25">
      <c r="F1653" s="12"/>
      <c r="K1653" s="5"/>
    </row>
    <row r="1654" spans="6:11" x14ac:dyDescent="0.25">
      <c r="F1654" s="12"/>
      <c r="K1654" s="5"/>
    </row>
    <row r="1655" spans="6:11" x14ac:dyDescent="0.25">
      <c r="F1655" s="12"/>
      <c r="K1655" s="5"/>
    </row>
    <row r="1656" spans="6:11" x14ac:dyDescent="0.25">
      <c r="F1656" s="12"/>
      <c r="K1656" s="5"/>
    </row>
    <row r="1657" spans="6:11" x14ac:dyDescent="0.25">
      <c r="F1657" s="12"/>
      <c r="K1657" s="5"/>
    </row>
    <row r="1658" spans="6:11" x14ac:dyDescent="0.25">
      <c r="F1658" s="12"/>
      <c r="K1658" s="5"/>
    </row>
    <row r="1659" spans="6:11" x14ac:dyDescent="0.25">
      <c r="F1659" s="12"/>
      <c r="K1659" s="5"/>
    </row>
    <row r="1660" spans="6:11" x14ac:dyDescent="0.25">
      <c r="F1660" s="12"/>
      <c r="K1660" s="5"/>
    </row>
    <row r="1661" spans="6:11" x14ac:dyDescent="0.25">
      <c r="F1661" s="12"/>
      <c r="K1661" s="5"/>
    </row>
    <row r="1662" spans="6:11" x14ac:dyDescent="0.25">
      <c r="F1662" s="12"/>
      <c r="K1662" s="5"/>
    </row>
    <row r="1663" spans="6:11" x14ac:dyDescent="0.25">
      <c r="F1663" s="12"/>
      <c r="K1663" s="5"/>
    </row>
    <row r="1664" spans="6:11" x14ac:dyDescent="0.25">
      <c r="F1664" s="12"/>
      <c r="K1664" s="5"/>
    </row>
    <row r="1665" spans="6:11" x14ac:dyDescent="0.25">
      <c r="F1665" s="12"/>
      <c r="K1665" s="5"/>
    </row>
    <row r="1666" spans="6:11" x14ac:dyDescent="0.25">
      <c r="F1666" s="12"/>
      <c r="K1666" s="5"/>
    </row>
    <row r="1667" spans="6:11" x14ac:dyDescent="0.25">
      <c r="F1667" s="12"/>
      <c r="K1667" s="5"/>
    </row>
    <row r="1668" spans="6:11" x14ac:dyDescent="0.25">
      <c r="F1668" s="12"/>
      <c r="K1668" s="5"/>
    </row>
    <row r="1669" spans="6:11" x14ac:dyDescent="0.25">
      <c r="F1669" s="12"/>
      <c r="K1669" s="5"/>
    </row>
    <row r="1670" spans="6:11" x14ac:dyDescent="0.25">
      <c r="F1670" s="12"/>
      <c r="K1670" s="5"/>
    </row>
    <row r="1671" spans="6:11" x14ac:dyDescent="0.25">
      <c r="F1671" s="12"/>
      <c r="K1671" s="5"/>
    </row>
    <row r="1672" spans="6:11" x14ac:dyDescent="0.25">
      <c r="F1672" s="12"/>
      <c r="K1672" s="5"/>
    </row>
    <row r="1673" spans="6:11" x14ac:dyDescent="0.25">
      <c r="F1673" s="12"/>
      <c r="K1673" s="5"/>
    </row>
    <row r="1674" spans="6:11" x14ac:dyDescent="0.25">
      <c r="F1674" s="12"/>
      <c r="K1674" s="5"/>
    </row>
    <row r="1675" spans="6:11" x14ac:dyDescent="0.25">
      <c r="F1675" s="12"/>
      <c r="K1675" s="5"/>
    </row>
    <row r="1676" spans="6:11" x14ac:dyDescent="0.25">
      <c r="F1676" s="12"/>
      <c r="K1676" s="5"/>
    </row>
    <row r="1677" spans="6:11" x14ac:dyDescent="0.25">
      <c r="F1677" s="12"/>
      <c r="K1677" s="5"/>
    </row>
    <row r="1678" spans="6:11" x14ac:dyDescent="0.25">
      <c r="F1678" s="12"/>
      <c r="K1678" s="5"/>
    </row>
    <row r="1679" spans="6:11" x14ac:dyDescent="0.25">
      <c r="F1679" s="12"/>
      <c r="K1679" s="5"/>
    </row>
    <row r="1680" spans="6:11" x14ac:dyDescent="0.25">
      <c r="F1680" s="12"/>
      <c r="K1680" s="5"/>
    </row>
    <row r="1681" spans="6:11" x14ac:dyDescent="0.25">
      <c r="F1681" s="12"/>
      <c r="K1681" s="5"/>
    </row>
    <row r="1682" spans="6:11" x14ac:dyDescent="0.25">
      <c r="F1682" s="12"/>
      <c r="K1682" s="5"/>
    </row>
    <row r="1683" spans="6:11" x14ac:dyDescent="0.25">
      <c r="F1683" s="12"/>
      <c r="K1683" s="5"/>
    </row>
    <row r="1684" spans="6:11" x14ac:dyDescent="0.25">
      <c r="F1684" s="12"/>
      <c r="K1684" s="5"/>
    </row>
    <row r="1685" spans="6:11" x14ac:dyDescent="0.25">
      <c r="F1685" s="12"/>
      <c r="K1685" s="5"/>
    </row>
    <row r="1686" spans="6:11" x14ac:dyDescent="0.25">
      <c r="F1686" s="12"/>
      <c r="K1686" s="5"/>
    </row>
    <row r="1687" spans="6:11" x14ac:dyDescent="0.25">
      <c r="F1687" s="12"/>
      <c r="K1687" s="5"/>
    </row>
    <row r="1688" spans="6:11" x14ac:dyDescent="0.25">
      <c r="F1688" s="12"/>
      <c r="K1688" s="5"/>
    </row>
    <row r="1689" spans="6:11" x14ac:dyDescent="0.25">
      <c r="F1689" s="12"/>
      <c r="K1689" s="5"/>
    </row>
    <row r="1690" spans="6:11" x14ac:dyDescent="0.25">
      <c r="F1690" s="12"/>
      <c r="K1690" s="5"/>
    </row>
    <row r="1691" spans="6:11" x14ac:dyDescent="0.25">
      <c r="F1691" s="12"/>
      <c r="K1691" s="5"/>
    </row>
    <row r="1692" spans="6:11" x14ac:dyDescent="0.25">
      <c r="F1692" s="12"/>
      <c r="K1692" s="5"/>
    </row>
    <row r="1693" spans="6:11" x14ac:dyDescent="0.25">
      <c r="F1693" s="12"/>
      <c r="K1693" s="5"/>
    </row>
    <row r="1694" spans="6:11" x14ac:dyDescent="0.25">
      <c r="F1694" s="12"/>
      <c r="K1694" s="5"/>
    </row>
    <row r="1695" spans="6:11" x14ac:dyDescent="0.25">
      <c r="F1695" s="12"/>
      <c r="K1695" s="5"/>
    </row>
    <row r="1696" spans="6:11" x14ac:dyDescent="0.25">
      <c r="F1696" s="12"/>
      <c r="K1696" s="5"/>
    </row>
    <row r="1697" spans="6:11" x14ac:dyDescent="0.25">
      <c r="F1697" s="12"/>
      <c r="K1697" s="5"/>
    </row>
    <row r="1698" spans="6:11" x14ac:dyDescent="0.25">
      <c r="F1698" s="12"/>
      <c r="K1698" s="5"/>
    </row>
    <row r="1699" spans="6:11" x14ac:dyDescent="0.25">
      <c r="F1699" s="12"/>
      <c r="K1699" s="5"/>
    </row>
    <row r="1700" spans="6:11" x14ac:dyDescent="0.25">
      <c r="F1700" s="12"/>
      <c r="K1700" s="5"/>
    </row>
    <row r="1701" spans="6:11" x14ac:dyDescent="0.25">
      <c r="F1701" s="12"/>
      <c r="K1701" s="5"/>
    </row>
    <row r="1702" spans="6:11" x14ac:dyDescent="0.25">
      <c r="F1702" s="12"/>
      <c r="K1702" s="5"/>
    </row>
    <row r="1703" spans="6:11" x14ac:dyDescent="0.25">
      <c r="F1703" s="12"/>
      <c r="K1703" s="5"/>
    </row>
    <row r="1704" spans="6:11" x14ac:dyDescent="0.25">
      <c r="F1704" s="12"/>
      <c r="K1704" s="5"/>
    </row>
    <row r="1705" spans="6:11" x14ac:dyDescent="0.25">
      <c r="F1705" s="12"/>
      <c r="K1705" s="5"/>
    </row>
    <row r="1706" spans="6:11" x14ac:dyDescent="0.25">
      <c r="F1706" s="12"/>
      <c r="K1706" s="5"/>
    </row>
    <row r="1707" spans="6:11" x14ac:dyDescent="0.25">
      <c r="F1707" s="12"/>
      <c r="K1707" s="5"/>
    </row>
    <row r="1708" spans="6:11" x14ac:dyDescent="0.25">
      <c r="F1708" s="12"/>
      <c r="K1708" s="5"/>
    </row>
    <row r="1709" spans="6:11" x14ac:dyDescent="0.25">
      <c r="F1709" s="12"/>
      <c r="K1709" s="5"/>
    </row>
    <row r="1710" spans="6:11" x14ac:dyDescent="0.25">
      <c r="F1710" s="12"/>
      <c r="K1710" s="5"/>
    </row>
    <row r="1711" spans="6:11" x14ac:dyDescent="0.25">
      <c r="F1711" s="12"/>
      <c r="K1711" s="5"/>
    </row>
    <row r="1712" spans="6:11" x14ac:dyDescent="0.25">
      <c r="F1712" s="12"/>
      <c r="K1712" s="5"/>
    </row>
    <row r="1713" spans="6:11" x14ac:dyDescent="0.25">
      <c r="F1713" s="12"/>
      <c r="K1713" s="5"/>
    </row>
    <row r="1714" spans="6:11" x14ac:dyDescent="0.25">
      <c r="F1714" s="12"/>
      <c r="K1714" s="5"/>
    </row>
    <row r="1715" spans="6:11" x14ac:dyDescent="0.25">
      <c r="F1715" s="12"/>
      <c r="K1715" s="5"/>
    </row>
    <row r="1716" spans="6:11" x14ac:dyDescent="0.25">
      <c r="F1716" s="12"/>
      <c r="K1716" s="5"/>
    </row>
    <row r="1717" spans="6:11" x14ac:dyDescent="0.25">
      <c r="F1717" s="12"/>
      <c r="K1717" s="5"/>
    </row>
    <row r="1718" spans="6:11" x14ac:dyDescent="0.25">
      <c r="F1718" s="12"/>
      <c r="K1718" s="5"/>
    </row>
    <row r="1719" spans="6:11" x14ac:dyDescent="0.25">
      <c r="F1719" s="12"/>
      <c r="K1719" s="5"/>
    </row>
    <row r="1720" spans="6:11" x14ac:dyDescent="0.25">
      <c r="F1720" s="12"/>
      <c r="K1720" s="5"/>
    </row>
    <row r="1721" spans="6:11" x14ac:dyDescent="0.25">
      <c r="F1721" s="12"/>
      <c r="K1721" s="5"/>
    </row>
    <row r="1722" spans="6:11" x14ac:dyDescent="0.25">
      <c r="F1722" s="12"/>
      <c r="K1722" s="5"/>
    </row>
    <row r="1723" spans="6:11" x14ac:dyDescent="0.25">
      <c r="F1723" s="12"/>
      <c r="K1723" s="5"/>
    </row>
    <row r="1724" spans="6:11" x14ac:dyDescent="0.25">
      <c r="F1724" s="12"/>
      <c r="K1724" s="5"/>
    </row>
    <row r="1725" spans="6:11" x14ac:dyDescent="0.25">
      <c r="F1725" s="12"/>
      <c r="K1725" s="5"/>
    </row>
    <row r="1726" spans="6:11" x14ac:dyDescent="0.25">
      <c r="F1726" s="12"/>
      <c r="K1726" s="5"/>
    </row>
    <row r="1727" spans="6:11" x14ac:dyDescent="0.25">
      <c r="F1727" s="12"/>
      <c r="K1727" s="5"/>
    </row>
    <row r="1728" spans="6:11" x14ac:dyDescent="0.25">
      <c r="F1728" s="12"/>
      <c r="K1728" s="5"/>
    </row>
    <row r="1729" spans="6:11" x14ac:dyDescent="0.25">
      <c r="F1729" s="12"/>
      <c r="K1729" s="5"/>
    </row>
    <row r="1730" spans="6:11" x14ac:dyDescent="0.25">
      <c r="F1730" s="12"/>
      <c r="K1730" s="5"/>
    </row>
    <row r="1731" spans="6:11" x14ac:dyDescent="0.25">
      <c r="F1731" s="12"/>
      <c r="K1731" s="5"/>
    </row>
    <row r="1732" spans="6:11" x14ac:dyDescent="0.25">
      <c r="F1732" s="12"/>
      <c r="K1732" s="5"/>
    </row>
    <row r="1733" spans="6:11" x14ac:dyDescent="0.25">
      <c r="F1733" s="12"/>
      <c r="K1733" s="5"/>
    </row>
    <row r="1734" spans="6:11" x14ac:dyDescent="0.25">
      <c r="F1734" s="12"/>
      <c r="K1734" s="5"/>
    </row>
    <row r="1735" spans="6:11" x14ac:dyDescent="0.25">
      <c r="F1735" s="12"/>
      <c r="K1735" s="5"/>
    </row>
    <row r="1736" spans="6:11" x14ac:dyDescent="0.25">
      <c r="F1736" s="12"/>
      <c r="K1736" s="5"/>
    </row>
    <row r="1737" spans="6:11" x14ac:dyDescent="0.25">
      <c r="F1737" s="12"/>
      <c r="K1737" s="5"/>
    </row>
    <row r="1738" spans="6:11" x14ac:dyDescent="0.25">
      <c r="F1738" s="12"/>
      <c r="K1738" s="5"/>
    </row>
    <row r="1739" spans="6:11" x14ac:dyDescent="0.25">
      <c r="F1739" s="12"/>
      <c r="K1739" s="5"/>
    </row>
    <row r="1740" spans="6:11" x14ac:dyDescent="0.25">
      <c r="F1740" s="12"/>
      <c r="K1740" s="5"/>
    </row>
    <row r="1741" spans="6:11" x14ac:dyDescent="0.25">
      <c r="F1741" s="12"/>
      <c r="K1741" s="5"/>
    </row>
    <row r="1742" spans="6:11" x14ac:dyDescent="0.25">
      <c r="F1742" s="12"/>
      <c r="K1742" s="5"/>
    </row>
    <row r="1743" spans="6:11" x14ac:dyDescent="0.25">
      <c r="F1743" s="12"/>
      <c r="K1743" s="5"/>
    </row>
    <row r="1744" spans="6:11" x14ac:dyDescent="0.25">
      <c r="F1744" s="12"/>
      <c r="K1744" s="5"/>
    </row>
    <row r="1745" spans="6:11" x14ac:dyDescent="0.25">
      <c r="F1745" s="12"/>
      <c r="K1745" s="5"/>
    </row>
    <row r="1746" spans="6:11" x14ac:dyDescent="0.25">
      <c r="F1746" s="12"/>
      <c r="K1746" s="5"/>
    </row>
    <row r="1747" spans="6:11" x14ac:dyDescent="0.25">
      <c r="F1747" s="12"/>
      <c r="K1747" s="5"/>
    </row>
    <row r="1748" spans="6:11" x14ac:dyDescent="0.25">
      <c r="F1748" s="12"/>
      <c r="K1748" s="5"/>
    </row>
    <row r="1749" spans="6:11" x14ac:dyDescent="0.25">
      <c r="F1749" s="12"/>
      <c r="K1749" s="5"/>
    </row>
    <row r="1750" spans="6:11" x14ac:dyDescent="0.25">
      <c r="F1750" s="12"/>
      <c r="K1750" s="5"/>
    </row>
    <row r="1751" spans="6:11" x14ac:dyDescent="0.25">
      <c r="F1751" s="12"/>
      <c r="K1751" s="5"/>
    </row>
    <row r="1752" spans="6:11" x14ac:dyDescent="0.25">
      <c r="F1752" s="12"/>
      <c r="K1752" s="5"/>
    </row>
    <row r="1753" spans="6:11" x14ac:dyDescent="0.25">
      <c r="F1753" s="12"/>
      <c r="K1753" s="5"/>
    </row>
    <row r="1754" spans="6:11" x14ac:dyDescent="0.25">
      <c r="F1754" s="12"/>
      <c r="K1754" s="5"/>
    </row>
    <row r="1755" spans="6:11" x14ac:dyDescent="0.25">
      <c r="F1755" s="12"/>
      <c r="K1755" s="5"/>
    </row>
    <row r="1756" spans="6:11" x14ac:dyDescent="0.25">
      <c r="F1756" s="12"/>
      <c r="K1756" s="5"/>
    </row>
    <row r="1757" spans="6:11" x14ac:dyDescent="0.25">
      <c r="F1757" s="12"/>
      <c r="K1757" s="5"/>
    </row>
    <row r="1758" spans="6:11" x14ac:dyDescent="0.25">
      <c r="F1758" s="12"/>
      <c r="K1758" s="5"/>
    </row>
    <row r="1759" spans="6:11" x14ac:dyDescent="0.25">
      <c r="F1759" s="12"/>
      <c r="K1759" s="5"/>
    </row>
    <row r="1760" spans="6:11" x14ac:dyDescent="0.25">
      <c r="F1760" s="12"/>
      <c r="K1760" s="5"/>
    </row>
    <row r="1761" spans="6:11" x14ac:dyDescent="0.25">
      <c r="F1761" s="12"/>
      <c r="K1761" s="5"/>
    </row>
    <row r="1762" spans="6:11" x14ac:dyDescent="0.25">
      <c r="F1762" s="12"/>
      <c r="K1762" s="5"/>
    </row>
    <row r="1763" spans="6:11" x14ac:dyDescent="0.25">
      <c r="F1763" s="12"/>
      <c r="K1763" s="5"/>
    </row>
    <row r="1764" spans="6:11" x14ac:dyDescent="0.25">
      <c r="F1764" s="12"/>
      <c r="K1764" s="5"/>
    </row>
    <row r="1765" spans="6:11" x14ac:dyDescent="0.25">
      <c r="F1765" s="12"/>
      <c r="K1765" s="5"/>
    </row>
    <row r="1766" spans="6:11" x14ac:dyDescent="0.25">
      <c r="F1766" s="12"/>
      <c r="K1766" s="5"/>
    </row>
    <row r="1767" spans="6:11" x14ac:dyDescent="0.25">
      <c r="F1767" s="12"/>
      <c r="K1767" s="5"/>
    </row>
    <row r="1768" spans="6:11" x14ac:dyDescent="0.25">
      <c r="F1768" s="12"/>
      <c r="K1768" s="5"/>
    </row>
    <row r="1769" spans="6:11" x14ac:dyDescent="0.25">
      <c r="F1769" s="12"/>
      <c r="K1769" s="5"/>
    </row>
    <row r="1770" spans="6:11" x14ac:dyDescent="0.25">
      <c r="F1770" s="12"/>
      <c r="K1770" s="5"/>
    </row>
    <row r="1771" spans="6:11" x14ac:dyDescent="0.25">
      <c r="F1771" s="12"/>
      <c r="K1771" s="5"/>
    </row>
    <row r="1772" spans="6:11" x14ac:dyDescent="0.25">
      <c r="F1772" s="12"/>
      <c r="K1772" s="5"/>
    </row>
    <row r="1773" spans="6:11" x14ac:dyDescent="0.25">
      <c r="F1773" s="12"/>
      <c r="K1773" s="5"/>
    </row>
    <row r="1774" spans="6:11" x14ac:dyDescent="0.25">
      <c r="F1774" s="12"/>
      <c r="K1774" s="5"/>
    </row>
    <row r="1775" spans="6:11" x14ac:dyDescent="0.25">
      <c r="F1775" s="12"/>
      <c r="K1775" s="5"/>
    </row>
    <row r="1776" spans="6:11" x14ac:dyDescent="0.25">
      <c r="F1776" s="12"/>
      <c r="K1776" s="5"/>
    </row>
    <row r="1777" spans="6:11" x14ac:dyDescent="0.25">
      <c r="F1777" s="12"/>
      <c r="K1777" s="5"/>
    </row>
    <row r="1778" spans="6:11" x14ac:dyDescent="0.25">
      <c r="F1778" s="12"/>
      <c r="K1778" s="5"/>
    </row>
    <row r="1779" spans="6:11" x14ac:dyDescent="0.25">
      <c r="F1779" s="12"/>
      <c r="K1779" s="5"/>
    </row>
    <row r="1780" spans="6:11" x14ac:dyDescent="0.25">
      <c r="F1780" s="12"/>
      <c r="K1780" s="5"/>
    </row>
    <row r="1781" spans="6:11" x14ac:dyDescent="0.25">
      <c r="F1781" s="12"/>
      <c r="K1781" s="5"/>
    </row>
    <row r="1782" spans="6:11" x14ac:dyDescent="0.25">
      <c r="F1782" s="12"/>
      <c r="K1782" s="5"/>
    </row>
    <row r="1783" spans="6:11" x14ac:dyDescent="0.25">
      <c r="F1783" s="12"/>
      <c r="K1783" s="5"/>
    </row>
    <row r="1784" spans="6:11" x14ac:dyDescent="0.25">
      <c r="F1784" s="12"/>
      <c r="K1784" s="5"/>
    </row>
    <row r="1785" spans="6:11" x14ac:dyDescent="0.25">
      <c r="F1785" s="12"/>
      <c r="K1785" s="5"/>
    </row>
    <row r="1786" spans="6:11" x14ac:dyDescent="0.25">
      <c r="F1786" s="12"/>
      <c r="K1786" s="5"/>
    </row>
    <row r="1787" spans="6:11" x14ac:dyDescent="0.25">
      <c r="F1787" s="12"/>
      <c r="K1787" s="5"/>
    </row>
    <row r="1788" spans="6:11" x14ac:dyDescent="0.25">
      <c r="F1788" s="12"/>
      <c r="K1788" s="5"/>
    </row>
    <row r="1789" spans="6:11" x14ac:dyDescent="0.25">
      <c r="F1789" s="12"/>
      <c r="K1789" s="5"/>
    </row>
    <row r="1790" spans="6:11" x14ac:dyDescent="0.25">
      <c r="F1790" s="12"/>
      <c r="K1790" s="5"/>
    </row>
    <row r="1791" spans="6:11" x14ac:dyDescent="0.25">
      <c r="F1791" s="12"/>
      <c r="K1791" s="5"/>
    </row>
    <row r="1792" spans="6:11" x14ac:dyDescent="0.25">
      <c r="F1792" s="12"/>
      <c r="K1792" s="5"/>
    </row>
    <row r="1793" spans="6:11" x14ac:dyDescent="0.25">
      <c r="F1793" s="12"/>
      <c r="K1793" s="5"/>
    </row>
    <row r="1794" spans="6:11" x14ac:dyDescent="0.25">
      <c r="F1794" s="12"/>
      <c r="K1794" s="5"/>
    </row>
    <row r="1795" spans="6:11" x14ac:dyDescent="0.25">
      <c r="F1795" s="12"/>
      <c r="K1795" s="5"/>
    </row>
    <row r="1796" spans="6:11" x14ac:dyDescent="0.25">
      <c r="F1796" s="12"/>
      <c r="K1796" s="5"/>
    </row>
    <row r="1797" spans="6:11" x14ac:dyDescent="0.25">
      <c r="F1797" s="12"/>
      <c r="K1797" s="5"/>
    </row>
    <row r="1798" spans="6:11" x14ac:dyDescent="0.25">
      <c r="F1798" s="12"/>
      <c r="K1798" s="5"/>
    </row>
    <row r="1799" spans="6:11" x14ac:dyDescent="0.25">
      <c r="F1799" s="12"/>
      <c r="K1799" s="5"/>
    </row>
    <row r="1800" spans="6:11" x14ac:dyDescent="0.25">
      <c r="F1800" s="12"/>
      <c r="K1800" s="5"/>
    </row>
    <row r="1801" spans="6:11" x14ac:dyDescent="0.25">
      <c r="F1801" s="12"/>
      <c r="K1801" s="5"/>
    </row>
    <row r="1802" spans="6:11" x14ac:dyDescent="0.25">
      <c r="F1802" s="12"/>
      <c r="K1802" s="5"/>
    </row>
    <row r="1803" spans="6:11" x14ac:dyDescent="0.25">
      <c r="F1803" s="12"/>
      <c r="K1803" s="5"/>
    </row>
    <row r="1804" spans="6:11" x14ac:dyDescent="0.25">
      <c r="F1804" s="12"/>
      <c r="K1804" s="5"/>
    </row>
    <row r="1805" spans="6:11" x14ac:dyDescent="0.25">
      <c r="F1805" s="12"/>
      <c r="K1805" s="5"/>
    </row>
    <row r="1806" spans="6:11" x14ac:dyDescent="0.25">
      <c r="F1806" s="12"/>
      <c r="K1806" s="5"/>
    </row>
    <row r="1807" spans="6:11" x14ac:dyDescent="0.25">
      <c r="F1807" s="12"/>
      <c r="K1807" s="5"/>
    </row>
    <row r="1808" spans="6:11" x14ac:dyDescent="0.25">
      <c r="F1808" s="12"/>
      <c r="K1808" s="5"/>
    </row>
    <row r="1809" spans="6:11" x14ac:dyDescent="0.25">
      <c r="F1809" s="12"/>
      <c r="K1809" s="5"/>
    </row>
    <row r="1810" spans="6:11" x14ac:dyDescent="0.25">
      <c r="F1810" s="12"/>
      <c r="K1810" s="5"/>
    </row>
    <row r="1811" spans="6:11" x14ac:dyDescent="0.25">
      <c r="F1811" s="12"/>
      <c r="K1811" s="5"/>
    </row>
    <row r="1812" spans="6:11" x14ac:dyDescent="0.25">
      <c r="F1812" s="12"/>
      <c r="K1812" s="5"/>
    </row>
    <row r="1813" spans="6:11" x14ac:dyDescent="0.25">
      <c r="F1813" s="12"/>
      <c r="K1813" s="5"/>
    </row>
    <row r="1814" spans="6:11" x14ac:dyDescent="0.25">
      <c r="F1814" s="12"/>
      <c r="K1814" s="5"/>
    </row>
    <row r="1815" spans="6:11" x14ac:dyDescent="0.25">
      <c r="F1815" s="12"/>
      <c r="K1815" s="5"/>
    </row>
    <row r="1816" spans="6:11" x14ac:dyDescent="0.25">
      <c r="F1816" s="12"/>
      <c r="K1816" s="5"/>
    </row>
    <row r="1817" spans="6:11" x14ac:dyDescent="0.25">
      <c r="F1817" s="12"/>
      <c r="K1817" s="5"/>
    </row>
    <row r="1818" spans="6:11" x14ac:dyDescent="0.25">
      <c r="F1818" s="12"/>
      <c r="K1818" s="5"/>
    </row>
    <row r="1819" spans="6:11" x14ac:dyDescent="0.25">
      <c r="F1819" s="12"/>
      <c r="K1819" s="5"/>
    </row>
    <row r="1820" spans="6:11" x14ac:dyDescent="0.25">
      <c r="F1820" s="12"/>
      <c r="K1820" s="5"/>
    </row>
    <row r="1821" spans="6:11" x14ac:dyDescent="0.25">
      <c r="F1821" s="12"/>
      <c r="K1821" s="5"/>
    </row>
    <row r="1822" spans="6:11" x14ac:dyDescent="0.25">
      <c r="F1822" s="12"/>
      <c r="K1822" s="5"/>
    </row>
    <row r="1823" spans="6:11" x14ac:dyDescent="0.25">
      <c r="F1823" s="12"/>
      <c r="K1823" s="5"/>
    </row>
    <row r="1824" spans="6:11" x14ac:dyDescent="0.25">
      <c r="F1824" s="12"/>
      <c r="K1824" s="5"/>
    </row>
    <row r="1825" spans="6:11" x14ac:dyDescent="0.25">
      <c r="F1825" s="12"/>
      <c r="K1825" s="5"/>
    </row>
    <row r="1826" spans="6:11" x14ac:dyDescent="0.25">
      <c r="F1826" s="12"/>
      <c r="K1826" s="5"/>
    </row>
    <row r="1827" spans="6:11" x14ac:dyDescent="0.25">
      <c r="F1827" s="12"/>
      <c r="K1827" s="5"/>
    </row>
    <row r="1828" spans="6:11" x14ac:dyDescent="0.25">
      <c r="F1828" s="12"/>
      <c r="K1828" s="5"/>
    </row>
    <row r="1829" spans="6:11" x14ac:dyDescent="0.25">
      <c r="F1829" s="12"/>
      <c r="K1829" s="5"/>
    </row>
    <row r="1830" spans="6:11" x14ac:dyDescent="0.25">
      <c r="F1830" s="12"/>
      <c r="K1830" s="5"/>
    </row>
    <row r="1831" spans="6:11" x14ac:dyDescent="0.25">
      <c r="F1831" s="12"/>
      <c r="K1831" s="5"/>
    </row>
    <row r="1832" spans="6:11" x14ac:dyDescent="0.25">
      <c r="F1832" s="12"/>
      <c r="K1832" s="5"/>
    </row>
    <row r="1833" spans="6:11" x14ac:dyDescent="0.25">
      <c r="F1833" s="12"/>
      <c r="K1833" s="5"/>
    </row>
    <row r="1834" spans="6:11" x14ac:dyDescent="0.25">
      <c r="F1834" s="12"/>
      <c r="K1834" s="5"/>
    </row>
    <row r="1835" spans="6:11" x14ac:dyDescent="0.25">
      <c r="F1835" s="12"/>
      <c r="K1835" s="5"/>
    </row>
    <row r="1836" spans="6:11" x14ac:dyDescent="0.25">
      <c r="F1836" s="12"/>
      <c r="K1836" s="5"/>
    </row>
    <row r="1837" spans="6:11" x14ac:dyDescent="0.25">
      <c r="F1837" s="12"/>
      <c r="K1837" s="5"/>
    </row>
    <row r="1838" spans="6:11" x14ac:dyDescent="0.25">
      <c r="F1838" s="12"/>
      <c r="K1838" s="5"/>
    </row>
    <row r="1839" spans="6:11" x14ac:dyDescent="0.25">
      <c r="F1839" s="12"/>
      <c r="K1839" s="5"/>
    </row>
    <row r="1840" spans="6:11" x14ac:dyDescent="0.25">
      <c r="F1840" s="12"/>
      <c r="K1840" s="5"/>
    </row>
    <row r="1841" spans="6:11" x14ac:dyDescent="0.25">
      <c r="F1841" s="12"/>
      <c r="K1841" s="5"/>
    </row>
    <row r="1842" spans="6:11" x14ac:dyDescent="0.25">
      <c r="F1842" s="12"/>
      <c r="K1842" s="5"/>
    </row>
    <row r="1843" spans="6:11" x14ac:dyDescent="0.25">
      <c r="F1843" s="12"/>
      <c r="K1843" s="5"/>
    </row>
    <row r="1844" spans="6:11" x14ac:dyDescent="0.25">
      <c r="F1844" s="12"/>
      <c r="K1844" s="5"/>
    </row>
    <row r="1845" spans="6:11" x14ac:dyDescent="0.25">
      <c r="F1845" s="12"/>
      <c r="K1845" s="5"/>
    </row>
    <row r="1846" spans="6:11" x14ac:dyDescent="0.25">
      <c r="F1846" s="12"/>
      <c r="K1846" s="5"/>
    </row>
    <row r="1847" spans="6:11" x14ac:dyDescent="0.25">
      <c r="F1847" s="12"/>
      <c r="K1847" s="5"/>
    </row>
    <row r="1848" spans="6:11" x14ac:dyDescent="0.25">
      <c r="F1848" s="12"/>
      <c r="K1848" s="5"/>
    </row>
    <row r="1849" spans="6:11" x14ac:dyDescent="0.25">
      <c r="F1849" s="12"/>
      <c r="K1849" s="5"/>
    </row>
    <row r="1850" spans="6:11" x14ac:dyDescent="0.25">
      <c r="F1850" s="12"/>
      <c r="K1850" s="5"/>
    </row>
    <row r="1851" spans="6:11" x14ac:dyDescent="0.25">
      <c r="F1851" s="12"/>
      <c r="K1851" s="5"/>
    </row>
    <row r="1852" spans="6:11" x14ac:dyDescent="0.25">
      <c r="F1852" s="12"/>
      <c r="K1852" s="5"/>
    </row>
    <row r="1853" spans="6:11" x14ac:dyDescent="0.25">
      <c r="F1853" s="12"/>
      <c r="K1853" s="5"/>
    </row>
    <row r="1854" spans="6:11" x14ac:dyDescent="0.25">
      <c r="F1854" s="12"/>
      <c r="K1854" s="5"/>
    </row>
    <row r="1855" spans="6:11" x14ac:dyDescent="0.25">
      <c r="F1855" s="12"/>
      <c r="K1855" s="5"/>
    </row>
    <row r="1856" spans="6:11" x14ac:dyDescent="0.25">
      <c r="F1856" s="12"/>
      <c r="K1856" s="5"/>
    </row>
    <row r="1857" spans="6:11" x14ac:dyDescent="0.25">
      <c r="F1857" s="12"/>
      <c r="K1857" s="5"/>
    </row>
    <row r="1858" spans="6:11" x14ac:dyDescent="0.25">
      <c r="F1858" s="12"/>
      <c r="K1858" s="5"/>
    </row>
    <row r="1859" spans="6:11" x14ac:dyDescent="0.25">
      <c r="F1859" s="12"/>
      <c r="K1859" s="5"/>
    </row>
    <row r="1860" spans="6:11" x14ac:dyDescent="0.25">
      <c r="F1860" s="12"/>
      <c r="K1860" s="5"/>
    </row>
    <row r="1861" spans="6:11" x14ac:dyDescent="0.25">
      <c r="F1861" s="12"/>
      <c r="K1861" s="5"/>
    </row>
    <row r="1862" spans="6:11" x14ac:dyDescent="0.25">
      <c r="F1862" s="12"/>
      <c r="K1862" s="5"/>
    </row>
    <row r="1863" spans="6:11" x14ac:dyDescent="0.25">
      <c r="F1863" s="12"/>
      <c r="K1863" s="5"/>
    </row>
    <row r="1864" spans="6:11" x14ac:dyDescent="0.25">
      <c r="F1864" s="12"/>
      <c r="K1864" s="5"/>
    </row>
    <row r="1865" spans="6:11" x14ac:dyDescent="0.25">
      <c r="F1865" s="12"/>
      <c r="K1865" s="5"/>
    </row>
    <row r="1866" spans="6:11" x14ac:dyDescent="0.25">
      <c r="F1866" s="12"/>
      <c r="K1866" s="5"/>
    </row>
    <row r="1867" spans="6:11" x14ac:dyDescent="0.25">
      <c r="F1867" s="12"/>
      <c r="K1867" s="5"/>
    </row>
    <row r="1868" spans="6:11" x14ac:dyDescent="0.25">
      <c r="F1868" s="12"/>
      <c r="K1868" s="5"/>
    </row>
    <row r="1869" spans="6:11" x14ac:dyDescent="0.25">
      <c r="F1869" s="12"/>
      <c r="K1869" s="5"/>
    </row>
    <row r="1870" spans="6:11" x14ac:dyDescent="0.25">
      <c r="F1870" s="12"/>
      <c r="K1870" s="5"/>
    </row>
    <row r="1871" spans="6:11" x14ac:dyDescent="0.25">
      <c r="F1871" s="12"/>
      <c r="K1871" s="5"/>
    </row>
    <row r="1872" spans="6:11" x14ac:dyDescent="0.25">
      <c r="F1872" s="12"/>
      <c r="K1872" s="5"/>
    </row>
    <row r="1873" spans="6:11" x14ac:dyDescent="0.25">
      <c r="F1873" s="12"/>
      <c r="K1873" s="5"/>
    </row>
    <row r="1874" spans="6:11" x14ac:dyDescent="0.25">
      <c r="F1874" s="12"/>
      <c r="K1874" s="5"/>
    </row>
    <row r="1875" spans="6:11" x14ac:dyDescent="0.25">
      <c r="F1875" s="12"/>
      <c r="K1875" s="5"/>
    </row>
    <row r="1876" spans="6:11" x14ac:dyDescent="0.25">
      <c r="F1876" s="12"/>
      <c r="K1876" s="5"/>
    </row>
    <row r="1877" spans="6:11" x14ac:dyDescent="0.25">
      <c r="F1877" s="12"/>
      <c r="K1877" s="5"/>
    </row>
    <row r="1878" spans="6:11" x14ac:dyDescent="0.25">
      <c r="F1878" s="12"/>
      <c r="K1878" s="5"/>
    </row>
    <row r="1879" spans="6:11" x14ac:dyDescent="0.25">
      <c r="F1879" s="12"/>
      <c r="K1879" s="5"/>
    </row>
    <row r="1880" spans="6:11" x14ac:dyDescent="0.25">
      <c r="F1880" s="12"/>
      <c r="K1880" s="5"/>
    </row>
    <row r="1881" spans="6:11" x14ac:dyDescent="0.25">
      <c r="F1881" s="12"/>
      <c r="K1881" s="5"/>
    </row>
    <row r="1882" spans="6:11" x14ac:dyDescent="0.25">
      <c r="F1882" s="12"/>
      <c r="K1882" s="5"/>
    </row>
    <row r="1883" spans="6:11" x14ac:dyDescent="0.25">
      <c r="F1883" s="12"/>
      <c r="K1883" s="5"/>
    </row>
    <row r="1884" spans="6:11" x14ac:dyDescent="0.25">
      <c r="F1884" s="12"/>
      <c r="K1884" s="5"/>
    </row>
    <row r="1885" spans="6:11" x14ac:dyDescent="0.25">
      <c r="F1885" s="12"/>
      <c r="K1885" s="5"/>
    </row>
    <row r="1886" spans="6:11" x14ac:dyDescent="0.25">
      <c r="F1886" s="12"/>
      <c r="K1886" s="5"/>
    </row>
    <row r="1887" spans="6:11" x14ac:dyDescent="0.25">
      <c r="F1887" s="12"/>
      <c r="K1887" s="5"/>
    </row>
    <row r="1888" spans="6:11" x14ac:dyDescent="0.25">
      <c r="F1888" s="12"/>
      <c r="K1888" s="5"/>
    </row>
    <row r="1889" spans="6:11" x14ac:dyDescent="0.25">
      <c r="F1889" s="12"/>
      <c r="K1889" s="5"/>
    </row>
    <row r="1890" spans="6:11" x14ac:dyDescent="0.25">
      <c r="F1890" s="12"/>
      <c r="K1890" s="5"/>
    </row>
    <row r="1891" spans="6:11" x14ac:dyDescent="0.25">
      <c r="F1891" s="12"/>
      <c r="K1891" s="5"/>
    </row>
    <row r="1892" spans="6:11" x14ac:dyDescent="0.25">
      <c r="F1892" s="12"/>
      <c r="K1892" s="5"/>
    </row>
    <row r="1893" spans="6:11" x14ac:dyDescent="0.25">
      <c r="F1893" s="12"/>
      <c r="K1893" s="5"/>
    </row>
    <row r="1894" spans="6:11" x14ac:dyDescent="0.25">
      <c r="F1894" s="12"/>
      <c r="K1894" s="5"/>
    </row>
    <row r="1895" spans="6:11" x14ac:dyDescent="0.25">
      <c r="F1895" s="12"/>
      <c r="K1895" s="5"/>
    </row>
    <row r="1896" spans="6:11" x14ac:dyDescent="0.25">
      <c r="F1896" s="12"/>
      <c r="K1896" s="5"/>
    </row>
    <row r="1897" spans="6:11" x14ac:dyDescent="0.25">
      <c r="F1897" s="12"/>
      <c r="K1897" s="5"/>
    </row>
    <row r="1898" spans="6:11" x14ac:dyDescent="0.25">
      <c r="F1898" s="12"/>
      <c r="K1898" s="5"/>
    </row>
    <row r="1899" spans="6:11" x14ac:dyDescent="0.25">
      <c r="F1899" s="12"/>
      <c r="K1899" s="5"/>
    </row>
    <row r="1900" spans="6:11" x14ac:dyDescent="0.25">
      <c r="F1900" s="12"/>
      <c r="K1900" s="5"/>
    </row>
    <row r="1901" spans="6:11" x14ac:dyDescent="0.25">
      <c r="F1901" s="12"/>
      <c r="K1901" s="5"/>
    </row>
    <row r="1902" spans="6:11" x14ac:dyDescent="0.25">
      <c r="F1902" s="12"/>
      <c r="K1902" s="5"/>
    </row>
    <row r="1903" spans="6:11" x14ac:dyDescent="0.25">
      <c r="F1903" s="12"/>
      <c r="K1903" s="5"/>
    </row>
    <row r="1904" spans="6:11" x14ac:dyDescent="0.25">
      <c r="F1904" s="12"/>
      <c r="K1904" s="5"/>
    </row>
    <row r="1905" spans="6:11" x14ac:dyDescent="0.25">
      <c r="F1905" s="12"/>
      <c r="K1905" s="5"/>
    </row>
    <row r="1906" spans="6:11" x14ac:dyDescent="0.25">
      <c r="F1906" s="12"/>
      <c r="K1906" s="5"/>
    </row>
    <row r="1907" spans="6:11" x14ac:dyDescent="0.25">
      <c r="F1907" s="12"/>
      <c r="K1907" s="5"/>
    </row>
    <row r="1908" spans="6:11" x14ac:dyDescent="0.25">
      <c r="F1908" s="12"/>
      <c r="K1908" s="5"/>
    </row>
    <row r="1909" spans="6:11" x14ac:dyDescent="0.25">
      <c r="F1909" s="12"/>
      <c r="K1909" s="5"/>
    </row>
    <row r="1910" spans="6:11" x14ac:dyDescent="0.25">
      <c r="F1910" s="12"/>
      <c r="K1910" s="5"/>
    </row>
    <row r="1911" spans="6:11" x14ac:dyDescent="0.25">
      <c r="F1911" s="12"/>
      <c r="K1911" s="5"/>
    </row>
    <row r="1912" spans="6:11" x14ac:dyDescent="0.25">
      <c r="F1912" s="12"/>
      <c r="K1912" s="5"/>
    </row>
    <row r="1913" spans="6:11" x14ac:dyDescent="0.25">
      <c r="F1913" s="12"/>
      <c r="K1913" s="5"/>
    </row>
    <row r="1914" spans="6:11" x14ac:dyDescent="0.25">
      <c r="F1914" s="12"/>
      <c r="K1914" s="5"/>
    </row>
    <row r="1915" spans="6:11" x14ac:dyDescent="0.25">
      <c r="F1915" s="12"/>
      <c r="K1915" s="5"/>
    </row>
    <row r="1916" spans="6:11" x14ac:dyDescent="0.25">
      <c r="F1916" s="12"/>
      <c r="K1916" s="5"/>
    </row>
    <row r="1917" spans="6:11" x14ac:dyDescent="0.25">
      <c r="F1917" s="12"/>
      <c r="K1917" s="5"/>
    </row>
    <row r="1918" spans="6:11" x14ac:dyDescent="0.25">
      <c r="F1918" s="12"/>
      <c r="K1918" s="5"/>
    </row>
    <row r="1919" spans="6:11" x14ac:dyDescent="0.25">
      <c r="F1919" s="12"/>
      <c r="K1919" s="5"/>
    </row>
    <row r="1920" spans="6:11" x14ac:dyDescent="0.25">
      <c r="F1920" s="12"/>
      <c r="K1920" s="5"/>
    </row>
    <row r="1921" spans="6:11" x14ac:dyDescent="0.25">
      <c r="F1921" s="12"/>
      <c r="K1921" s="5"/>
    </row>
    <row r="1922" spans="6:11" x14ac:dyDescent="0.25">
      <c r="F1922" s="12"/>
      <c r="K1922" s="5"/>
    </row>
    <row r="1923" spans="6:11" x14ac:dyDescent="0.25">
      <c r="F1923" s="12"/>
      <c r="K1923" s="5"/>
    </row>
    <row r="1924" spans="6:11" x14ac:dyDescent="0.25">
      <c r="F1924" s="12"/>
      <c r="K1924" s="5"/>
    </row>
    <row r="1925" spans="6:11" x14ac:dyDescent="0.25">
      <c r="F1925" s="12"/>
      <c r="K1925" s="5"/>
    </row>
    <row r="1926" spans="6:11" x14ac:dyDescent="0.25">
      <c r="F1926" s="12"/>
      <c r="K1926" s="5"/>
    </row>
    <row r="1927" spans="6:11" x14ac:dyDescent="0.25">
      <c r="F1927" s="12"/>
      <c r="K1927" s="5"/>
    </row>
    <row r="1928" spans="6:11" x14ac:dyDescent="0.25">
      <c r="F1928" s="12"/>
      <c r="K1928" s="5"/>
    </row>
    <row r="1929" spans="6:11" x14ac:dyDescent="0.25">
      <c r="F1929" s="12"/>
      <c r="K1929" s="5"/>
    </row>
    <row r="1930" spans="6:11" x14ac:dyDescent="0.25">
      <c r="F1930" s="12"/>
      <c r="K1930" s="5"/>
    </row>
    <row r="1931" spans="6:11" x14ac:dyDescent="0.25">
      <c r="F1931" s="12"/>
      <c r="K1931" s="5"/>
    </row>
    <row r="1932" spans="6:11" x14ac:dyDescent="0.25">
      <c r="F1932" s="12"/>
      <c r="K1932" s="5"/>
    </row>
    <row r="1933" spans="6:11" x14ac:dyDescent="0.25">
      <c r="F1933" s="12"/>
      <c r="K1933" s="5"/>
    </row>
    <row r="1934" spans="6:11" x14ac:dyDescent="0.25">
      <c r="F1934" s="12"/>
      <c r="K1934" s="5"/>
    </row>
    <row r="1935" spans="6:11" x14ac:dyDescent="0.25">
      <c r="F1935" s="12"/>
      <c r="K1935" s="5"/>
    </row>
    <row r="1936" spans="6:11" x14ac:dyDescent="0.25">
      <c r="F1936" s="12"/>
      <c r="K1936" s="5"/>
    </row>
    <row r="1937" spans="6:11" x14ac:dyDescent="0.25">
      <c r="F1937" s="12"/>
      <c r="K1937" s="5"/>
    </row>
    <row r="1938" spans="6:11" x14ac:dyDescent="0.25">
      <c r="F1938" s="12"/>
      <c r="K1938" s="5"/>
    </row>
    <row r="1939" spans="6:11" x14ac:dyDescent="0.25">
      <c r="F1939" s="12"/>
      <c r="K1939" s="5"/>
    </row>
    <row r="1940" spans="6:11" x14ac:dyDescent="0.25">
      <c r="F1940" s="12"/>
      <c r="K1940" s="5"/>
    </row>
    <row r="1941" spans="6:11" x14ac:dyDescent="0.25">
      <c r="F1941" s="12"/>
      <c r="K1941" s="5"/>
    </row>
    <row r="1942" spans="6:11" x14ac:dyDescent="0.25">
      <c r="F1942" s="12"/>
      <c r="K1942" s="5"/>
    </row>
    <row r="1943" spans="6:11" x14ac:dyDescent="0.25">
      <c r="F1943" s="12"/>
      <c r="K1943" s="5"/>
    </row>
    <row r="1944" spans="6:11" x14ac:dyDescent="0.25">
      <c r="F1944" s="12"/>
      <c r="K1944" s="5"/>
    </row>
    <row r="1945" spans="6:11" x14ac:dyDescent="0.25">
      <c r="F1945" s="12"/>
      <c r="K1945" s="5"/>
    </row>
    <row r="1946" spans="6:11" x14ac:dyDescent="0.25">
      <c r="F1946" s="12"/>
      <c r="K1946" s="5"/>
    </row>
    <row r="1947" spans="6:11" x14ac:dyDescent="0.25">
      <c r="F1947" s="12"/>
      <c r="K1947" s="5"/>
    </row>
    <row r="1948" spans="6:11" x14ac:dyDescent="0.25">
      <c r="F1948" s="12"/>
      <c r="K1948" s="5"/>
    </row>
    <row r="1949" spans="6:11" x14ac:dyDescent="0.25">
      <c r="F1949" s="12"/>
      <c r="K1949" s="5"/>
    </row>
    <row r="1950" spans="6:11" x14ac:dyDescent="0.25">
      <c r="F1950" s="12"/>
      <c r="K1950" s="5"/>
    </row>
    <row r="1951" spans="6:11" x14ac:dyDescent="0.25">
      <c r="F1951" s="12"/>
      <c r="K1951" s="5"/>
    </row>
    <row r="1952" spans="6:11" x14ac:dyDescent="0.25">
      <c r="F1952" s="12"/>
      <c r="K1952" s="5"/>
    </row>
    <row r="1953" spans="6:11" x14ac:dyDescent="0.25">
      <c r="F1953" s="12"/>
      <c r="K1953" s="5"/>
    </row>
    <row r="1954" spans="6:11" x14ac:dyDescent="0.25">
      <c r="F1954" s="12"/>
      <c r="K1954" s="5"/>
    </row>
    <row r="1955" spans="6:11" x14ac:dyDescent="0.25">
      <c r="F1955" s="12"/>
      <c r="K1955" s="5"/>
    </row>
    <row r="1956" spans="6:11" x14ac:dyDescent="0.25">
      <c r="F1956" s="12"/>
      <c r="K1956" s="5"/>
    </row>
    <row r="1957" spans="6:11" x14ac:dyDescent="0.25">
      <c r="F1957" s="12"/>
      <c r="K1957" s="5"/>
    </row>
    <row r="1958" spans="6:11" x14ac:dyDescent="0.25">
      <c r="F1958" s="12"/>
      <c r="K1958" s="5"/>
    </row>
    <row r="1959" spans="6:11" x14ac:dyDescent="0.25">
      <c r="F1959" s="12"/>
      <c r="K1959" s="5"/>
    </row>
    <row r="1960" spans="6:11" x14ac:dyDescent="0.25">
      <c r="F1960" s="12"/>
      <c r="K1960" s="5"/>
    </row>
    <row r="1961" spans="6:11" x14ac:dyDescent="0.25">
      <c r="F1961" s="12"/>
      <c r="K1961" s="5"/>
    </row>
    <row r="1962" spans="6:11" x14ac:dyDescent="0.25">
      <c r="F1962" s="12"/>
      <c r="K1962" s="5"/>
    </row>
    <row r="1963" spans="6:11" x14ac:dyDescent="0.25">
      <c r="F1963" s="12"/>
      <c r="K1963" s="5"/>
    </row>
    <row r="1964" spans="6:11" x14ac:dyDescent="0.25">
      <c r="F1964" s="12"/>
      <c r="K1964" s="5"/>
    </row>
    <row r="1965" spans="6:11" x14ac:dyDescent="0.25">
      <c r="F1965" s="12"/>
      <c r="K1965" s="5"/>
    </row>
    <row r="1966" spans="6:11" x14ac:dyDescent="0.25">
      <c r="F1966" s="12"/>
      <c r="K1966" s="5"/>
    </row>
    <row r="1967" spans="6:11" x14ac:dyDescent="0.25">
      <c r="F1967" s="12"/>
      <c r="K1967" s="5"/>
    </row>
    <row r="1968" spans="6:11" x14ac:dyDescent="0.25">
      <c r="F1968" s="12"/>
      <c r="K1968" s="5"/>
    </row>
    <row r="1969" spans="6:11" x14ac:dyDescent="0.25">
      <c r="F1969" s="12"/>
      <c r="K1969" s="5"/>
    </row>
    <row r="1970" spans="6:11" x14ac:dyDescent="0.25">
      <c r="F1970" s="12"/>
      <c r="K1970" s="5"/>
    </row>
    <row r="1971" spans="6:11" x14ac:dyDescent="0.25">
      <c r="F1971" s="12"/>
      <c r="K1971" s="5"/>
    </row>
    <row r="1972" spans="6:11" x14ac:dyDescent="0.25">
      <c r="F1972" s="12"/>
      <c r="K1972" s="5"/>
    </row>
    <row r="1973" spans="6:11" x14ac:dyDescent="0.25">
      <c r="F1973" s="12"/>
      <c r="K1973" s="5"/>
    </row>
    <row r="1974" spans="6:11" x14ac:dyDescent="0.25">
      <c r="F1974" s="12"/>
      <c r="K1974" s="5"/>
    </row>
    <row r="1975" spans="6:11" x14ac:dyDescent="0.25">
      <c r="F1975" s="12"/>
      <c r="K1975" s="5"/>
    </row>
    <row r="1976" spans="6:11" x14ac:dyDescent="0.25">
      <c r="F1976" s="12"/>
      <c r="K1976" s="5"/>
    </row>
    <row r="1977" spans="6:11" x14ac:dyDescent="0.25">
      <c r="F1977" s="12"/>
      <c r="K1977" s="5"/>
    </row>
    <row r="1978" spans="6:11" x14ac:dyDescent="0.25">
      <c r="F1978" s="12"/>
      <c r="K1978" s="5"/>
    </row>
    <row r="1979" spans="6:11" x14ac:dyDescent="0.25">
      <c r="F1979" s="12"/>
      <c r="K1979" s="5"/>
    </row>
    <row r="1980" spans="6:11" x14ac:dyDescent="0.25">
      <c r="F1980" s="12"/>
      <c r="K1980" s="5"/>
    </row>
    <row r="1981" spans="6:11" x14ac:dyDescent="0.25">
      <c r="F1981" s="12"/>
      <c r="K1981" s="5"/>
    </row>
    <row r="1982" spans="6:11" x14ac:dyDescent="0.25">
      <c r="F1982" s="12"/>
      <c r="K1982" s="5"/>
    </row>
    <row r="1983" spans="6:11" x14ac:dyDescent="0.25">
      <c r="F1983" s="12"/>
      <c r="K1983" s="5"/>
    </row>
    <row r="1984" spans="6:11" x14ac:dyDescent="0.25">
      <c r="F1984" s="12"/>
      <c r="K1984" s="5"/>
    </row>
    <row r="1985" spans="6:11" x14ac:dyDescent="0.25">
      <c r="F1985" s="12"/>
      <c r="K1985" s="5"/>
    </row>
    <row r="1986" spans="6:11" x14ac:dyDescent="0.25">
      <c r="F1986" s="12"/>
      <c r="K1986" s="5"/>
    </row>
    <row r="1987" spans="6:11" x14ac:dyDescent="0.25">
      <c r="F1987" s="12"/>
      <c r="K1987" s="5"/>
    </row>
    <row r="1988" spans="6:11" x14ac:dyDescent="0.25">
      <c r="F1988" s="12"/>
      <c r="K1988" s="5"/>
    </row>
    <row r="1989" spans="6:11" x14ac:dyDescent="0.25">
      <c r="F1989" s="12"/>
      <c r="K1989" s="5"/>
    </row>
    <row r="1990" spans="6:11" x14ac:dyDescent="0.25">
      <c r="F1990" s="12"/>
      <c r="K1990" s="5"/>
    </row>
    <row r="1991" spans="6:11" x14ac:dyDescent="0.25">
      <c r="F1991" s="12"/>
      <c r="K1991" s="5"/>
    </row>
    <row r="1992" spans="6:11" x14ac:dyDescent="0.25">
      <c r="F1992" s="12"/>
      <c r="K1992" s="5"/>
    </row>
    <row r="1993" spans="6:11" x14ac:dyDescent="0.25">
      <c r="F1993" s="12"/>
      <c r="K1993" s="5"/>
    </row>
    <row r="1994" spans="6:11" x14ac:dyDescent="0.25">
      <c r="F1994" s="12"/>
      <c r="K1994" s="5"/>
    </row>
    <row r="1995" spans="6:11" x14ac:dyDescent="0.25">
      <c r="F1995" s="12"/>
      <c r="K1995" s="5"/>
    </row>
    <row r="1996" spans="6:11" x14ac:dyDescent="0.25">
      <c r="F1996" s="12"/>
      <c r="K1996" s="5"/>
    </row>
    <row r="1997" spans="6:11" x14ac:dyDescent="0.25">
      <c r="F1997" s="12"/>
      <c r="K1997" s="5"/>
    </row>
    <row r="1998" spans="6:11" x14ac:dyDescent="0.25">
      <c r="F1998" s="12"/>
      <c r="K1998" s="5"/>
    </row>
    <row r="1999" spans="6:11" x14ac:dyDescent="0.25">
      <c r="F1999" s="12"/>
      <c r="K1999" s="5"/>
    </row>
    <row r="2000" spans="6:11" x14ac:dyDescent="0.25">
      <c r="F2000" s="12"/>
      <c r="K2000" s="5"/>
    </row>
    <row r="2001" spans="6:11" x14ac:dyDescent="0.25">
      <c r="F2001" s="12"/>
      <c r="K2001" s="5"/>
    </row>
    <row r="2002" spans="6:11" x14ac:dyDescent="0.25">
      <c r="F2002" s="12"/>
      <c r="K2002" s="5"/>
    </row>
    <row r="2003" spans="6:11" x14ac:dyDescent="0.25">
      <c r="F2003" s="12"/>
      <c r="K2003" s="5"/>
    </row>
    <row r="2004" spans="6:11" x14ac:dyDescent="0.25">
      <c r="F2004" s="12"/>
      <c r="K2004" s="5"/>
    </row>
    <row r="2005" spans="6:11" x14ac:dyDescent="0.25">
      <c r="F2005" s="12"/>
      <c r="K2005" s="5"/>
    </row>
    <row r="2006" spans="6:11" x14ac:dyDescent="0.25">
      <c r="F2006" s="12"/>
      <c r="K2006" s="5"/>
    </row>
    <row r="2007" spans="6:11" x14ac:dyDescent="0.25">
      <c r="F2007" s="12"/>
      <c r="K2007" s="5"/>
    </row>
    <row r="2008" spans="6:11" x14ac:dyDescent="0.25">
      <c r="F2008" s="12"/>
      <c r="K2008" s="5"/>
    </row>
    <row r="2009" spans="6:11" x14ac:dyDescent="0.25">
      <c r="F2009" s="12"/>
      <c r="K2009" s="5"/>
    </row>
    <row r="2010" spans="6:11" x14ac:dyDescent="0.25">
      <c r="F2010" s="12"/>
      <c r="K2010" s="5"/>
    </row>
    <row r="2011" spans="6:11" x14ac:dyDescent="0.25">
      <c r="F2011" s="12"/>
      <c r="K2011" s="5"/>
    </row>
    <row r="2012" spans="6:11" x14ac:dyDescent="0.25">
      <c r="F2012" s="12"/>
      <c r="K2012" s="5"/>
    </row>
    <row r="2013" spans="6:11" x14ac:dyDescent="0.25">
      <c r="F2013" s="12"/>
      <c r="K2013" s="5"/>
    </row>
    <row r="2014" spans="6:11" x14ac:dyDescent="0.25">
      <c r="F2014" s="12"/>
      <c r="K2014" s="5"/>
    </row>
    <row r="2015" spans="6:11" x14ac:dyDescent="0.25">
      <c r="F2015" s="12"/>
      <c r="K2015" s="5"/>
    </row>
    <row r="2016" spans="6:11" x14ac:dyDescent="0.25">
      <c r="F2016" s="12"/>
      <c r="K2016" s="5"/>
    </row>
    <row r="2017" spans="6:11" x14ac:dyDescent="0.25">
      <c r="F2017" s="12"/>
      <c r="K2017" s="5"/>
    </row>
    <row r="2018" spans="6:11" x14ac:dyDescent="0.25">
      <c r="F2018" s="12"/>
      <c r="K2018" s="5"/>
    </row>
    <row r="2019" spans="6:11" x14ac:dyDescent="0.25">
      <c r="F2019" s="12"/>
      <c r="K2019" s="5"/>
    </row>
    <row r="2020" spans="6:11" x14ac:dyDescent="0.25">
      <c r="F2020" s="12"/>
      <c r="K2020" s="5"/>
    </row>
    <row r="2021" spans="6:11" x14ac:dyDescent="0.25">
      <c r="F2021" s="12"/>
      <c r="K2021" s="5"/>
    </row>
    <row r="2022" spans="6:11" x14ac:dyDescent="0.25">
      <c r="F2022" s="12"/>
      <c r="K2022" s="5"/>
    </row>
    <row r="2023" spans="6:11" x14ac:dyDescent="0.25">
      <c r="F2023" s="12"/>
      <c r="K2023" s="5"/>
    </row>
    <row r="2024" spans="6:11" x14ac:dyDescent="0.25">
      <c r="F2024" s="12"/>
      <c r="K2024" s="5"/>
    </row>
    <row r="2025" spans="6:11" x14ac:dyDescent="0.25">
      <c r="F2025" s="12"/>
      <c r="K2025" s="5"/>
    </row>
    <row r="2026" spans="6:11" x14ac:dyDescent="0.25">
      <c r="F2026" s="12"/>
      <c r="K2026" s="5"/>
    </row>
    <row r="2027" spans="6:11" x14ac:dyDescent="0.25">
      <c r="F2027" s="12"/>
      <c r="K2027" s="5"/>
    </row>
    <row r="2028" spans="6:11" x14ac:dyDescent="0.25">
      <c r="F2028" s="12"/>
      <c r="K2028" s="5"/>
    </row>
    <row r="2029" spans="6:11" x14ac:dyDescent="0.25">
      <c r="F2029" s="12"/>
      <c r="K2029" s="5"/>
    </row>
    <row r="2030" spans="6:11" x14ac:dyDescent="0.25">
      <c r="F2030" s="12"/>
      <c r="K2030" s="5"/>
    </row>
    <row r="2031" spans="6:11" x14ac:dyDescent="0.25">
      <c r="F2031" s="12"/>
      <c r="K2031" s="5"/>
    </row>
    <row r="2032" spans="6:11" x14ac:dyDescent="0.25">
      <c r="F2032" s="12"/>
      <c r="K2032" s="5"/>
    </row>
    <row r="2033" spans="6:11" x14ac:dyDescent="0.25">
      <c r="F2033" s="12"/>
      <c r="K2033" s="5"/>
    </row>
    <row r="2034" spans="6:11" x14ac:dyDescent="0.25">
      <c r="F2034" s="12"/>
      <c r="K2034" s="5"/>
    </row>
    <row r="2035" spans="6:11" x14ac:dyDescent="0.25">
      <c r="F2035" s="12"/>
      <c r="K2035" s="5"/>
    </row>
    <row r="2036" spans="6:11" x14ac:dyDescent="0.25">
      <c r="F2036" s="12"/>
      <c r="K2036" s="5"/>
    </row>
    <row r="2037" spans="6:11" x14ac:dyDescent="0.25">
      <c r="F2037" s="12"/>
      <c r="K2037" s="5"/>
    </row>
    <row r="2038" spans="6:11" x14ac:dyDescent="0.25">
      <c r="F2038" s="12"/>
      <c r="K2038" s="5"/>
    </row>
    <row r="2039" spans="6:11" x14ac:dyDescent="0.25">
      <c r="F2039" s="12"/>
      <c r="K2039" s="5"/>
    </row>
    <row r="2040" spans="6:11" x14ac:dyDescent="0.25">
      <c r="F2040" s="12"/>
      <c r="K2040" s="5"/>
    </row>
    <row r="2041" spans="6:11" x14ac:dyDescent="0.25">
      <c r="F2041" s="12"/>
      <c r="K2041" s="5"/>
    </row>
    <row r="2042" spans="6:11" x14ac:dyDescent="0.25">
      <c r="F2042" s="12"/>
      <c r="K2042" s="5"/>
    </row>
    <row r="2043" spans="6:11" x14ac:dyDescent="0.25">
      <c r="F2043" s="12"/>
      <c r="K2043" s="5"/>
    </row>
    <row r="2044" spans="6:11" x14ac:dyDescent="0.25">
      <c r="F2044" s="12"/>
      <c r="K2044" s="5"/>
    </row>
    <row r="2045" spans="6:11" x14ac:dyDescent="0.25">
      <c r="F2045" s="12"/>
      <c r="K2045" s="5"/>
    </row>
    <row r="2046" spans="6:11" x14ac:dyDescent="0.25">
      <c r="F2046" s="12"/>
      <c r="K2046" s="5"/>
    </row>
    <row r="2047" spans="6:11" x14ac:dyDescent="0.25">
      <c r="F2047" s="12"/>
      <c r="K2047" s="5"/>
    </row>
    <row r="2048" spans="6:11" x14ac:dyDescent="0.25">
      <c r="F2048" s="12"/>
      <c r="K2048" s="5"/>
    </row>
    <row r="2049" spans="6:11" x14ac:dyDescent="0.25">
      <c r="F2049" s="12"/>
      <c r="K2049" s="5"/>
    </row>
    <row r="2050" spans="6:11" x14ac:dyDescent="0.25">
      <c r="F2050" s="12"/>
      <c r="K2050" s="5"/>
    </row>
    <row r="2051" spans="6:11" x14ac:dyDescent="0.25">
      <c r="F2051" s="12"/>
      <c r="K2051" s="5"/>
    </row>
    <row r="2052" spans="6:11" x14ac:dyDescent="0.25">
      <c r="F2052" s="12"/>
      <c r="K2052" s="5"/>
    </row>
    <row r="2053" spans="6:11" x14ac:dyDescent="0.25">
      <c r="F2053" s="12"/>
      <c r="K2053" s="5"/>
    </row>
    <row r="2054" spans="6:11" x14ac:dyDescent="0.25">
      <c r="F2054" s="12"/>
      <c r="K2054" s="5"/>
    </row>
    <row r="2055" spans="6:11" x14ac:dyDescent="0.25">
      <c r="F2055" s="12"/>
      <c r="K2055" s="5"/>
    </row>
    <row r="2056" spans="6:11" x14ac:dyDescent="0.25">
      <c r="F2056" s="12"/>
      <c r="K2056" s="5"/>
    </row>
    <row r="2057" spans="6:11" x14ac:dyDescent="0.25">
      <c r="F2057" s="12"/>
      <c r="K2057" s="5"/>
    </row>
    <row r="2058" spans="6:11" x14ac:dyDescent="0.25">
      <c r="F2058" s="12"/>
      <c r="K2058" s="5"/>
    </row>
    <row r="2059" spans="6:11" x14ac:dyDescent="0.25">
      <c r="F2059" s="12"/>
      <c r="K2059" s="5"/>
    </row>
    <row r="2060" spans="6:11" x14ac:dyDescent="0.25">
      <c r="F2060" s="12"/>
      <c r="K2060" s="5"/>
    </row>
    <row r="2061" spans="6:11" x14ac:dyDescent="0.25">
      <c r="F2061" s="12"/>
      <c r="K2061" s="5"/>
    </row>
    <row r="2062" spans="6:11" x14ac:dyDescent="0.25">
      <c r="F2062" s="12"/>
      <c r="K2062" s="5"/>
    </row>
    <row r="2063" spans="6:11" x14ac:dyDescent="0.25">
      <c r="F2063" s="12"/>
      <c r="K2063" s="5"/>
    </row>
    <row r="2064" spans="6:11" x14ac:dyDescent="0.25">
      <c r="F2064" s="12"/>
      <c r="K2064" s="5"/>
    </row>
    <row r="2065" spans="6:11" x14ac:dyDescent="0.25">
      <c r="F2065" s="12"/>
      <c r="K2065" s="5"/>
    </row>
    <row r="2066" spans="6:11" x14ac:dyDescent="0.25">
      <c r="F2066" s="12"/>
      <c r="K2066" s="5"/>
    </row>
    <row r="2067" spans="6:11" x14ac:dyDescent="0.25">
      <c r="F2067" s="12"/>
      <c r="K2067" s="5"/>
    </row>
    <row r="2068" spans="6:11" x14ac:dyDescent="0.25">
      <c r="F2068" s="12"/>
      <c r="K2068" s="5"/>
    </row>
    <row r="2069" spans="6:11" x14ac:dyDescent="0.25">
      <c r="F2069" s="12"/>
      <c r="K2069" s="5"/>
    </row>
    <row r="2070" spans="6:11" x14ac:dyDescent="0.25">
      <c r="F2070" s="12"/>
      <c r="K2070" s="5"/>
    </row>
    <row r="2071" spans="6:11" x14ac:dyDescent="0.25">
      <c r="F2071" s="12"/>
      <c r="K2071" s="5"/>
    </row>
    <row r="2072" spans="6:11" x14ac:dyDescent="0.25">
      <c r="F2072" s="12"/>
      <c r="K2072" s="5"/>
    </row>
    <row r="2073" spans="6:11" x14ac:dyDescent="0.25">
      <c r="F2073" s="12"/>
      <c r="K2073" s="5"/>
    </row>
    <row r="2074" spans="6:11" x14ac:dyDescent="0.25">
      <c r="F2074" s="12"/>
      <c r="K2074" s="5"/>
    </row>
    <row r="2075" spans="6:11" x14ac:dyDescent="0.25">
      <c r="F2075" s="12"/>
      <c r="K2075" s="5"/>
    </row>
    <row r="2076" spans="6:11" x14ac:dyDescent="0.25">
      <c r="F2076" s="12"/>
      <c r="K2076" s="5"/>
    </row>
    <row r="2077" spans="6:11" x14ac:dyDescent="0.25">
      <c r="F2077" s="12"/>
      <c r="K2077" s="5"/>
    </row>
    <row r="2078" spans="6:11" x14ac:dyDescent="0.25">
      <c r="F2078" s="12"/>
      <c r="K2078" s="5"/>
    </row>
    <row r="2079" spans="6:11" x14ac:dyDescent="0.25">
      <c r="F2079" s="12"/>
      <c r="K2079" s="5"/>
    </row>
    <row r="2080" spans="6:11" x14ac:dyDescent="0.25">
      <c r="F2080" s="12"/>
      <c r="K2080" s="5"/>
    </row>
    <row r="2081" spans="6:11" x14ac:dyDescent="0.25">
      <c r="F2081" s="12"/>
      <c r="K2081" s="5"/>
    </row>
    <row r="2082" spans="6:11" x14ac:dyDescent="0.25">
      <c r="F2082" s="12"/>
      <c r="K2082" s="5"/>
    </row>
    <row r="2083" spans="6:11" x14ac:dyDescent="0.25">
      <c r="F2083" s="12"/>
      <c r="K2083" s="5"/>
    </row>
    <row r="2084" spans="6:11" x14ac:dyDescent="0.25">
      <c r="F2084" s="12"/>
      <c r="K2084" s="5"/>
    </row>
    <row r="2085" spans="6:11" x14ac:dyDescent="0.25">
      <c r="F2085" s="12"/>
      <c r="K2085" s="5"/>
    </row>
    <row r="2086" spans="6:11" x14ac:dyDescent="0.25">
      <c r="F2086" s="12"/>
      <c r="K2086" s="5"/>
    </row>
    <row r="2087" spans="6:11" x14ac:dyDescent="0.25">
      <c r="F2087" s="12"/>
      <c r="K2087" s="5"/>
    </row>
    <row r="2088" spans="6:11" x14ac:dyDescent="0.25">
      <c r="F2088" s="12"/>
      <c r="K2088" s="5"/>
    </row>
    <row r="2089" spans="6:11" x14ac:dyDescent="0.25">
      <c r="F2089" s="12"/>
      <c r="K2089" s="5"/>
    </row>
    <row r="2090" spans="6:11" x14ac:dyDescent="0.25">
      <c r="F2090" s="12"/>
      <c r="K2090" s="5"/>
    </row>
    <row r="2091" spans="6:11" x14ac:dyDescent="0.25">
      <c r="F2091" s="12"/>
      <c r="K2091" s="5"/>
    </row>
    <row r="2092" spans="6:11" x14ac:dyDescent="0.25">
      <c r="F2092" s="12"/>
      <c r="K2092" s="5"/>
    </row>
    <row r="2093" spans="6:11" x14ac:dyDescent="0.25">
      <c r="F2093" s="12"/>
      <c r="K2093" s="5"/>
    </row>
    <row r="2094" spans="6:11" x14ac:dyDescent="0.25">
      <c r="F2094" s="12"/>
      <c r="K2094" s="5"/>
    </row>
    <row r="2095" spans="6:11" x14ac:dyDescent="0.25">
      <c r="F2095" s="12"/>
      <c r="K2095" s="5"/>
    </row>
    <row r="2096" spans="6:11" x14ac:dyDescent="0.25">
      <c r="F2096" s="12"/>
      <c r="K2096" s="5"/>
    </row>
    <row r="2097" spans="6:11" x14ac:dyDescent="0.25">
      <c r="F2097" s="12"/>
      <c r="K2097" s="5"/>
    </row>
    <row r="2098" spans="6:11" x14ac:dyDescent="0.25">
      <c r="F2098" s="12"/>
      <c r="K2098" s="5"/>
    </row>
    <row r="2099" spans="6:11" x14ac:dyDescent="0.25">
      <c r="F2099" s="12"/>
      <c r="K2099" s="5"/>
    </row>
    <row r="2100" spans="6:11" x14ac:dyDescent="0.25">
      <c r="F2100" s="12"/>
      <c r="K2100" s="5"/>
    </row>
    <row r="2101" spans="6:11" x14ac:dyDescent="0.25">
      <c r="F2101" s="12"/>
      <c r="K2101" s="5"/>
    </row>
    <row r="2102" spans="6:11" x14ac:dyDescent="0.25">
      <c r="F2102" s="12"/>
      <c r="K2102" s="5"/>
    </row>
    <row r="2103" spans="6:11" x14ac:dyDescent="0.25">
      <c r="F2103" s="12"/>
      <c r="K2103" s="5"/>
    </row>
    <row r="2104" spans="6:11" x14ac:dyDescent="0.25">
      <c r="F2104" s="12"/>
      <c r="K2104" s="5"/>
    </row>
    <row r="2105" spans="6:11" x14ac:dyDescent="0.25">
      <c r="F2105" s="12"/>
      <c r="K2105" s="5"/>
    </row>
    <row r="2106" spans="6:11" x14ac:dyDescent="0.25">
      <c r="F2106" s="12"/>
      <c r="K2106" s="5"/>
    </row>
    <row r="2107" spans="6:11" x14ac:dyDescent="0.25">
      <c r="F2107" s="12"/>
      <c r="K2107" s="5"/>
    </row>
    <row r="2108" spans="6:11" x14ac:dyDescent="0.25">
      <c r="F2108" s="12"/>
      <c r="K2108" s="5"/>
    </row>
    <row r="2109" spans="6:11" x14ac:dyDescent="0.25">
      <c r="F2109" s="12"/>
      <c r="K2109" s="5"/>
    </row>
    <row r="2110" spans="6:11" x14ac:dyDescent="0.25">
      <c r="F2110" s="12"/>
      <c r="K2110" s="5"/>
    </row>
    <row r="2111" spans="6:11" x14ac:dyDescent="0.25">
      <c r="F2111" s="12"/>
      <c r="K2111" s="5"/>
    </row>
    <row r="2112" spans="6:11" x14ac:dyDescent="0.25">
      <c r="F2112" s="12"/>
      <c r="K2112" s="5"/>
    </row>
    <row r="2113" spans="6:11" x14ac:dyDescent="0.25">
      <c r="F2113" s="12"/>
      <c r="K2113" s="5"/>
    </row>
    <row r="2114" spans="6:11" x14ac:dyDescent="0.25">
      <c r="F2114" s="12"/>
      <c r="K2114" s="5"/>
    </row>
    <row r="2115" spans="6:11" x14ac:dyDescent="0.25">
      <c r="F2115" s="12"/>
      <c r="K2115" s="5"/>
    </row>
    <row r="2116" spans="6:11" x14ac:dyDescent="0.25">
      <c r="F2116" s="12"/>
      <c r="K2116" s="5"/>
    </row>
    <row r="2117" spans="6:11" x14ac:dyDescent="0.25">
      <c r="F2117" s="12"/>
      <c r="K2117" s="5"/>
    </row>
    <row r="2118" spans="6:11" x14ac:dyDescent="0.25">
      <c r="F2118" s="12"/>
      <c r="K2118" s="5"/>
    </row>
    <row r="2119" spans="6:11" x14ac:dyDescent="0.25">
      <c r="F2119" s="12"/>
      <c r="K2119" s="5"/>
    </row>
    <row r="2120" spans="6:11" x14ac:dyDescent="0.25">
      <c r="F2120" s="12"/>
      <c r="K2120" s="5"/>
    </row>
    <row r="2121" spans="6:11" x14ac:dyDescent="0.25">
      <c r="F2121" s="12"/>
      <c r="K2121" s="5"/>
    </row>
    <row r="2122" spans="6:11" x14ac:dyDescent="0.25">
      <c r="F2122" s="12"/>
      <c r="K2122" s="5"/>
    </row>
    <row r="2123" spans="6:11" x14ac:dyDescent="0.25">
      <c r="F2123" s="12"/>
      <c r="K2123" s="5"/>
    </row>
    <row r="2124" spans="6:11" x14ac:dyDescent="0.25">
      <c r="F2124" s="12"/>
      <c r="K2124" s="5"/>
    </row>
    <row r="2125" spans="6:11" x14ac:dyDescent="0.25">
      <c r="F2125" s="12"/>
      <c r="K2125" s="5"/>
    </row>
    <row r="2126" spans="6:11" x14ac:dyDescent="0.25">
      <c r="F2126" s="12"/>
      <c r="K2126" s="5"/>
    </row>
    <row r="2127" spans="6:11" x14ac:dyDescent="0.25">
      <c r="F2127" s="12"/>
      <c r="K2127" s="5"/>
    </row>
    <row r="2128" spans="6:11" x14ac:dyDescent="0.25">
      <c r="F2128" s="12"/>
      <c r="K2128" s="5"/>
    </row>
    <row r="2129" spans="6:11" x14ac:dyDescent="0.25">
      <c r="F2129" s="12"/>
      <c r="K2129" s="5"/>
    </row>
    <row r="2130" spans="6:11" x14ac:dyDescent="0.25">
      <c r="F2130" s="12"/>
      <c r="K2130" s="5"/>
    </row>
    <row r="2131" spans="6:11" x14ac:dyDescent="0.25">
      <c r="F2131" s="12"/>
      <c r="K2131" s="5"/>
    </row>
    <row r="2132" spans="6:11" x14ac:dyDescent="0.25">
      <c r="F2132" s="12"/>
      <c r="K2132" s="5"/>
    </row>
    <row r="2133" spans="6:11" x14ac:dyDescent="0.25">
      <c r="F2133" s="12"/>
      <c r="K2133" s="5"/>
    </row>
    <row r="2134" spans="6:11" x14ac:dyDescent="0.25">
      <c r="F2134" s="12"/>
      <c r="K2134" s="5"/>
    </row>
    <row r="2135" spans="6:11" x14ac:dyDescent="0.25">
      <c r="F2135" s="12"/>
      <c r="K2135" s="5"/>
    </row>
    <row r="2136" spans="6:11" x14ac:dyDescent="0.25">
      <c r="F2136" s="12"/>
      <c r="K2136" s="5"/>
    </row>
    <row r="2137" spans="6:11" x14ac:dyDescent="0.25">
      <c r="F2137" s="12"/>
      <c r="K2137" s="5"/>
    </row>
    <row r="2138" spans="6:11" x14ac:dyDescent="0.25">
      <c r="F2138" s="12"/>
      <c r="K2138" s="5"/>
    </row>
    <row r="2139" spans="6:11" x14ac:dyDescent="0.25">
      <c r="F2139" s="12"/>
      <c r="K2139" s="5"/>
    </row>
    <row r="2140" spans="6:11" x14ac:dyDescent="0.25">
      <c r="F2140" s="12"/>
      <c r="K2140" s="5"/>
    </row>
    <row r="2141" spans="6:11" x14ac:dyDescent="0.25">
      <c r="F2141" s="12"/>
      <c r="K2141" s="5"/>
    </row>
    <row r="2142" spans="6:11" x14ac:dyDescent="0.25">
      <c r="F2142" s="12"/>
      <c r="K2142" s="5"/>
    </row>
    <row r="2143" spans="6:11" x14ac:dyDescent="0.25">
      <c r="F2143" s="12"/>
      <c r="K2143" s="5"/>
    </row>
    <row r="2144" spans="6:11" x14ac:dyDescent="0.25">
      <c r="F2144" s="12"/>
      <c r="K2144" s="5"/>
    </row>
    <row r="2145" spans="6:11" x14ac:dyDescent="0.25">
      <c r="F2145" s="12"/>
      <c r="K2145" s="5"/>
    </row>
    <row r="2146" spans="6:11" x14ac:dyDescent="0.25">
      <c r="F2146" s="12"/>
      <c r="K2146" s="5"/>
    </row>
    <row r="2147" spans="6:11" x14ac:dyDescent="0.25">
      <c r="F2147" s="12"/>
      <c r="K2147" s="5"/>
    </row>
    <row r="2148" spans="6:11" x14ac:dyDescent="0.25">
      <c r="F2148" s="12"/>
      <c r="K2148" s="5"/>
    </row>
    <row r="2149" spans="6:11" x14ac:dyDescent="0.25">
      <c r="F2149" s="12"/>
      <c r="K2149" s="5"/>
    </row>
    <row r="2150" spans="6:11" x14ac:dyDescent="0.25">
      <c r="F2150" s="12"/>
      <c r="K2150" s="5"/>
    </row>
    <row r="2151" spans="6:11" x14ac:dyDescent="0.25">
      <c r="F2151" s="12"/>
      <c r="K2151" s="5"/>
    </row>
    <row r="2152" spans="6:11" x14ac:dyDescent="0.25">
      <c r="F2152" s="12"/>
      <c r="K2152" s="5"/>
    </row>
    <row r="2153" spans="6:11" x14ac:dyDescent="0.25">
      <c r="F2153" s="12"/>
      <c r="K2153" s="5"/>
    </row>
    <row r="2154" spans="6:11" x14ac:dyDescent="0.25">
      <c r="F2154" s="12"/>
      <c r="K2154" s="5"/>
    </row>
    <row r="2155" spans="6:11" x14ac:dyDescent="0.25">
      <c r="F2155" s="12"/>
      <c r="K2155" s="5"/>
    </row>
    <row r="2156" spans="6:11" x14ac:dyDescent="0.25">
      <c r="F2156" s="12"/>
      <c r="K2156" s="5"/>
    </row>
    <row r="2157" spans="6:11" x14ac:dyDescent="0.25">
      <c r="F2157" s="12"/>
      <c r="K2157" s="5"/>
    </row>
    <row r="2158" spans="6:11" x14ac:dyDescent="0.25">
      <c r="F2158" s="12"/>
      <c r="K2158" s="5"/>
    </row>
    <row r="2159" spans="6:11" x14ac:dyDescent="0.25">
      <c r="F2159" s="12"/>
      <c r="K2159" s="5"/>
    </row>
    <row r="2160" spans="6:11" x14ac:dyDescent="0.25">
      <c r="F2160" s="12"/>
      <c r="K2160" s="5"/>
    </row>
    <row r="2161" spans="6:11" x14ac:dyDescent="0.25">
      <c r="F2161" s="12"/>
      <c r="K2161" s="5"/>
    </row>
    <row r="2162" spans="6:11" x14ac:dyDescent="0.25">
      <c r="F2162" s="12"/>
      <c r="K2162" s="5"/>
    </row>
    <row r="2163" spans="6:11" x14ac:dyDescent="0.25">
      <c r="F2163" s="12"/>
      <c r="K2163" s="5"/>
    </row>
    <row r="2164" spans="6:11" x14ac:dyDescent="0.25">
      <c r="F2164" s="12"/>
      <c r="K2164" s="5"/>
    </row>
    <row r="2165" spans="6:11" x14ac:dyDescent="0.25">
      <c r="F2165" s="12"/>
      <c r="K2165" s="5"/>
    </row>
    <row r="2166" spans="6:11" x14ac:dyDescent="0.25">
      <c r="F2166" s="12"/>
      <c r="K2166" s="5"/>
    </row>
    <row r="2167" spans="6:11" x14ac:dyDescent="0.25">
      <c r="F2167" s="12"/>
      <c r="K2167" s="5"/>
    </row>
    <row r="2168" spans="6:11" x14ac:dyDescent="0.25">
      <c r="F2168" s="12"/>
      <c r="K2168" s="5"/>
    </row>
    <row r="2169" spans="6:11" x14ac:dyDescent="0.25">
      <c r="F2169" s="12"/>
      <c r="K2169" s="5"/>
    </row>
    <row r="2170" spans="6:11" x14ac:dyDescent="0.25">
      <c r="F2170" s="12"/>
      <c r="K2170" s="5"/>
    </row>
    <row r="2171" spans="6:11" x14ac:dyDescent="0.25">
      <c r="F2171" s="12"/>
      <c r="K2171" s="5"/>
    </row>
    <row r="2172" spans="6:11" x14ac:dyDescent="0.25">
      <c r="F2172" s="12"/>
      <c r="K2172" s="5"/>
    </row>
    <row r="2173" spans="6:11" x14ac:dyDescent="0.25">
      <c r="F2173" s="12"/>
      <c r="K2173" s="5"/>
    </row>
    <row r="2174" spans="6:11" x14ac:dyDescent="0.25">
      <c r="F2174" s="12"/>
      <c r="K2174" s="5"/>
    </row>
    <row r="2175" spans="6:11" x14ac:dyDescent="0.25">
      <c r="F2175" s="12"/>
      <c r="K2175" s="5"/>
    </row>
    <row r="2176" spans="6:11" x14ac:dyDescent="0.25">
      <c r="F2176" s="12"/>
      <c r="K2176" s="5"/>
    </row>
    <row r="2177" spans="6:11" x14ac:dyDescent="0.25">
      <c r="F2177" s="12"/>
      <c r="K2177" s="5"/>
    </row>
    <row r="2178" spans="6:11" x14ac:dyDescent="0.25">
      <c r="F2178" s="12"/>
      <c r="K2178" s="5"/>
    </row>
    <row r="2179" spans="6:11" x14ac:dyDescent="0.25">
      <c r="F2179" s="12"/>
      <c r="K2179" s="5"/>
    </row>
    <row r="2180" spans="6:11" x14ac:dyDescent="0.25">
      <c r="F2180" s="12"/>
      <c r="K2180" s="5"/>
    </row>
    <row r="2181" spans="6:11" x14ac:dyDescent="0.25">
      <c r="F2181" s="12"/>
      <c r="K2181" s="5"/>
    </row>
    <row r="2182" spans="6:11" x14ac:dyDescent="0.25">
      <c r="F2182" s="12"/>
      <c r="K2182" s="5"/>
    </row>
    <row r="2183" spans="6:11" x14ac:dyDescent="0.25">
      <c r="F2183" s="12"/>
      <c r="K2183" s="5"/>
    </row>
    <row r="2184" spans="6:11" x14ac:dyDescent="0.25">
      <c r="F2184" s="12"/>
      <c r="K2184" s="5"/>
    </row>
    <row r="2185" spans="6:11" x14ac:dyDescent="0.25">
      <c r="F2185" s="12"/>
      <c r="K2185" s="5"/>
    </row>
    <row r="2186" spans="6:11" x14ac:dyDescent="0.25">
      <c r="F2186" s="12"/>
      <c r="K2186" s="5"/>
    </row>
    <row r="2187" spans="6:11" x14ac:dyDescent="0.25">
      <c r="F2187" s="12"/>
      <c r="K2187" s="5"/>
    </row>
    <row r="2188" spans="6:11" x14ac:dyDescent="0.25">
      <c r="F2188" s="12"/>
      <c r="K2188" s="5"/>
    </row>
    <row r="2189" spans="6:11" x14ac:dyDescent="0.25">
      <c r="F2189" s="12"/>
      <c r="K2189" s="5"/>
    </row>
    <row r="2190" spans="6:11" x14ac:dyDescent="0.25">
      <c r="F2190" s="12"/>
      <c r="K2190" s="5"/>
    </row>
    <row r="2191" spans="6:11" x14ac:dyDescent="0.25">
      <c r="F2191" s="12"/>
      <c r="K2191" s="5"/>
    </row>
    <row r="2192" spans="6:11" x14ac:dyDescent="0.25">
      <c r="F2192" s="12"/>
      <c r="K2192" s="5"/>
    </row>
    <row r="2193" spans="6:11" x14ac:dyDescent="0.25">
      <c r="F2193" s="12"/>
      <c r="K2193" s="5"/>
    </row>
    <row r="2194" spans="6:11" x14ac:dyDescent="0.25">
      <c r="F2194" s="12"/>
      <c r="K2194" s="5"/>
    </row>
    <row r="2195" spans="6:11" x14ac:dyDescent="0.25">
      <c r="F2195" s="12"/>
      <c r="K2195" s="5"/>
    </row>
    <row r="2196" spans="6:11" x14ac:dyDescent="0.25">
      <c r="F2196" s="12"/>
      <c r="K2196" s="5"/>
    </row>
    <row r="2197" spans="6:11" x14ac:dyDescent="0.25">
      <c r="F2197" s="12"/>
      <c r="K2197" s="5"/>
    </row>
    <row r="2198" spans="6:11" x14ac:dyDescent="0.25">
      <c r="F2198" s="12"/>
      <c r="K2198" s="5"/>
    </row>
    <row r="2199" spans="6:11" x14ac:dyDescent="0.25">
      <c r="F2199" s="12"/>
      <c r="K2199" s="5"/>
    </row>
    <row r="2200" spans="6:11" x14ac:dyDescent="0.25">
      <c r="F2200" s="12"/>
      <c r="K2200" s="5"/>
    </row>
    <row r="2201" spans="6:11" x14ac:dyDescent="0.25">
      <c r="F2201" s="12"/>
      <c r="K2201" s="5"/>
    </row>
    <row r="2202" spans="6:11" x14ac:dyDescent="0.25">
      <c r="F2202" s="12"/>
      <c r="K2202" s="5"/>
    </row>
    <row r="2203" spans="6:11" x14ac:dyDescent="0.25">
      <c r="F2203" s="12"/>
      <c r="K2203" s="5"/>
    </row>
    <row r="2204" spans="6:11" x14ac:dyDescent="0.25">
      <c r="F2204" s="12"/>
      <c r="K2204" s="5"/>
    </row>
    <row r="2205" spans="6:11" x14ac:dyDescent="0.25">
      <c r="F2205" s="12"/>
      <c r="K2205" s="5"/>
    </row>
    <row r="2206" spans="6:11" x14ac:dyDescent="0.25">
      <c r="F2206" s="12"/>
      <c r="K2206" s="5"/>
    </row>
    <row r="2207" spans="6:11" x14ac:dyDescent="0.25">
      <c r="F2207" s="12"/>
      <c r="K2207" s="5"/>
    </row>
    <row r="2208" spans="6:11" x14ac:dyDescent="0.25">
      <c r="F2208" s="12"/>
      <c r="K2208" s="5"/>
    </row>
    <row r="2209" spans="6:11" x14ac:dyDescent="0.25">
      <c r="F2209" s="12"/>
      <c r="K2209" s="5"/>
    </row>
    <row r="2210" spans="6:11" x14ac:dyDescent="0.25">
      <c r="F2210" s="12"/>
      <c r="K2210" s="5"/>
    </row>
    <row r="2211" spans="6:11" x14ac:dyDescent="0.25">
      <c r="F2211" s="12"/>
      <c r="K2211" s="5"/>
    </row>
    <row r="2212" spans="6:11" x14ac:dyDescent="0.25">
      <c r="F2212" s="12"/>
      <c r="K2212" s="5"/>
    </row>
    <row r="2213" spans="6:11" x14ac:dyDescent="0.25">
      <c r="F2213" s="12"/>
      <c r="K2213" s="5"/>
    </row>
    <row r="2214" spans="6:11" x14ac:dyDescent="0.25">
      <c r="F2214" s="12"/>
      <c r="K2214" s="5"/>
    </row>
    <row r="2215" spans="6:11" x14ac:dyDescent="0.25">
      <c r="F2215" s="12"/>
      <c r="K2215" s="5"/>
    </row>
    <row r="2216" spans="6:11" x14ac:dyDescent="0.25">
      <c r="F2216" s="12"/>
      <c r="K2216" s="5"/>
    </row>
    <row r="2217" spans="6:11" x14ac:dyDescent="0.25">
      <c r="F2217" s="12"/>
      <c r="K2217" s="5"/>
    </row>
    <row r="2218" spans="6:11" x14ac:dyDescent="0.25">
      <c r="F2218" s="12"/>
      <c r="K2218" s="5"/>
    </row>
    <row r="2219" spans="6:11" x14ac:dyDescent="0.25">
      <c r="F2219" s="12"/>
      <c r="K2219" s="5"/>
    </row>
    <row r="2220" spans="6:11" x14ac:dyDescent="0.25">
      <c r="F2220" s="12"/>
      <c r="K2220" s="5"/>
    </row>
    <row r="2221" spans="6:11" x14ac:dyDescent="0.25">
      <c r="F2221" s="12"/>
      <c r="K2221" s="5"/>
    </row>
    <row r="2222" spans="6:11" x14ac:dyDescent="0.25">
      <c r="F2222" s="12"/>
      <c r="K2222" s="5"/>
    </row>
    <row r="2223" spans="6:11" x14ac:dyDescent="0.25">
      <c r="F2223" s="12"/>
      <c r="K2223" s="5"/>
    </row>
    <row r="2224" spans="6:11" x14ac:dyDescent="0.25">
      <c r="F2224" s="12"/>
      <c r="K2224" s="5"/>
    </row>
    <row r="2225" spans="6:11" x14ac:dyDescent="0.25">
      <c r="F2225" s="12"/>
      <c r="K2225" s="5"/>
    </row>
    <row r="2226" spans="6:11" x14ac:dyDescent="0.25">
      <c r="F2226" s="12"/>
      <c r="K2226" s="5"/>
    </row>
    <row r="2227" spans="6:11" x14ac:dyDescent="0.25">
      <c r="F2227" s="12"/>
      <c r="K2227" s="5"/>
    </row>
    <row r="2228" spans="6:11" x14ac:dyDescent="0.25">
      <c r="F2228" s="12"/>
      <c r="K2228" s="5"/>
    </row>
    <row r="2229" spans="6:11" x14ac:dyDescent="0.25">
      <c r="F2229" s="12"/>
      <c r="K2229" s="5"/>
    </row>
    <row r="2230" spans="6:11" x14ac:dyDescent="0.25">
      <c r="F2230" s="12"/>
      <c r="K2230" s="5"/>
    </row>
    <row r="2231" spans="6:11" x14ac:dyDescent="0.25">
      <c r="F2231" s="12"/>
      <c r="K2231" s="5"/>
    </row>
    <row r="2232" spans="6:11" x14ac:dyDescent="0.25">
      <c r="F2232" s="12"/>
      <c r="K2232" s="5"/>
    </row>
    <row r="2233" spans="6:11" x14ac:dyDescent="0.25">
      <c r="F2233" s="12"/>
      <c r="K2233" s="5"/>
    </row>
    <row r="2234" spans="6:11" x14ac:dyDescent="0.25">
      <c r="F2234" s="12"/>
      <c r="K2234" s="5"/>
    </row>
    <row r="2235" spans="6:11" x14ac:dyDescent="0.25">
      <c r="F2235" s="12"/>
      <c r="K2235" s="5"/>
    </row>
    <row r="2236" spans="6:11" x14ac:dyDescent="0.25">
      <c r="F2236" s="12"/>
      <c r="K2236" s="5"/>
    </row>
    <row r="2237" spans="6:11" x14ac:dyDescent="0.25">
      <c r="F2237" s="12"/>
      <c r="K2237" s="5"/>
    </row>
    <row r="2238" spans="6:11" x14ac:dyDescent="0.25">
      <c r="F2238" s="12"/>
      <c r="K2238" s="5"/>
    </row>
    <row r="2239" spans="6:11" x14ac:dyDescent="0.25">
      <c r="F2239" s="12"/>
      <c r="K2239" s="5"/>
    </row>
    <row r="2240" spans="6:11" x14ac:dyDescent="0.25">
      <c r="F2240" s="12"/>
      <c r="K2240" s="5"/>
    </row>
    <row r="2241" spans="6:11" x14ac:dyDescent="0.25">
      <c r="F2241" s="12"/>
      <c r="K2241" s="5"/>
    </row>
    <row r="2242" spans="6:11" x14ac:dyDescent="0.25">
      <c r="F2242" s="12"/>
      <c r="K2242" s="5"/>
    </row>
    <row r="2243" spans="6:11" x14ac:dyDescent="0.25">
      <c r="F2243" s="12"/>
      <c r="K2243" s="5"/>
    </row>
    <row r="2244" spans="6:11" x14ac:dyDescent="0.25">
      <c r="F2244" s="12"/>
      <c r="K2244" s="5"/>
    </row>
    <row r="2245" spans="6:11" x14ac:dyDescent="0.25">
      <c r="F2245" s="12"/>
      <c r="K2245" s="5"/>
    </row>
    <row r="2246" spans="6:11" x14ac:dyDescent="0.25">
      <c r="F2246" s="12"/>
      <c r="K2246" s="5"/>
    </row>
    <row r="2247" spans="6:11" x14ac:dyDescent="0.25">
      <c r="F2247" s="12"/>
      <c r="K2247" s="5"/>
    </row>
    <row r="2248" spans="6:11" x14ac:dyDescent="0.25">
      <c r="F2248" s="12"/>
      <c r="K2248" s="5"/>
    </row>
    <row r="2249" spans="6:11" x14ac:dyDescent="0.25">
      <c r="F2249" s="12"/>
      <c r="K2249" s="5"/>
    </row>
    <row r="2250" spans="6:11" x14ac:dyDescent="0.25">
      <c r="F2250" s="12"/>
      <c r="K2250" s="5"/>
    </row>
    <row r="2251" spans="6:11" x14ac:dyDescent="0.25">
      <c r="F2251" s="12"/>
      <c r="K2251" s="5"/>
    </row>
    <row r="2252" spans="6:11" x14ac:dyDescent="0.25">
      <c r="F2252" s="12"/>
      <c r="K2252" s="5"/>
    </row>
    <row r="2253" spans="6:11" x14ac:dyDescent="0.25">
      <c r="F2253" s="12"/>
      <c r="K2253" s="5"/>
    </row>
    <row r="2254" spans="6:11" x14ac:dyDescent="0.25">
      <c r="F2254" s="12"/>
      <c r="K2254" s="5"/>
    </row>
    <row r="2255" spans="6:11" x14ac:dyDescent="0.25">
      <c r="F2255" s="12"/>
      <c r="K2255" s="5"/>
    </row>
    <row r="2256" spans="6:11" x14ac:dyDescent="0.25">
      <c r="F2256" s="12"/>
      <c r="K2256" s="5"/>
    </row>
    <row r="2257" spans="6:11" x14ac:dyDescent="0.25">
      <c r="F2257" s="12"/>
      <c r="K2257" s="5"/>
    </row>
    <row r="2258" spans="6:11" x14ac:dyDescent="0.25">
      <c r="F2258" s="12"/>
      <c r="K2258" s="5"/>
    </row>
    <row r="2259" spans="6:11" x14ac:dyDescent="0.25">
      <c r="F2259" s="12"/>
      <c r="K2259" s="5"/>
    </row>
    <row r="2260" spans="6:11" x14ac:dyDescent="0.25">
      <c r="F2260" s="12"/>
      <c r="K2260" s="5"/>
    </row>
    <row r="2261" spans="6:11" x14ac:dyDescent="0.25">
      <c r="F2261" s="12"/>
      <c r="K2261" s="5"/>
    </row>
    <row r="2262" spans="6:11" x14ac:dyDescent="0.25">
      <c r="F2262" s="12"/>
      <c r="K2262" s="5"/>
    </row>
    <row r="2263" spans="6:11" x14ac:dyDescent="0.25">
      <c r="F2263" s="12"/>
      <c r="K2263" s="5"/>
    </row>
    <row r="2264" spans="6:11" x14ac:dyDescent="0.25">
      <c r="F2264" s="12"/>
      <c r="K2264" s="5"/>
    </row>
    <row r="2265" spans="6:11" x14ac:dyDescent="0.25">
      <c r="F2265" s="12"/>
      <c r="K2265" s="5"/>
    </row>
    <row r="2266" spans="6:11" x14ac:dyDescent="0.25">
      <c r="F2266" s="12"/>
      <c r="K2266" s="5"/>
    </row>
    <row r="2267" spans="6:11" x14ac:dyDescent="0.25">
      <c r="F2267" s="12"/>
      <c r="K2267" s="5"/>
    </row>
    <row r="2268" spans="6:11" x14ac:dyDescent="0.25">
      <c r="F2268" s="12"/>
      <c r="K2268" s="5"/>
    </row>
    <row r="2269" spans="6:11" x14ac:dyDescent="0.25">
      <c r="F2269" s="12"/>
      <c r="K2269" s="5"/>
    </row>
    <row r="2270" spans="6:11" x14ac:dyDescent="0.25">
      <c r="F2270" s="12"/>
      <c r="K2270" s="5"/>
    </row>
    <row r="2271" spans="6:11" x14ac:dyDescent="0.25">
      <c r="F2271" s="12"/>
      <c r="K2271" s="5"/>
    </row>
    <row r="2272" spans="6:11" x14ac:dyDescent="0.25">
      <c r="F2272" s="12"/>
      <c r="K2272" s="5"/>
    </row>
    <row r="2273" spans="6:11" x14ac:dyDescent="0.25">
      <c r="F2273" s="12"/>
      <c r="K2273" s="5"/>
    </row>
    <row r="2274" spans="6:11" x14ac:dyDescent="0.25">
      <c r="F2274" s="12"/>
      <c r="K2274" s="5"/>
    </row>
    <row r="2275" spans="6:11" x14ac:dyDescent="0.25">
      <c r="F2275" s="12"/>
      <c r="K2275" s="5"/>
    </row>
    <row r="2276" spans="6:11" x14ac:dyDescent="0.25">
      <c r="F2276" s="12"/>
      <c r="K2276" s="5"/>
    </row>
    <row r="2277" spans="6:11" x14ac:dyDescent="0.25">
      <c r="F2277" s="12"/>
      <c r="K2277" s="5"/>
    </row>
    <row r="2278" spans="6:11" x14ac:dyDescent="0.25">
      <c r="F2278" s="12"/>
      <c r="K2278" s="5"/>
    </row>
    <row r="2279" spans="6:11" x14ac:dyDescent="0.25">
      <c r="F2279" s="12"/>
      <c r="K2279" s="5"/>
    </row>
    <row r="2280" spans="6:11" x14ac:dyDescent="0.25">
      <c r="F2280" s="12"/>
      <c r="K2280" s="5"/>
    </row>
    <row r="2281" spans="6:11" x14ac:dyDescent="0.25">
      <c r="F2281" s="12"/>
      <c r="K2281" s="5"/>
    </row>
    <row r="2282" spans="6:11" x14ac:dyDescent="0.25">
      <c r="F2282" s="12"/>
      <c r="K2282" s="5"/>
    </row>
    <row r="2283" spans="6:11" x14ac:dyDescent="0.25">
      <c r="F2283" s="12"/>
      <c r="K2283" s="5"/>
    </row>
    <row r="2284" spans="6:11" x14ac:dyDescent="0.25">
      <c r="F2284" s="12"/>
      <c r="K2284" s="5"/>
    </row>
    <row r="2285" spans="6:11" x14ac:dyDescent="0.25">
      <c r="F2285" s="12"/>
      <c r="K2285" s="5"/>
    </row>
    <row r="2286" spans="6:11" x14ac:dyDescent="0.25">
      <c r="F2286" s="12"/>
      <c r="K2286" s="5"/>
    </row>
    <row r="2287" spans="6:11" x14ac:dyDescent="0.25">
      <c r="F2287" s="12"/>
      <c r="K2287" s="5"/>
    </row>
    <row r="2288" spans="6:11" x14ac:dyDescent="0.25">
      <c r="F2288" s="12"/>
      <c r="K2288" s="5"/>
    </row>
    <row r="2289" spans="6:11" x14ac:dyDescent="0.25">
      <c r="F2289" s="12"/>
      <c r="K2289" s="5"/>
    </row>
    <row r="2290" spans="6:11" x14ac:dyDescent="0.25">
      <c r="F2290" s="12"/>
      <c r="K2290" s="5"/>
    </row>
    <row r="2291" spans="6:11" x14ac:dyDescent="0.25">
      <c r="F2291" s="12"/>
      <c r="K2291" s="5"/>
    </row>
    <row r="2292" spans="6:11" x14ac:dyDescent="0.25">
      <c r="F2292" s="12"/>
      <c r="K2292" s="5"/>
    </row>
    <row r="2293" spans="6:11" x14ac:dyDescent="0.25">
      <c r="F2293" s="12"/>
      <c r="K2293" s="5"/>
    </row>
    <row r="2294" spans="6:11" x14ac:dyDescent="0.25">
      <c r="F2294" s="12"/>
      <c r="K2294" s="5"/>
    </row>
    <row r="2295" spans="6:11" x14ac:dyDescent="0.25">
      <c r="F2295" s="12"/>
      <c r="K2295" s="5"/>
    </row>
    <row r="2296" spans="6:11" x14ac:dyDescent="0.25">
      <c r="F2296" s="12"/>
      <c r="K2296" s="5"/>
    </row>
    <row r="2297" spans="6:11" x14ac:dyDescent="0.25">
      <c r="F2297" s="12"/>
      <c r="K2297" s="5"/>
    </row>
    <row r="2298" spans="6:11" x14ac:dyDescent="0.25">
      <c r="F2298" s="12"/>
      <c r="K2298" s="5"/>
    </row>
    <row r="2299" spans="6:11" x14ac:dyDescent="0.25">
      <c r="F2299" s="12"/>
      <c r="K2299" s="5"/>
    </row>
    <row r="2300" spans="6:11" x14ac:dyDescent="0.25">
      <c r="F2300" s="12"/>
      <c r="K2300" s="5"/>
    </row>
    <row r="2301" spans="6:11" x14ac:dyDescent="0.25">
      <c r="F2301" s="12"/>
      <c r="K2301" s="5"/>
    </row>
    <row r="2302" spans="6:11" x14ac:dyDescent="0.25">
      <c r="F2302" s="12"/>
      <c r="K2302" s="5"/>
    </row>
    <row r="2303" spans="6:11" x14ac:dyDescent="0.25">
      <c r="F2303" s="12"/>
      <c r="K2303" s="5"/>
    </row>
    <row r="2304" spans="6:11" x14ac:dyDescent="0.25">
      <c r="F2304" s="12"/>
      <c r="K2304" s="5"/>
    </row>
    <row r="2305" spans="6:11" x14ac:dyDescent="0.25">
      <c r="F2305" s="12"/>
      <c r="K2305" s="5"/>
    </row>
    <row r="2306" spans="6:11" x14ac:dyDescent="0.25">
      <c r="F2306" s="12"/>
      <c r="K2306" s="5"/>
    </row>
    <row r="2307" spans="6:11" x14ac:dyDescent="0.25">
      <c r="F2307" s="12"/>
      <c r="K2307" s="5"/>
    </row>
    <row r="2308" spans="6:11" x14ac:dyDescent="0.25">
      <c r="F2308" s="12"/>
      <c r="K2308" s="5"/>
    </row>
    <row r="2309" spans="6:11" x14ac:dyDescent="0.25">
      <c r="F2309" s="12"/>
      <c r="K2309" s="5"/>
    </row>
    <row r="2310" spans="6:11" x14ac:dyDescent="0.25">
      <c r="F2310" s="12"/>
      <c r="K2310" s="5"/>
    </row>
    <row r="2311" spans="6:11" x14ac:dyDescent="0.25">
      <c r="F2311" s="12"/>
      <c r="K2311" s="5"/>
    </row>
    <row r="2312" spans="6:11" x14ac:dyDescent="0.25">
      <c r="F2312" s="12"/>
      <c r="K2312" s="5"/>
    </row>
    <row r="2313" spans="6:11" x14ac:dyDescent="0.25">
      <c r="F2313" s="12"/>
      <c r="K2313" s="5"/>
    </row>
    <row r="2314" spans="6:11" x14ac:dyDescent="0.25">
      <c r="F2314" s="12"/>
      <c r="K2314" s="5"/>
    </row>
    <row r="2315" spans="6:11" x14ac:dyDescent="0.25">
      <c r="F2315" s="12"/>
      <c r="K2315" s="5"/>
    </row>
    <row r="2316" spans="6:11" x14ac:dyDescent="0.25">
      <c r="F2316" s="12"/>
      <c r="K2316" s="5"/>
    </row>
    <row r="2317" spans="6:11" x14ac:dyDescent="0.25">
      <c r="F2317" s="12"/>
      <c r="K2317" s="5"/>
    </row>
    <row r="2318" spans="6:11" x14ac:dyDescent="0.25">
      <c r="F2318" s="12"/>
      <c r="K2318" s="5"/>
    </row>
    <row r="2319" spans="6:11" x14ac:dyDescent="0.25">
      <c r="F2319" s="12"/>
      <c r="K2319" s="5"/>
    </row>
    <row r="2320" spans="6:11" x14ac:dyDescent="0.25">
      <c r="F2320" s="12"/>
      <c r="K2320" s="5"/>
    </row>
    <row r="2321" spans="6:11" x14ac:dyDescent="0.25">
      <c r="F2321" s="12"/>
      <c r="K2321" s="5"/>
    </row>
    <row r="2322" spans="6:11" x14ac:dyDescent="0.25">
      <c r="F2322" s="12"/>
      <c r="K2322" s="5"/>
    </row>
    <row r="2323" spans="6:11" x14ac:dyDescent="0.25">
      <c r="F2323" s="12"/>
      <c r="K2323" s="5"/>
    </row>
    <row r="2324" spans="6:11" x14ac:dyDescent="0.25">
      <c r="F2324" s="12"/>
      <c r="K2324" s="5"/>
    </row>
    <row r="2325" spans="6:11" x14ac:dyDescent="0.25">
      <c r="F2325" s="12"/>
      <c r="K2325" s="5"/>
    </row>
    <row r="2326" spans="6:11" x14ac:dyDescent="0.25">
      <c r="F2326" s="12"/>
      <c r="K2326" s="5"/>
    </row>
    <row r="2327" spans="6:11" x14ac:dyDescent="0.25">
      <c r="F2327" s="12"/>
      <c r="K2327" s="5"/>
    </row>
    <row r="2328" spans="6:11" x14ac:dyDescent="0.25">
      <c r="F2328" s="12"/>
      <c r="K2328" s="5"/>
    </row>
    <row r="2329" spans="6:11" x14ac:dyDescent="0.25">
      <c r="F2329" s="12"/>
      <c r="K2329" s="5"/>
    </row>
    <row r="2330" spans="6:11" x14ac:dyDescent="0.25">
      <c r="F2330" s="12"/>
      <c r="K2330" s="5"/>
    </row>
    <row r="2331" spans="6:11" x14ac:dyDescent="0.25">
      <c r="F2331" s="12"/>
      <c r="K2331" s="5"/>
    </row>
    <row r="2332" spans="6:11" x14ac:dyDescent="0.25">
      <c r="F2332" s="12"/>
      <c r="K2332" s="5"/>
    </row>
    <row r="2333" spans="6:11" x14ac:dyDescent="0.25">
      <c r="F2333" s="12"/>
      <c r="K2333" s="5"/>
    </row>
    <row r="2334" spans="6:11" x14ac:dyDescent="0.25">
      <c r="F2334" s="12"/>
      <c r="K2334" s="5"/>
    </row>
    <row r="2335" spans="6:11" x14ac:dyDescent="0.25">
      <c r="F2335" s="12"/>
      <c r="K2335" s="5"/>
    </row>
    <row r="2336" spans="6:11" x14ac:dyDescent="0.25">
      <c r="F2336" s="12"/>
      <c r="K2336" s="5"/>
    </row>
    <row r="2337" spans="6:11" x14ac:dyDescent="0.25">
      <c r="F2337" s="12"/>
      <c r="K2337" s="5"/>
    </row>
    <row r="2338" spans="6:11" x14ac:dyDescent="0.25">
      <c r="F2338" s="12"/>
      <c r="K2338" s="5"/>
    </row>
    <row r="2339" spans="6:11" x14ac:dyDescent="0.25">
      <c r="F2339" s="12"/>
      <c r="K2339" s="5"/>
    </row>
    <row r="2340" spans="6:11" x14ac:dyDescent="0.25">
      <c r="F2340" s="12"/>
      <c r="K2340" s="5"/>
    </row>
    <row r="2341" spans="6:11" x14ac:dyDescent="0.25">
      <c r="F2341" s="12"/>
      <c r="K2341" s="5"/>
    </row>
    <row r="2342" spans="6:11" x14ac:dyDescent="0.25">
      <c r="F2342" s="12"/>
      <c r="K2342" s="5"/>
    </row>
    <row r="2343" spans="6:11" x14ac:dyDescent="0.25">
      <c r="F2343" s="12"/>
      <c r="K2343" s="5"/>
    </row>
    <row r="2344" spans="6:11" x14ac:dyDescent="0.25">
      <c r="F2344" s="12"/>
      <c r="K2344" s="5"/>
    </row>
    <row r="2345" spans="6:11" x14ac:dyDescent="0.25">
      <c r="F2345" s="12"/>
      <c r="K2345" s="5"/>
    </row>
    <row r="2346" spans="6:11" x14ac:dyDescent="0.25">
      <c r="F2346" s="12"/>
      <c r="K2346" s="5"/>
    </row>
    <row r="2347" spans="6:11" x14ac:dyDescent="0.25">
      <c r="F2347" s="12"/>
      <c r="K2347" s="5"/>
    </row>
    <row r="2348" spans="6:11" x14ac:dyDescent="0.25">
      <c r="F2348" s="12"/>
      <c r="K2348" s="5"/>
    </row>
    <row r="2349" spans="6:11" x14ac:dyDescent="0.25">
      <c r="F2349" s="12"/>
      <c r="K2349" s="5"/>
    </row>
    <row r="2350" spans="6:11" x14ac:dyDescent="0.25">
      <c r="F2350" s="12"/>
      <c r="K2350" s="5"/>
    </row>
    <row r="2351" spans="6:11" x14ac:dyDescent="0.25">
      <c r="F2351" s="12"/>
      <c r="K2351" s="5"/>
    </row>
    <row r="2352" spans="6:11" x14ac:dyDescent="0.25">
      <c r="F2352" s="12"/>
      <c r="K2352" s="5"/>
    </row>
    <row r="2353" spans="6:11" x14ac:dyDescent="0.25">
      <c r="F2353" s="12"/>
      <c r="K2353" s="5"/>
    </row>
    <row r="2354" spans="6:11" x14ac:dyDescent="0.25">
      <c r="F2354" s="12"/>
      <c r="K2354" s="5"/>
    </row>
    <row r="2355" spans="6:11" x14ac:dyDescent="0.25">
      <c r="F2355" s="12"/>
      <c r="K2355" s="5"/>
    </row>
    <row r="2356" spans="6:11" x14ac:dyDescent="0.25">
      <c r="F2356" s="12"/>
      <c r="K2356" s="5"/>
    </row>
    <row r="2357" spans="6:11" x14ac:dyDescent="0.25">
      <c r="F2357" s="12"/>
      <c r="K2357" s="5"/>
    </row>
    <row r="2358" spans="6:11" x14ac:dyDescent="0.25">
      <c r="F2358" s="12"/>
      <c r="K2358" s="5"/>
    </row>
    <row r="2359" spans="6:11" x14ac:dyDescent="0.25">
      <c r="F2359" s="12"/>
      <c r="K2359" s="5"/>
    </row>
    <row r="2360" spans="6:11" x14ac:dyDescent="0.25">
      <c r="F2360" s="12"/>
      <c r="K2360" s="5"/>
    </row>
    <row r="2361" spans="6:11" x14ac:dyDescent="0.25">
      <c r="F2361" s="12"/>
      <c r="K2361" s="5"/>
    </row>
    <row r="2362" spans="6:11" x14ac:dyDescent="0.25">
      <c r="F2362" s="12"/>
      <c r="K2362" s="5"/>
    </row>
    <row r="2363" spans="6:11" x14ac:dyDescent="0.25">
      <c r="F2363" s="12"/>
      <c r="K2363" s="5"/>
    </row>
    <row r="2364" spans="6:11" x14ac:dyDescent="0.25">
      <c r="F2364" s="12"/>
      <c r="K2364" s="5"/>
    </row>
    <row r="2365" spans="6:11" x14ac:dyDescent="0.25">
      <c r="F2365" s="12"/>
      <c r="K2365" s="5"/>
    </row>
    <row r="2366" spans="6:11" x14ac:dyDescent="0.25">
      <c r="F2366" s="12"/>
      <c r="K2366" s="5"/>
    </row>
    <row r="2367" spans="6:11" x14ac:dyDescent="0.25">
      <c r="F2367" s="12"/>
      <c r="K2367" s="5"/>
    </row>
    <row r="2368" spans="6:11" x14ac:dyDescent="0.25">
      <c r="F2368" s="12"/>
      <c r="K2368" s="5"/>
    </row>
    <row r="2369" spans="6:11" x14ac:dyDescent="0.25">
      <c r="F2369" s="12"/>
      <c r="K2369" s="5"/>
    </row>
    <row r="2370" spans="6:11" x14ac:dyDescent="0.25">
      <c r="F2370" s="12"/>
      <c r="K2370" s="5"/>
    </row>
    <row r="2371" spans="6:11" x14ac:dyDescent="0.25">
      <c r="F2371" s="12"/>
      <c r="K2371" s="5"/>
    </row>
    <row r="2372" spans="6:11" x14ac:dyDescent="0.25">
      <c r="F2372" s="12"/>
      <c r="K2372" s="5"/>
    </row>
    <row r="2373" spans="6:11" x14ac:dyDescent="0.25">
      <c r="F2373" s="12"/>
      <c r="K2373" s="5"/>
    </row>
    <row r="2374" spans="6:11" x14ac:dyDescent="0.25">
      <c r="F2374" s="12"/>
      <c r="K2374" s="5"/>
    </row>
    <row r="2375" spans="6:11" x14ac:dyDescent="0.25">
      <c r="F2375" s="12"/>
      <c r="K2375" s="5"/>
    </row>
    <row r="2376" spans="6:11" x14ac:dyDescent="0.25">
      <c r="F2376" s="12"/>
      <c r="K2376" s="5"/>
    </row>
    <row r="2377" spans="6:11" x14ac:dyDescent="0.25">
      <c r="F2377" s="12"/>
      <c r="K2377" s="5"/>
    </row>
    <row r="2378" spans="6:11" x14ac:dyDescent="0.25">
      <c r="F2378" s="12"/>
      <c r="K2378" s="5"/>
    </row>
    <row r="2379" spans="6:11" x14ac:dyDescent="0.25">
      <c r="F2379" s="12"/>
      <c r="K2379" s="5"/>
    </row>
    <row r="2380" spans="6:11" x14ac:dyDescent="0.25">
      <c r="F2380" s="12"/>
      <c r="K2380" s="5"/>
    </row>
    <row r="2381" spans="6:11" x14ac:dyDescent="0.25">
      <c r="F2381" s="12"/>
      <c r="K2381" s="5"/>
    </row>
    <row r="2382" spans="6:11" x14ac:dyDescent="0.25">
      <c r="F2382" s="12"/>
      <c r="K2382" s="5"/>
    </row>
    <row r="2383" spans="6:11" x14ac:dyDescent="0.25">
      <c r="F2383" s="12"/>
      <c r="K2383" s="5"/>
    </row>
    <row r="2384" spans="6:11" x14ac:dyDescent="0.25">
      <c r="F2384" s="12"/>
      <c r="K2384" s="5"/>
    </row>
    <row r="2385" spans="6:11" x14ac:dyDescent="0.25">
      <c r="F2385" s="12"/>
      <c r="K2385" s="5"/>
    </row>
    <row r="2386" spans="6:11" x14ac:dyDescent="0.25">
      <c r="F2386" s="12"/>
      <c r="K2386" s="5"/>
    </row>
    <row r="2387" spans="6:11" x14ac:dyDescent="0.25">
      <c r="F2387" s="12"/>
      <c r="K2387" s="5"/>
    </row>
    <row r="2388" spans="6:11" x14ac:dyDescent="0.25">
      <c r="F2388" s="12"/>
      <c r="K2388" s="5"/>
    </row>
    <row r="2389" spans="6:11" x14ac:dyDescent="0.25">
      <c r="F2389" s="12"/>
      <c r="K2389" s="5"/>
    </row>
    <row r="2390" spans="6:11" x14ac:dyDescent="0.25">
      <c r="F2390" s="12"/>
      <c r="K2390" s="5"/>
    </row>
    <row r="2391" spans="6:11" x14ac:dyDescent="0.25">
      <c r="F2391" s="12"/>
      <c r="K2391" s="5"/>
    </row>
    <row r="2392" spans="6:11" x14ac:dyDescent="0.25">
      <c r="F2392" s="12"/>
      <c r="K2392" s="5"/>
    </row>
    <row r="2393" spans="6:11" x14ac:dyDescent="0.25">
      <c r="F2393" s="12"/>
      <c r="K2393" s="5"/>
    </row>
    <row r="2394" spans="6:11" x14ac:dyDescent="0.25">
      <c r="F2394" s="12"/>
      <c r="K2394" s="5"/>
    </row>
    <row r="2395" spans="6:11" x14ac:dyDescent="0.25">
      <c r="F2395" s="12"/>
      <c r="K2395" s="5"/>
    </row>
    <row r="2396" spans="6:11" x14ac:dyDescent="0.25">
      <c r="F2396" s="12"/>
      <c r="K2396" s="5"/>
    </row>
    <row r="2397" spans="6:11" x14ac:dyDescent="0.25">
      <c r="F2397" s="12"/>
      <c r="K2397" s="5"/>
    </row>
    <row r="2398" spans="6:11" x14ac:dyDescent="0.25">
      <c r="F2398" s="12"/>
      <c r="K2398" s="5"/>
    </row>
    <row r="2399" spans="6:11" x14ac:dyDescent="0.25">
      <c r="F2399" s="12"/>
      <c r="K2399" s="5"/>
    </row>
    <row r="2400" spans="6:11" x14ac:dyDescent="0.25">
      <c r="F2400" s="12"/>
      <c r="K2400" s="5"/>
    </row>
    <row r="2401" spans="6:11" x14ac:dyDescent="0.25">
      <c r="F2401" s="12"/>
      <c r="K2401" s="5"/>
    </row>
    <row r="2402" spans="6:11" x14ac:dyDescent="0.25">
      <c r="F2402" s="12"/>
      <c r="K2402" s="5"/>
    </row>
    <row r="2403" spans="6:11" x14ac:dyDescent="0.25">
      <c r="F2403" s="12"/>
      <c r="K2403" s="5"/>
    </row>
    <row r="2404" spans="6:11" x14ac:dyDescent="0.25">
      <c r="F2404" s="12"/>
      <c r="K2404" s="5"/>
    </row>
    <row r="2405" spans="6:11" x14ac:dyDescent="0.25">
      <c r="F2405" s="12"/>
      <c r="K2405" s="5"/>
    </row>
    <row r="2406" spans="6:11" x14ac:dyDescent="0.25">
      <c r="F2406" s="12"/>
      <c r="K2406" s="5"/>
    </row>
    <row r="2407" spans="6:11" x14ac:dyDescent="0.25">
      <c r="F2407" s="12"/>
      <c r="K2407" s="5"/>
    </row>
    <row r="2408" spans="6:11" x14ac:dyDescent="0.25">
      <c r="F2408" s="12"/>
      <c r="K2408" s="5"/>
    </row>
    <row r="2409" spans="6:11" x14ac:dyDescent="0.25">
      <c r="F2409" s="12"/>
      <c r="K2409" s="5"/>
    </row>
    <row r="2410" spans="6:11" x14ac:dyDescent="0.25">
      <c r="F2410" s="12"/>
      <c r="K2410" s="5"/>
    </row>
    <row r="2411" spans="6:11" x14ac:dyDescent="0.25">
      <c r="F2411" s="12"/>
      <c r="K2411" s="5"/>
    </row>
    <row r="2412" spans="6:11" x14ac:dyDescent="0.25">
      <c r="F2412" s="12"/>
      <c r="K2412" s="5"/>
    </row>
    <row r="2413" spans="6:11" x14ac:dyDescent="0.25">
      <c r="F2413" s="12"/>
      <c r="K2413" s="5"/>
    </row>
    <row r="2414" spans="6:11" x14ac:dyDescent="0.25">
      <c r="F2414" s="12"/>
      <c r="K2414" s="5"/>
    </row>
    <row r="2415" spans="6:11" x14ac:dyDescent="0.25">
      <c r="F2415" s="12"/>
      <c r="K2415" s="5"/>
    </row>
    <row r="2416" spans="6:11" x14ac:dyDescent="0.25">
      <c r="F2416" s="12"/>
      <c r="K2416" s="5"/>
    </row>
    <row r="2417" spans="6:11" x14ac:dyDescent="0.25">
      <c r="F2417" s="12"/>
      <c r="K2417" s="5"/>
    </row>
    <row r="2418" spans="6:11" x14ac:dyDescent="0.25">
      <c r="F2418" s="12"/>
      <c r="K2418" s="5"/>
    </row>
    <row r="2419" spans="6:11" x14ac:dyDescent="0.25">
      <c r="F2419" s="12"/>
      <c r="K2419" s="5"/>
    </row>
    <row r="2420" spans="6:11" x14ac:dyDescent="0.25">
      <c r="F2420" s="12"/>
      <c r="K2420" s="5"/>
    </row>
    <row r="2421" spans="6:11" x14ac:dyDescent="0.25">
      <c r="F2421" s="12"/>
      <c r="K2421" s="5"/>
    </row>
    <row r="2422" spans="6:11" x14ac:dyDescent="0.25">
      <c r="F2422" s="12"/>
      <c r="K2422" s="5"/>
    </row>
    <row r="2423" spans="6:11" x14ac:dyDescent="0.25">
      <c r="F2423" s="12"/>
      <c r="K2423" s="5"/>
    </row>
    <row r="2424" spans="6:11" x14ac:dyDescent="0.25">
      <c r="F2424" s="12"/>
      <c r="K2424" s="5"/>
    </row>
    <row r="2425" spans="6:11" x14ac:dyDescent="0.25">
      <c r="F2425" s="12"/>
      <c r="K2425" s="5"/>
    </row>
    <row r="2426" spans="6:11" x14ac:dyDescent="0.25">
      <c r="F2426" s="12"/>
      <c r="K2426" s="5"/>
    </row>
    <row r="2427" spans="6:11" x14ac:dyDescent="0.25">
      <c r="F2427" s="12"/>
      <c r="K2427" s="5"/>
    </row>
    <row r="2428" spans="6:11" x14ac:dyDescent="0.25">
      <c r="F2428" s="12"/>
      <c r="K2428" s="5"/>
    </row>
    <row r="2429" spans="6:11" x14ac:dyDescent="0.25">
      <c r="F2429" s="12"/>
      <c r="K2429" s="5"/>
    </row>
    <row r="2430" spans="6:11" x14ac:dyDescent="0.25">
      <c r="F2430" s="12"/>
      <c r="K2430" s="5"/>
    </row>
    <row r="2431" spans="6:11" x14ac:dyDescent="0.25">
      <c r="F2431" s="12"/>
      <c r="K2431" s="5"/>
    </row>
    <row r="2432" spans="6:11" x14ac:dyDescent="0.25">
      <c r="F2432" s="12"/>
      <c r="K2432" s="5"/>
    </row>
    <row r="2433" spans="6:11" x14ac:dyDescent="0.25">
      <c r="F2433" s="12"/>
      <c r="K2433" s="5"/>
    </row>
    <row r="2434" spans="6:11" x14ac:dyDescent="0.25">
      <c r="F2434" s="12"/>
      <c r="K2434" s="5"/>
    </row>
    <row r="2435" spans="6:11" x14ac:dyDescent="0.25">
      <c r="F2435" s="12"/>
      <c r="K2435" s="5"/>
    </row>
    <row r="2436" spans="6:11" x14ac:dyDescent="0.25">
      <c r="F2436" s="12"/>
      <c r="K2436" s="5"/>
    </row>
    <row r="2437" spans="6:11" x14ac:dyDescent="0.25">
      <c r="F2437" s="12"/>
      <c r="K2437" s="5"/>
    </row>
    <row r="2438" spans="6:11" x14ac:dyDescent="0.25">
      <c r="F2438" s="12"/>
      <c r="K2438" s="5"/>
    </row>
    <row r="2439" spans="6:11" x14ac:dyDescent="0.25">
      <c r="F2439" s="12"/>
      <c r="K2439" s="5"/>
    </row>
    <row r="2440" spans="6:11" x14ac:dyDescent="0.25">
      <c r="F2440" s="12"/>
      <c r="K2440" s="5"/>
    </row>
    <row r="2441" spans="6:11" x14ac:dyDescent="0.25">
      <c r="F2441" s="12"/>
      <c r="K2441" s="5"/>
    </row>
    <row r="2442" spans="6:11" x14ac:dyDescent="0.25">
      <c r="F2442" s="12"/>
      <c r="K2442" s="5"/>
    </row>
    <row r="2443" spans="6:11" x14ac:dyDescent="0.25">
      <c r="F2443" s="12"/>
      <c r="K2443" s="5"/>
    </row>
    <row r="2444" spans="6:11" x14ac:dyDescent="0.25">
      <c r="F2444" s="12"/>
      <c r="K2444" s="5"/>
    </row>
    <row r="2445" spans="6:11" x14ac:dyDescent="0.25">
      <c r="F2445" s="12"/>
      <c r="K2445" s="5"/>
    </row>
    <row r="2446" spans="6:11" x14ac:dyDescent="0.25">
      <c r="F2446" s="12"/>
      <c r="K2446" s="5"/>
    </row>
    <row r="2447" spans="6:11" x14ac:dyDescent="0.25">
      <c r="F2447" s="12"/>
      <c r="K2447" s="5"/>
    </row>
    <row r="2448" spans="6:11" x14ac:dyDescent="0.25">
      <c r="F2448" s="12"/>
      <c r="K2448" s="5"/>
    </row>
    <row r="2449" spans="6:11" x14ac:dyDescent="0.25">
      <c r="F2449" s="12"/>
      <c r="K2449" s="5"/>
    </row>
    <row r="2450" spans="6:11" x14ac:dyDescent="0.25">
      <c r="F2450" s="12"/>
      <c r="K2450" s="5"/>
    </row>
    <row r="2451" spans="6:11" x14ac:dyDescent="0.25">
      <c r="F2451" s="12"/>
      <c r="K2451" s="5"/>
    </row>
    <row r="2452" spans="6:11" x14ac:dyDescent="0.25">
      <c r="F2452" s="12"/>
      <c r="K2452" s="5"/>
    </row>
    <row r="2453" spans="6:11" x14ac:dyDescent="0.25">
      <c r="F2453" s="12"/>
      <c r="K2453" s="5"/>
    </row>
    <row r="2454" spans="6:11" x14ac:dyDescent="0.25">
      <c r="F2454" s="12"/>
      <c r="K2454" s="5"/>
    </row>
    <row r="2455" spans="6:11" x14ac:dyDescent="0.25">
      <c r="F2455" s="12"/>
      <c r="K2455" s="5"/>
    </row>
    <row r="2456" spans="6:11" x14ac:dyDescent="0.25">
      <c r="F2456" s="12"/>
      <c r="K2456" s="5"/>
    </row>
    <row r="2457" spans="6:11" x14ac:dyDescent="0.25">
      <c r="F2457" s="12"/>
      <c r="K2457" s="5"/>
    </row>
    <row r="2458" spans="6:11" x14ac:dyDescent="0.25">
      <c r="F2458" s="12"/>
      <c r="K2458" s="5"/>
    </row>
    <row r="2459" spans="6:11" x14ac:dyDescent="0.25">
      <c r="F2459" s="12"/>
      <c r="K2459" s="5"/>
    </row>
    <row r="2460" spans="6:11" x14ac:dyDescent="0.25">
      <c r="F2460" s="12"/>
      <c r="K2460" s="5"/>
    </row>
    <row r="2461" spans="6:11" x14ac:dyDescent="0.25">
      <c r="F2461" s="12"/>
      <c r="K2461" s="5"/>
    </row>
    <row r="2462" spans="6:11" x14ac:dyDescent="0.25">
      <c r="F2462" s="12"/>
      <c r="K2462" s="5"/>
    </row>
    <row r="2463" spans="6:11" x14ac:dyDescent="0.25">
      <c r="F2463" s="12"/>
      <c r="K2463" s="5"/>
    </row>
    <row r="2464" spans="6:11" x14ac:dyDescent="0.25">
      <c r="F2464" s="12"/>
      <c r="K2464" s="5"/>
    </row>
    <row r="2465" spans="6:11" x14ac:dyDescent="0.25">
      <c r="F2465" s="12"/>
      <c r="K2465" s="5"/>
    </row>
    <row r="2466" spans="6:11" x14ac:dyDescent="0.25">
      <c r="F2466" s="12"/>
      <c r="K2466" s="5"/>
    </row>
    <row r="2467" spans="6:11" x14ac:dyDescent="0.25">
      <c r="F2467" s="12"/>
      <c r="K2467" s="5"/>
    </row>
    <row r="2468" spans="6:11" x14ac:dyDescent="0.25">
      <c r="F2468" s="12"/>
      <c r="K2468" s="5"/>
    </row>
    <row r="2469" spans="6:11" x14ac:dyDescent="0.25">
      <c r="F2469" s="12"/>
      <c r="K2469" s="5"/>
    </row>
    <row r="2470" spans="6:11" x14ac:dyDescent="0.25">
      <c r="F2470" s="12"/>
      <c r="K2470" s="5"/>
    </row>
    <row r="2471" spans="6:11" x14ac:dyDescent="0.25">
      <c r="F2471" s="12"/>
      <c r="K2471" s="5"/>
    </row>
    <row r="2472" spans="6:11" x14ac:dyDescent="0.25">
      <c r="F2472" s="12"/>
      <c r="K2472" s="5"/>
    </row>
    <row r="2473" spans="6:11" x14ac:dyDescent="0.25">
      <c r="F2473" s="12"/>
      <c r="K2473" s="5"/>
    </row>
    <row r="2474" spans="6:11" x14ac:dyDescent="0.25">
      <c r="F2474" s="12"/>
      <c r="K2474" s="5"/>
    </row>
    <row r="2475" spans="6:11" x14ac:dyDescent="0.25">
      <c r="F2475" s="12"/>
      <c r="K2475" s="5"/>
    </row>
    <row r="2476" spans="6:11" x14ac:dyDescent="0.25">
      <c r="F2476" s="12"/>
      <c r="K2476" s="5"/>
    </row>
    <row r="2477" spans="6:11" x14ac:dyDescent="0.25">
      <c r="F2477" s="12"/>
      <c r="K2477" s="5"/>
    </row>
    <row r="2478" spans="6:11" x14ac:dyDescent="0.25">
      <c r="F2478" s="12"/>
      <c r="K2478" s="5"/>
    </row>
    <row r="2479" spans="6:11" x14ac:dyDescent="0.25">
      <c r="F2479" s="12"/>
      <c r="K2479" s="5"/>
    </row>
    <row r="2480" spans="6:11" x14ac:dyDescent="0.25">
      <c r="F2480" s="12"/>
      <c r="K2480" s="5"/>
    </row>
    <row r="2481" spans="6:11" x14ac:dyDescent="0.25">
      <c r="F2481" s="12"/>
      <c r="K2481" s="5"/>
    </row>
    <row r="2482" spans="6:11" x14ac:dyDescent="0.25">
      <c r="F2482" s="12"/>
      <c r="K2482" s="5"/>
    </row>
    <row r="2483" spans="6:11" x14ac:dyDescent="0.25">
      <c r="F2483" s="12"/>
      <c r="K2483" s="5"/>
    </row>
    <row r="2484" spans="6:11" x14ac:dyDescent="0.25">
      <c r="F2484" s="12"/>
      <c r="K2484" s="5"/>
    </row>
    <row r="2485" spans="6:11" x14ac:dyDescent="0.25">
      <c r="F2485" s="12"/>
      <c r="K2485" s="5"/>
    </row>
    <row r="2486" spans="6:11" x14ac:dyDescent="0.25">
      <c r="F2486" s="12"/>
      <c r="K2486" s="5"/>
    </row>
    <row r="2487" spans="6:11" x14ac:dyDescent="0.25">
      <c r="F2487" s="12"/>
      <c r="K2487" s="5"/>
    </row>
    <row r="2488" spans="6:11" x14ac:dyDescent="0.25">
      <c r="F2488" s="12"/>
      <c r="K2488" s="5"/>
    </row>
    <row r="2489" spans="6:11" x14ac:dyDescent="0.25">
      <c r="F2489" s="12"/>
      <c r="K2489" s="5"/>
    </row>
    <row r="2490" spans="6:11" x14ac:dyDescent="0.25">
      <c r="F2490" s="12"/>
      <c r="K2490" s="5"/>
    </row>
    <row r="2491" spans="6:11" x14ac:dyDescent="0.25">
      <c r="F2491" s="12"/>
      <c r="K2491" s="5"/>
    </row>
    <row r="2492" spans="6:11" x14ac:dyDescent="0.25">
      <c r="F2492" s="12"/>
      <c r="K2492" s="5"/>
    </row>
    <row r="2493" spans="6:11" x14ac:dyDescent="0.25">
      <c r="F2493" s="12"/>
      <c r="K2493" s="5"/>
    </row>
    <row r="2494" spans="6:11" x14ac:dyDescent="0.25">
      <c r="F2494" s="12"/>
      <c r="K2494" s="5"/>
    </row>
    <row r="2495" spans="6:11" x14ac:dyDescent="0.25">
      <c r="F2495" s="12"/>
      <c r="K2495" s="5"/>
    </row>
    <row r="2496" spans="6:11" x14ac:dyDescent="0.25">
      <c r="F2496" s="12"/>
      <c r="K2496" s="5"/>
    </row>
    <row r="2497" spans="6:11" x14ac:dyDescent="0.25">
      <c r="F2497" s="12"/>
      <c r="K2497" s="5"/>
    </row>
    <row r="2498" spans="6:11" x14ac:dyDescent="0.25">
      <c r="F2498" s="12"/>
      <c r="K2498" s="5"/>
    </row>
    <row r="2499" spans="6:11" x14ac:dyDescent="0.25">
      <c r="F2499" s="12"/>
      <c r="K2499" s="5"/>
    </row>
    <row r="2500" spans="6:11" x14ac:dyDescent="0.25">
      <c r="F2500" s="12"/>
      <c r="K2500" s="5"/>
    </row>
    <row r="2501" spans="6:11" x14ac:dyDescent="0.25">
      <c r="F2501" s="12"/>
      <c r="K2501" s="5"/>
    </row>
    <row r="2502" spans="6:11" x14ac:dyDescent="0.25">
      <c r="F2502" s="12"/>
      <c r="K2502" s="5"/>
    </row>
    <row r="2503" spans="6:11" x14ac:dyDescent="0.25">
      <c r="F2503" s="12"/>
      <c r="K2503" s="5"/>
    </row>
    <row r="2504" spans="6:11" x14ac:dyDescent="0.25">
      <c r="F2504" s="12"/>
      <c r="K2504" s="5"/>
    </row>
    <row r="2505" spans="6:11" x14ac:dyDescent="0.25">
      <c r="F2505" s="12"/>
      <c r="K2505" s="5"/>
    </row>
    <row r="2506" spans="6:11" x14ac:dyDescent="0.25">
      <c r="F2506" s="12"/>
      <c r="K2506" s="5"/>
    </row>
    <row r="2507" spans="6:11" x14ac:dyDescent="0.25">
      <c r="F2507" s="12"/>
      <c r="K2507" s="5"/>
    </row>
    <row r="2508" spans="6:11" x14ac:dyDescent="0.25">
      <c r="F2508" s="12"/>
      <c r="K2508" s="5"/>
    </row>
    <row r="2509" spans="6:11" x14ac:dyDescent="0.25">
      <c r="F2509" s="12"/>
      <c r="K2509" s="5"/>
    </row>
    <row r="2510" spans="6:11" x14ac:dyDescent="0.25">
      <c r="F2510" s="12"/>
      <c r="K2510" s="5"/>
    </row>
    <row r="2511" spans="6:11" x14ac:dyDescent="0.25">
      <c r="F2511" s="12"/>
      <c r="K2511" s="5"/>
    </row>
    <row r="2512" spans="6:11" x14ac:dyDescent="0.25">
      <c r="F2512" s="12"/>
      <c r="K2512" s="5"/>
    </row>
    <row r="2513" spans="6:11" x14ac:dyDescent="0.25">
      <c r="F2513" s="12"/>
      <c r="K2513" s="5"/>
    </row>
    <row r="2514" spans="6:11" x14ac:dyDescent="0.25">
      <c r="F2514" s="12"/>
      <c r="K2514" s="5"/>
    </row>
    <row r="2515" spans="6:11" x14ac:dyDescent="0.25">
      <c r="F2515" s="12"/>
      <c r="K2515" s="5"/>
    </row>
    <row r="2516" spans="6:11" x14ac:dyDescent="0.25">
      <c r="F2516" s="12"/>
      <c r="K2516" s="5"/>
    </row>
    <row r="2517" spans="6:11" x14ac:dyDescent="0.25">
      <c r="F2517" s="12"/>
      <c r="K2517" s="5"/>
    </row>
    <row r="2518" spans="6:11" x14ac:dyDescent="0.25">
      <c r="F2518" s="12"/>
      <c r="K2518" s="5"/>
    </row>
    <row r="2519" spans="6:11" x14ac:dyDescent="0.25">
      <c r="F2519" s="12"/>
      <c r="K2519" s="5"/>
    </row>
    <row r="2520" spans="6:11" x14ac:dyDescent="0.25">
      <c r="F2520" s="12"/>
      <c r="K2520" s="5"/>
    </row>
    <row r="2521" spans="6:11" x14ac:dyDescent="0.25">
      <c r="F2521" s="12"/>
      <c r="K2521" s="5"/>
    </row>
    <row r="2522" spans="6:11" x14ac:dyDescent="0.25">
      <c r="F2522" s="12"/>
      <c r="K2522" s="5"/>
    </row>
    <row r="2523" spans="6:11" x14ac:dyDescent="0.25">
      <c r="F2523" s="12"/>
      <c r="K2523" s="5"/>
    </row>
    <row r="2524" spans="6:11" x14ac:dyDescent="0.25">
      <c r="F2524" s="12"/>
      <c r="K2524" s="5"/>
    </row>
    <row r="2525" spans="6:11" x14ac:dyDescent="0.25">
      <c r="F2525" s="12"/>
      <c r="K2525" s="5"/>
    </row>
    <row r="2526" spans="6:11" x14ac:dyDescent="0.25">
      <c r="F2526" s="12"/>
      <c r="K2526" s="5"/>
    </row>
    <row r="2527" spans="6:11" x14ac:dyDescent="0.25">
      <c r="F2527" s="12"/>
      <c r="K2527" s="5"/>
    </row>
    <row r="2528" spans="6:11" x14ac:dyDescent="0.25">
      <c r="F2528" s="12"/>
      <c r="K2528" s="5"/>
    </row>
    <row r="2529" spans="6:11" x14ac:dyDescent="0.25">
      <c r="F2529" s="12"/>
      <c r="K2529" s="5"/>
    </row>
    <row r="2530" spans="6:11" x14ac:dyDescent="0.25">
      <c r="F2530" s="12"/>
      <c r="K2530" s="5"/>
    </row>
    <row r="2531" spans="6:11" x14ac:dyDescent="0.25">
      <c r="F2531" s="12"/>
      <c r="K2531" s="5"/>
    </row>
    <row r="2532" spans="6:11" x14ac:dyDescent="0.25">
      <c r="F2532" s="12"/>
      <c r="K2532" s="5"/>
    </row>
    <row r="2533" spans="6:11" x14ac:dyDescent="0.25">
      <c r="F2533" s="12"/>
      <c r="K2533" s="5"/>
    </row>
    <row r="2534" spans="6:11" x14ac:dyDescent="0.25">
      <c r="F2534" s="12"/>
      <c r="K2534" s="5"/>
    </row>
    <row r="2535" spans="6:11" x14ac:dyDescent="0.25">
      <c r="F2535" s="12"/>
      <c r="K2535" s="5"/>
    </row>
    <row r="2536" spans="6:11" x14ac:dyDescent="0.25">
      <c r="F2536" s="12"/>
      <c r="K2536" s="5"/>
    </row>
    <row r="2537" spans="6:11" x14ac:dyDescent="0.25">
      <c r="F2537" s="12"/>
      <c r="K2537" s="5"/>
    </row>
    <row r="2538" spans="6:11" x14ac:dyDescent="0.25">
      <c r="F2538" s="12"/>
      <c r="K2538" s="5"/>
    </row>
    <row r="2539" spans="6:11" x14ac:dyDescent="0.25">
      <c r="F2539" s="12"/>
      <c r="K2539" s="5"/>
    </row>
    <row r="2540" spans="6:11" x14ac:dyDescent="0.25">
      <c r="F2540" s="12"/>
      <c r="K2540" s="5"/>
    </row>
    <row r="2541" spans="6:11" x14ac:dyDescent="0.25">
      <c r="F2541" s="12"/>
      <c r="K2541" s="5"/>
    </row>
    <row r="2542" spans="6:11" x14ac:dyDescent="0.25">
      <c r="F2542" s="12"/>
      <c r="K2542" s="5"/>
    </row>
    <row r="2543" spans="6:11" x14ac:dyDescent="0.25">
      <c r="F2543" s="12"/>
      <c r="K2543" s="5"/>
    </row>
    <row r="2544" spans="6:11" x14ac:dyDescent="0.25">
      <c r="F2544" s="12"/>
      <c r="K2544" s="5"/>
    </row>
    <row r="2545" spans="6:11" x14ac:dyDescent="0.25">
      <c r="F2545" s="12"/>
      <c r="K2545" s="5"/>
    </row>
    <row r="2546" spans="6:11" x14ac:dyDescent="0.25">
      <c r="F2546" s="12"/>
      <c r="K2546" s="5"/>
    </row>
    <row r="2547" spans="6:11" x14ac:dyDescent="0.25">
      <c r="F2547" s="12"/>
      <c r="K2547" s="5"/>
    </row>
    <row r="2548" spans="6:11" x14ac:dyDescent="0.25">
      <c r="F2548" s="12"/>
      <c r="K2548" s="5"/>
    </row>
    <row r="2549" spans="6:11" x14ac:dyDescent="0.25">
      <c r="F2549" s="12"/>
      <c r="K2549" s="5"/>
    </row>
    <row r="2550" spans="6:11" x14ac:dyDescent="0.25">
      <c r="F2550" s="12"/>
      <c r="K2550" s="5"/>
    </row>
    <row r="2551" spans="6:11" x14ac:dyDescent="0.25">
      <c r="F2551" s="12"/>
      <c r="K2551" s="5"/>
    </row>
    <row r="2552" spans="6:11" x14ac:dyDescent="0.25">
      <c r="F2552" s="12"/>
      <c r="K2552" s="5"/>
    </row>
    <row r="2553" spans="6:11" x14ac:dyDescent="0.25">
      <c r="F2553" s="12"/>
      <c r="K2553" s="5"/>
    </row>
    <row r="2554" spans="6:11" x14ac:dyDescent="0.25">
      <c r="F2554" s="12"/>
      <c r="K2554" s="5"/>
    </row>
    <row r="2555" spans="6:11" x14ac:dyDescent="0.25">
      <c r="F2555" s="12"/>
      <c r="K2555" s="5"/>
    </row>
    <row r="2556" spans="6:11" x14ac:dyDescent="0.25">
      <c r="F2556" s="12"/>
      <c r="K2556" s="5"/>
    </row>
    <row r="2557" spans="6:11" x14ac:dyDescent="0.25">
      <c r="F2557" s="12"/>
      <c r="K2557" s="5"/>
    </row>
    <row r="2558" spans="6:11" x14ac:dyDescent="0.25">
      <c r="F2558" s="12"/>
      <c r="K2558" s="5"/>
    </row>
    <row r="2559" spans="6:11" x14ac:dyDescent="0.25">
      <c r="F2559" s="12"/>
      <c r="K2559" s="5"/>
    </row>
    <row r="2560" spans="6:11" x14ac:dyDescent="0.25">
      <c r="F2560" s="12"/>
      <c r="K2560" s="5"/>
    </row>
    <row r="2561" spans="6:11" x14ac:dyDescent="0.25">
      <c r="F2561" s="12"/>
      <c r="K2561" s="5"/>
    </row>
    <row r="2562" spans="6:11" x14ac:dyDescent="0.25">
      <c r="F2562" s="12"/>
      <c r="K2562" s="5"/>
    </row>
    <row r="2563" spans="6:11" x14ac:dyDescent="0.25">
      <c r="F2563" s="12"/>
      <c r="K2563" s="5"/>
    </row>
    <row r="2564" spans="6:11" x14ac:dyDescent="0.25">
      <c r="F2564" s="12"/>
      <c r="K2564" s="5"/>
    </row>
    <row r="2565" spans="6:11" x14ac:dyDescent="0.25">
      <c r="F2565" s="12"/>
      <c r="K2565" s="5"/>
    </row>
    <row r="2566" spans="6:11" x14ac:dyDescent="0.25">
      <c r="F2566" s="12"/>
      <c r="K2566" s="5"/>
    </row>
    <row r="2567" spans="6:11" x14ac:dyDescent="0.25">
      <c r="F2567" s="12"/>
      <c r="K2567" s="5"/>
    </row>
    <row r="2568" spans="6:11" x14ac:dyDescent="0.25">
      <c r="F2568" s="12"/>
      <c r="K2568" s="5"/>
    </row>
    <row r="2569" spans="6:11" x14ac:dyDescent="0.25">
      <c r="F2569" s="12"/>
      <c r="K2569" s="5"/>
    </row>
    <row r="2570" spans="6:11" x14ac:dyDescent="0.25">
      <c r="F2570" s="12"/>
      <c r="K2570" s="5"/>
    </row>
    <row r="2571" spans="6:11" x14ac:dyDescent="0.25">
      <c r="F2571" s="12"/>
      <c r="K2571" s="5"/>
    </row>
    <row r="2572" spans="6:11" x14ac:dyDescent="0.25">
      <c r="F2572" s="12"/>
      <c r="K2572" s="5"/>
    </row>
    <row r="2573" spans="6:11" x14ac:dyDescent="0.25">
      <c r="F2573" s="12"/>
      <c r="K2573" s="5"/>
    </row>
    <row r="2574" spans="6:11" x14ac:dyDescent="0.25">
      <c r="F2574" s="12"/>
      <c r="K2574" s="5"/>
    </row>
    <row r="2575" spans="6:11" x14ac:dyDescent="0.25">
      <c r="F2575" s="12"/>
      <c r="K2575" s="5"/>
    </row>
    <row r="2576" spans="6:11" x14ac:dyDescent="0.25">
      <c r="F2576" s="12"/>
      <c r="K2576" s="5"/>
    </row>
    <row r="2577" spans="6:11" x14ac:dyDescent="0.25">
      <c r="F2577" s="12"/>
      <c r="K2577" s="5"/>
    </row>
    <row r="2578" spans="6:11" x14ac:dyDescent="0.25">
      <c r="F2578" s="12"/>
      <c r="K2578" s="5"/>
    </row>
    <row r="2579" spans="6:11" x14ac:dyDescent="0.25">
      <c r="F2579" s="12"/>
      <c r="K2579" s="5"/>
    </row>
    <row r="2580" spans="6:11" x14ac:dyDescent="0.25">
      <c r="F2580" s="12"/>
      <c r="K2580" s="5"/>
    </row>
    <row r="2581" spans="6:11" x14ac:dyDescent="0.25">
      <c r="F2581" s="12"/>
      <c r="K2581" s="5"/>
    </row>
    <row r="2582" spans="6:11" x14ac:dyDescent="0.25">
      <c r="F2582" s="12"/>
      <c r="K2582" s="5"/>
    </row>
    <row r="2583" spans="6:11" x14ac:dyDescent="0.25">
      <c r="F2583" s="12"/>
      <c r="K2583" s="5"/>
    </row>
    <row r="2584" spans="6:11" x14ac:dyDescent="0.25">
      <c r="F2584" s="12"/>
      <c r="K2584" s="5"/>
    </row>
    <row r="2585" spans="6:11" x14ac:dyDescent="0.25">
      <c r="F2585" s="12"/>
      <c r="K2585" s="5"/>
    </row>
    <row r="2586" spans="6:11" x14ac:dyDescent="0.25">
      <c r="F2586" s="12"/>
      <c r="K2586" s="5"/>
    </row>
    <row r="2587" spans="6:11" x14ac:dyDescent="0.25">
      <c r="F2587" s="12"/>
      <c r="K2587" s="5"/>
    </row>
    <row r="2588" spans="6:11" x14ac:dyDescent="0.25">
      <c r="F2588" s="12"/>
      <c r="K2588" s="5"/>
    </row>
    <row r="2589" spans="6:11" x14ac:dyDescent="0.25">
      <c r="F2589" s="12"/>
      <c r="K2589" s="5"/>
    </row>
    <row r="2590" spans="6:11" x14ac:dyDescent="0.25">
      <c r="F2590" s="12"/>
      <c r="K2590" s="5"/>
    </row>
    <row r="2591" spans="6:11" x14ac:dyDescent="0.25">
      <c r="F2591" s="12"/>
      <c r="K2591" s="5"/>
    </row>
    <row r="2592" spans="6:11" x14ac:dyDescent="0.25">
      <c r="F2592" s="12"/>
      <c r="K2592" s="5"/>
    </row>
    <row r="2593" spans="6:11" x14ac:dyDescent="0.25">
      <c r="F2593" s="12"/>
      <c r="K2593" s="5"/>
    </row>
    <row r="2594" spans="6:11" x14ac:dyDescent="0.25">
      <c r="F2594" s="12"/>
      <c r="K2594" s="5"/>
    </row>
    <row r="2595" spans="6:11" x14ac:dyDescent="0.25">
      <c r="F2595" s="12"/>
      <c r="K2595" s="5"/>
    </row>
    <row r="2596" spans="6:11" x14ac:dyDescent="0.25">
      <c r="F2596" s="12"/>
      <c r="K2596" s="5"/>
    </row>
    <row r="2597" spans="6:11" x14ac:dyDescent="0.25">
      <c r="F2597" s="12"/>
      <c r="K2597" s="5"/>
    </row>
    <row r="2598" spans="6:11" x14ac:dyDescent="0.25">
      <c r="F2598" s="12"/>
      <c r="K2598" s="5"/>
    </row>
    <row r="2599" spans="6:11" x14ac:dyDescent="0.25">
      <c r="F2599" s="12"/>
      <c r="K2599" s="5"/>
    </row>
    <row r="2600" spans="6:11" x14ac:dyDescent="0.25">
      <c r="F2600" s="12"/>
      <c r="K2600" s="5"/>
    </row>
    <row r="2601" spans="6:11" x14ac:dyDescent="0.25">
      <c r="F2601" s="12"/>
      <c r="K2601" s="5"/>
    </row>
    <row r="2602" spans="6:11" x14ac:dyDescent="0.25">
      <c r="F2602" s="12"/>
      <c r="K2602" s="5"/>
    </row>
    <row r="2603" spans="6:11" x14ac:dyDescent="0.25">
      <c r="F2603" s="12"/>
      <c r="K2603" s="5"/>
    </row>
    <row r="2604" spans="6:11" x14ac:dyDescent="0.25">
      <c r="F2604" s="12"/>
      <c r="K2604" s="5"/>
    </row>
    <row r="2605" spans="6:11" x14ac:dyDescent="0.25">
      <c r="F2605" s="12"/>
      <c r="K2605" s="5"/>
    </row>
    <row r="2606" spans="6:11" x14ac:dyDescent="0.25">
      <c r="F2606" s="12"/>
      <c r="K2606" s="5"/>
    </row>
    <row r="2607" spans="6:11" x14ac:dyDescent="0.25">
      <c r="F2607" s="12"/>
      <c r="K2607" s="5"/>
    </row>
    <row r="2608" spans="6:11" x14ac:dyDescent="0.25">
      <c r="F2608" s="12"/>
      <c r="K2608" s="5"/>
    </row>
    <row r="2609" spans="6:11" x14ac:dyDescent="0.25">
      <c r="F2609" s="12"/>
      <c r="K2609" s="5"/>
    </row>
    <row r="2610" spans="6:11" x14ac:dyDescent="0.25">
      <c r="F2610" s="12"/>
      <c r="K2610" s="5"/>
    </row>
    <row r="2611" spans="6:11" x14ac:dyDescent="0.25">
      <c r="F2611" s="12"/>
      <c r="K2611" s="5"/>
    </row>
    <row r="2612" spans="6:11" x14ac:dyDescent="0.25">
      <c r="F2612" s="12"/>
      <c r="K2612" s="5"/>
    </row>
    <row r="2613" spans="6:11" x14ac:dyDescent="0.25">
      <c r="F2613" s="12"/>
      <c r="K2613" s="5"/>
    </row>
    <row r="2614" spans="6:11" x14ac:dyDescent="0.25">
      <c r="F2614" s="12"/>
      <c r="K2614" s="5"/>
    </row>
    <row r="2615" spans="6:11" x14ac:dyDescent="0.25">
      <c r="F2615" s="12"/>
      <c r="K2615" s="5"/>
    </row>
    <row r="2616" spans="6:11" x14ac:dyDescent="0.25">
      <c r="F2616" s="12"/>
      <c r="K2616" s="5"/>
    </row>
    <row r="2617" spans="6:11" x14ac:dyDescent="0.25">
      <c r="F2617" s="12"/>
      <c r="K2617" s="5"/>
    </row>
    <row r="2618" spans="6:11" x14ac:dyDescent="0.25">
      <c r="F2618" s="12"/>
      <c r="K2618" s="5"/>
    </row>
    <row r="2619" spans="6:11" x14ac:dyDescent="0.25">
      <c r="F2619" s="12"/>
      <c r="K2619" s="5"/>
    </row>
    <row r="2620" spans="6:11" x14ac:dyDescent="0.25">
      <c r="F2620" s="12"/>
      <c r="K2620" s="5"/>
    </row>
    <row r="2621" spans="6:11" x14ac:dyDescent="0.25">
      <c r="F2621" s="12"/>
      <c r="K2621" s="5"/>
    </row>
    <row r="2622" spans="6:11" x14ac:dyDescent="0.25">
      <c r="F2622" s="12"/>
      <c r="K2622" s="5"/>
    </row>
    <row r="2623" spans="6:11" x14ac:dyDescent="0.25">
      <c r="F2623" s="12"/>
      <c r="K2623" s="5"/>
    </row>
    <row r="2624" spans="6:11" x14ac:dyDescent="0.25">
      <c r="F2624" s="12"/>
      <c r="K2624" s="5"/>
    </row>
    <row r="2625" spans="6:11" x14ac:dyDescent="0.25">
      <c r="F2625" s="12"/>
      <c r="K2625" s="5"/>
    </row>
    <row r="2626" spans="6:11" x14ac:dyDescent="0.25">
      <c r="F2626" s="12"/>
      <c r="K2626" s="5"/>
    </row>
    <row r="2627" spans="6:11" x14ac:dyDescent="0.25">
      <c r="F2627" s="12"/>
      <c r="K2627" s="5"/>
    </row>
    <row r="2628" spans="6:11" x14ac:dyDescent="0.25">
      <c r="F2628" s="12"/>
      <c r="K2628" s="5"/>
    </row>
    <row r="2629" spans="6:11" x14ac:dyDescent="0.25">
      <c r="F2629" s="12"/>
      <c r="K2629" s="5"/>
    </row>
    <row r="2630" spans="6:11" x14ac:dyDescent="0.25">
      <c r="F2630" s="12"/>
      <c r="K2630" s="5"/>
    </row>
    <row r="2631" spans="6:11" x14ac:dyDescent="0.25">
      <c r="F2631" s="12"/>
      <c r="K2631" s="5"/>
    </row>
    <row r="2632" spans="6:11" x14ac:dyDescent="0.25">
      <c r="F2632" s="12"/>
      <c r="K2632" s="5"/>
    </row>
    <row r="2633" spans="6:11" x14ac:dyDescent="0.25">
      <c r="F2633" s="12"/>
      <c r="K2633" s="5"/>
    </row>
    <row r="2634" spans="6:11" x14ac:dyDescent="0.25">
      <c r="F2634" s="12"/>
      <c r="K2634" s="5"/>
    </row>
    <row r="2635" spans="6:11" x14ac:dyDescent="0.25">
      <c r="F2635" s="12"/>
      <c r="K2635" s="5"/>
    </row>
    <row r="2636" spans="6:11" x14ac:dyDescent="0.25">
      <c r="F2636" s="12"/>
      <c r="K2636" s="5"/>
    </row>
    <row r="2637" spans="6:11" x14ac:dyDescent="0.25">
      <c r="F2637" s="12"/>
      <c r="K2637" s="5"/>
    </row>
    <row r="2638" spans="6:11" x14ac:dyDescent="0.25">
      <c r="F2638" s="12"/>
      <c r="K2638" s="5"/>
    </row>
    <row r="2639" spans="6:11" x14ac:dyDescent="0.25">
      <c r="F2639" s="12"/>
      <c r="K2639" s="5"/>
    </row>
    <row r="2640" spans="6:11" x14ac:dyDescent="0.25">
      <c r="F2640" s="12"/>
      <c r="K2640" s="5"/>
    </row>
    <row r="2641" spans="6:11" x14ac:dyDescent="0.25">
      <c r="F2641" s="12"/>
      <c r="K2641" s="5"/>
    </row>
    <row r="2642" spans="6:11" x14ac:dyDescent="0.25">
      <c r="F2642" s="12"/>
      <c r="K2642" s="5"/>
    </row>
    <row r="2643" spans="6:11" x14ac:dyDescent="0.25">
      <c r="F2643" s="12"/>
      <c r="K2643" s="5"/>
    </row>
    <row r="2644" spans="6:11" x14ac:dyDescent="0.25">
      <c r="F2644" s="12"/>
      <c r="K2644" s="5"/>
    </row>
    <row r="2645" spans="6:11" x14ac:dyDescent="0.25">
      <c r="F2645" s="12"/>
      <c r="K2645" s="5"/>
    </row>
    <row r="2646" spans="6:11" x14ac:dyDescent="0.25">
      <c r="F2646" s="12"/>
      <c r="K2646" s="5"/>
    </row>
    <row r="2647" spans="6:11" x14ac:dyDescent="0.25">
      <c r="F2647" s="12"/>
      <c r="K2647" s="5"/>
    </row>
    <row r="2648" spans="6:11" x14ac:dyDescent="0.25">
      <c r="F2648" s="12"/>
      <c r="K2648" s="5"/>
    </row>
    <row r="2649" spans="6:11" x14ac:dyDescent="0.25">
      <c r="F2649" s="12"/>
      <c r="K2649" s="5"/>
    </row>
    <row r="2650" spans="6:11" x14ac:dyDescent="0.25">
      <c r="F2650" s="12"/>
      <c r="K2650" s="5"/>
    </row>
    <row r="2651" spans="6:11" x14ac:dyDescent="0.25">
      <c r="F2651" s="12"/>
      <c r="K2651" s="5"/>
    </row>
    <row r="2652" spans="6:11" x14ac:dyDescent="0.25">
      <c r="F2652" s="12"/>
      <c r="K2652" s="5"/>
    </row>
    <row r="2653" spans="6:11" x14ac:dyDescent="0.25">
      <c r="F2653" s="12"/>
      <c r="K2653" s="5"/>
    </row>
    <row r="2654" spans="6:11" x14ac:dyDescent="0.25">
      <c r="F2654" s="12"/>
      <c r="K2654" s="5"/>
    </row>
    <row r="2655" spans="6:11" x14ac:dyDescent="0.25">
      <c r="F2655" s="12"/>
      <c r="K2655" s="5"/>
    </row>
    <row r="2656" spans="6:11" x14ac:dyDescent="0.25">
      <c r="F2656" s="12"/>
      <c r="K2656" s="5"/>
    </row>
    <row r="2657" spans="6:11" x14ac:dyDescent="0.25">
      <c r="F2657" s="12"/>
      <c r="K2657" s="5"/>
    </row>
    <row r="2658" spans="6:11" x14ac:dyDescent="0.25">
      <c r="F2658" s="12"/>
      <c r="K2658" s="5"/>
    </row>
    <row r="2659" spans="6:11" x14ac:dyDescent="0.25">
      <c r="F2659" s="12"/>
      <c r="K2659" s="5"/>
    </row>
    <row r="2660" spans="6:11" x14ac:dyDescent="0.25">
      <c r="F2660" s="12"/>
      <c r="K2660" s="5"/>
    </row>
    <row r="2661" spans="6:11" x14ac:dyDescent="0.25">
      <c r="F2661" s="12"/>
      <c r="K2661" s="5"/>
    </row>
    <row r="2662" spans="6:11" x14ac:dyDescent="0.25">
      <c r="F2662" s="12"/>
      <c r="K2662" s="5"/>
    </row>
    <row r="2663" spans="6:11" x14ac:dyDescent="0.25">
      <c r="F2663" s="12"/>
      <c r="K2663" s="5"/>
    </row>
    <row r="2664" spans="6:11" x14ac:dyDescent="0.25">
      <c r="F2664" s="12"/>
      <c r="K2664" s="5"/>
    </row>
    <row r="2665" spans="6:11" x14ac:dyDescent="0.25">
      <c r="F2665" s="12"/>
      <c r="K2665" s="5"/>
    </row>
    <row r="2666" spans="6:11" x14ac:dyDescent="0.25">
      <c r="F2666" s="12"/>
      <c r="K2666" s="5"/>
    </row>
    <row r="2667" spans="6:11" x14ac:dyDescent="0.25">
      <c r="F2667" s="12"/>
      <c r="K2667" s="5"/>
    </row>
    <row r="2668" spans="6:11" x14ac:dyDescent="0.25">
      <c r="F2668" s="12"/>
      <c r="K2668" s="5"/>
    </row>
    <row r="2669" spans="6:11" x14ac:dyDescent="0.25">
      <c r="F2669" s="12"/>
      <c r="K2669" s="5"/>
    </row>
    <row r="2670" spans="6:11" x14ac:dyDescent="0.25">
      <c r="F2670" s="12"/>
      <c r="K2670" s="5"/>
    </row>
    <row r="2671" spans="6:11" x14ac:dyDescent="0.25">
      <c r="F2671" s="12"/>
      <c r="K2671" s="5"/>
    </row>
    <row r="2672" spans="6:11" x14ac:dyDescent="0.25">
      <c r="F2672" s="12"/>
      <c r="K2672" s="5"/>
    </row>
    <row r="2673" spans="6:11" x14ac:dyDescent="0.25">
      <c r="F2673" s="12"/>
      <c r="K2673" s="5"/>
    </row>
    <row r="2674" spans="6:11" x14ac:dyDescent="0.25">
      <c r="F2674" s="12"/>
      <c r="K2674" s="5"/>
    </row>
    <row r="2675" spans="6:11" x14ac:dyDescent="0.25">
      <c r="F2675" s="12"/>
      <c r="K2675" s="5"/>
    </row>
    <row r="2676" spans="6:11" x14ac:dyDescent="0.25">
      <c r="F2676" s="12"/>
      <c r="K2676" s="5"/>
    </row>
    <row r="2677" spans="6:11" x14ac:dyDescent="0.25">
      <c r="F2677" s="12"/>
      <c r="K2677" s="5"/>
    </row>
    <row r="2678" spans="6:11" x14ac:dyDescent="0.25">
      <c r="F2678" s="12"/>
      <c r="K2678" s="5"/>
    </row>
    <row r="2679" spans="6:11" x14ac:dyDescent="0.25">
      <c r="F2679" s="12"/>
      <c r="K2679" s="5"/>
    </row>
    <row r="2680" spans="6:11" x14ac:dyDescent="0.25">
      <c r="F2680" s="12"/>
      <c r="K2680" s="5"/>
    </row>
    <row r="2681" spans="6:11" x14ac:dyDescent="0.25">
      <c r="F2681" s="12"/>
      <c r="K2681" s="5"/>
    </row>
    <row r="2682" spans="6:11" x14ac:dyDescent="0.25">
      <c r="F2682" s="12"/>
      <c r="K2682" s="5"/>
    </row>
    <row r="2683" spans="6:11" x14ac:dyDescent="0.25">
      <c r="F2683" s="12"/>
      <c r="K2683" s="5"/>
    </row>
    <row r="2684" spans="6:11" x14ac:dyDescent="0.25">
      <c r="F2684" s="12"/>
      <c r="K2684" s="5"/>
    </row>
    <row r="2685" spans="6:11" x14ac:dyDescent="0.25">
      <c r="F2685" s="12"/>
      <c r="K2685" s="5"/>
    </row>
    <row r="2686" spans="6:11" x14ac:dyDescent="0.25">
      <c r="F2686" s="12"/>
      <c r="K2686" s="5"/>
    </row>
    <row r="2687" spans="6:11" x14ac:dyDescent="0.25">
      <c r="F2687" s="12"/>
      <c r="K2687" s="5"/>
    </row>
    <row r="2688" spans="6:11" x14ac:dyDescent="0.25">
      <c r="F2688" s="12"/>
      <c r="K2688" s="5"/>
    </row>
    <row r="2689" spans="6:11" x14ac:dyDescent="0.25">
      <c r="F2689" s="12"/>
      <c r="K2689" s="5"/>
    </row>
    <row r="2690" spans="6:11" x14ac:dyDescent="0.25">
      <c r="F2690" s="12"/>
      <c r="K2690" s="5"/>
    </row>
    <row r="2691" spans="6:11" x14ac:dyDescent="0.25">
      <c r="F2691" s="12"/>
      <c r="K2691" s="5"/>
    </row>
    <row r="2692" spans="6:11" x14ac:dyDescent="0.25">
      <c r="F2692" s="12"/>
      <c r="K2692" s="5"/>
    </row>
    <row r="2693" spans="6:11" x14ac:dyDescent="0.25">
      <c r="F2693" s="12"/>
      <c r="K2693" s="5"/>
    </row>
    <row r="2694" spans="6:11" x14ac:dyDescent="0.25">
      <c r="F2694" s="12"/>
      <c r="K2694" s="5"/>
    </row>
    <row r="2695" spans="6:11" x14ac:dyDescent="0.25">
      <c r="F2695" s="12"/>
      <c r="K2695" s="5"/>
    </row>
    <row r="2696" spans="6:11" x14ac:dyDescent="0.25">
      <c r="F2696" s="12"/>
      <c r="K2696" s="5"/>
    </row>
    <row r="2697" spans="6:11" x14ac:dyDescent="0.25">
      <c r="F2697" s="12"/>
      <c r="K2697" s="5"/>
    </row>
    <row r="2698" spans="6:11" x14ac:dyDescent="0.25">
      <c r="F2698" s="12"/>
      <c r="K2698" s="5"/>
    </row>
    <row r="2699" spans="6:11" x14ac:dyDescent="0.25">
      <c r="F2699" s="12"/>
      <c r="K2699" s="5"/>
    </row>
    <row r="2700" spans="6:11" x14ac:dyDescent="0.25">
      <c r="F2700" s="12"/>
      <c r="K2700" s="5"/>
    </row>
    <row r="2701" spans="6:11" x14ac:dyDescent="0.25">
      <c r="F2701" s="12"/>
      <c r="K2701" s="5"/>
    </row>
    <row r="2702" spans="6:11" x14ac:dyDescent="0.25">
      <c r="F2702" s="12"/>
      <c r="K2702" s="5"/>
    </row>
    <row r="2703" spans="6:11" x14ac:dyDescent="0.25">
      <c r="F2703" s="12"/>
      <c r="K2703" s="5"/>
    </row>
    <row r="2704" spans="6:11" x14ac:dyDescent="0.25">
      <c r="F2704" s="12"/>
      <c r="K2704" s="5"/>
    </row>
    <row r="2705" spans="6:11" x14ac:dyDescent="0.25">
      <c r="F2705" s="12"/>
      <c r="K2705" s="5"/>
    </row>
    <row r="2706" spans="6:11" x14ac:dyDescent="0.25">
      <c r="F2706" s="12"/>
      <c r="K2706" s="5"/>
    </row>
    <row r="2707" spans="6:11" x14ac:dyDescent="0.25">
      <c r="F2707" s="12"/>
      <c r="K2707" s="5"/>
    </row>
    <row r="2708" spans="6:11" x14ac:dyDescent="0.25">
      <c r="F2708" s="12"/>
      <c r="K2708" s="5"/>
    </row>
    <row r="2709" spans="6:11" x14ac:dyDescent="0.25">
      <c r="F2709" s="12"/>
      <c r="K2709" s="5"/>
    </row>
    <row r="2710" spans="6:11" x14ac:dyDescent="0.25">
      <c r="F2710" s="12"/>
      <c r="K2710" s="5"/>
    </row>
    <row r="2711" spans="6:11" x14ac:dyDescent="0.25">
      <c r="F2711" s="12"/>
      <c r="K2711" s="5"/>
    </row>
    <row r="2712" spans="6:11" x14ac:dyDescent="0.25">
      <c r="F2712" s="12"/>
      <c r="K2712" s="5"/>
    </row>
    <row r="2713" spans="6:11" x14ac:dyDescent="0.25">
      <c r="F2713" s="12"/>
      <c r="K2713" s="5"/>
    </row>
    <row r="2714" spans="6:11" x14ac:dyDescent="0.25">
      <c r="F2714" s="12"/>
      <c r="K2714" s="5"/>
    </row>
    <row r="2715" spans="6:11" x14ac:dyDescent="0.25">
      <c r="F2715" s="12"/>
      <c r="K2715" s="5"/>
    </row>
    <row r="2716" spans="6:11" x14ac:dyDescent="0.25">
      <c r="F2716" s="12"/>
      <c r="K2716" s="5"/>
    </row>
    <row r="2717" spans="6:11" x14ac:dyDescent="0.25">
      <c r="F2717" s="12"/>
      <c r="K2717" s="5"/>
    </row>
    <row r="2718" spans="6:11" x14ac:dyDescent="0.25">
      <c r="F2718" s="12"/>
      <c r="K2718" s="5"/>
    </row>
    <row r="2719" spans="6:11" x14ac:dyDescent="0.25">
      <c r="F2719" s="12"/>
      <c r="K2719" s="5"/>
    </row>
    <row r="2720" spans="6:11" x14ac:dyDescent="0.25">
      <c r="F2720" s="12"/>
      <c r="K2720" s="5"/>
    </row>
    <row r="2721" spans="6:11" x14ac:dyDescent="0.25">
      <c r="F2721" s="12"/>
      <c r="K2721" s="5"/>
    </row>
    <row r="2722" spans="6:11" x14ac:dyDescent="0.25">
      <c r="F2722" s="12"/>
      <c r="K2722" s="5"/>
    </row>
    <row r="2723" spans="6:11" x14ac:dyDescent="0.25">
      <c r="F2723" s="12"/>
      <c r="K2723" s="5"/>
    </row>
    <row r="2724" spans="6:11" x14ac:dyDescent="0.25">
      <c r="F2724" s="12"/>
      <c r="K2724" s="5"/>
    </row>
    <row r="2725" spans="6:11" x14ac:dyDescent="0.25">
      <c r="F2725" s="12"/>
      <c r="K2725" s="5"/>
    </row>
    <row r="2726" spans="6:11" x14ac:dyDescent="0.25">
      <c r="F2726" s="12"/>
      <c r="K2726" s="5"/>
    </row>
    <row r="2727" spans="6:11" x14ac:dyDescent="0.25">
      <c r="F2727" s="12"/>
      <c r="K2727" s="5"/>
    </row>
    <row r="2728" spans="6:11" x14ac:dyDescent="0.25">
      <c r="F2728" s="12"/>
      <c r="K2728" s="5"/>
    </row>
    <row r="2729" spans="6:11" x14ac:dyDescent="0.25">
      <c r="F2729" s="12"/>
      <c r="K2729" s="5"/>
    </row>
    <row r="2730" spans="6:11" x14ac:dyDescent="0.25">
      <c r="F2730" s="12"/>
      <c r="K2730" s="5"/>
    </row>
    <row r="2731" spans="6:11" x14ac:dyDescent="0.25">
      <c r="F2731" s="12"/>
      <c r="K2731" s="5"/>
    </row>
    <row r="2732" spans="6:11" x14ac:dyDescent="0.25">
      <c r="F2732" s="12"/>
      <c r="K2732" s="5"/>
    </row>
    <row r="2733" spans="6:11" x14ac:dyDescent="0.25">
      <c r="F2733" s="12"/>
      <c r="K2733" s="5"/>
    </row>
    <row r="2734" spans="6:11" x14ac:dyDescent="0.25">
      <c r="F2734" s="12"/>
      <c r="K2734" s="5"/>
    </row>
    <row r="2735" spans="6:11" x14ac:dyDescent="0.25">
      <c r="F2735" s="12"/>
      <c r="K2735" s="5"/>
    </row>
    <row r="2736" spans="6:11" x14ac:dyDescent="0.25">
      <c r="F2736" s="12"/>
      <c r="K2736" s="5"/>
    </row>
    <row r="2737" spans="6:11" x14ac:dyDescent="0.25">
      <c r="F2737" s="12"/>
      <c r="K2737" s="5"/>
    </row>
    <row r="2738" spans="6:11" x14ac:dyDescent="0.25">
      <c r="F2738" s="12"/>
      <c r="K2738" s="5"/>
    </row>
    <row r="2739" spans="6:11" x14ac:dyDescent="0.25">
      <c r="F2739" s="12"/>
      <c r="K2739" s="5"/>
    </row>
    <row r="2740" spans="6:11" x14ac:dyDescent="0.25">
      <c r="F2740" s="12"/>
      <c r="K2740" s="5"/>
    </row>
    <row r="2741" spans="6:11" x14ac:dyDescent="0.25">
      <c r="F2741" s="12"/>
      <c r="K2741" s="5"/>
    </row>
    <row r="2742" spans="6:11" x14ac:dyDescent="0.25">
      <c r="F2742" s="12"/>
      <c r="K2742" s="5"/>
    </row>
    <row r="2743" spans="6:11" x14ac:dyDescent="0.25">
      <c r="F2743" s="12"/>
      <c r="K2743" s="5"/>
    </row>
    <row r="2744" spans="6:11" x14ac:dyDescent="0.25">
      <c r="F2744" s="12"/>
      <c r="K2744" s="5"/>
    </row>
    <row r="2745" spans="6:11" x14ac:dyDescent="0.25">
      <c r="F2745" s="12"/>
      <c r="K2745" s="5"/>
    </row>
    <row r="2746" spans="6:11" x14ac:dyDescent="0.25">
      <c r="F2746" s="12"/>
      <c r="K2746" s="5"/>
    </row>
    <row r="2747" spans="6:11" x14ac:dyDescent="0.25">
      <c r="F2747" s="12"/>
      <c r="K2747" s="5"/>
    </row>
    <row r="2748" spans="6:11" x14ac:dyDescent="0.25">
      <c r="F2748" s="12"/>
      <c r="K2748" s="5"/>
    </row>
    <row r="2749" spans="6:11" x14ac:dyDescent="0.25">
      <c r="F2749" s="12"/>
      <c r="K2749" s="5"/>
    </row>
    <row r="2750" spans="6:11" x14ac:dyDescent="0.25">
      <c r="F2750" s="12"/>
      <c r="K2750" s="5"/>
    </row>
    <row r="2751" spans="6:11" x14ac:dyDescent="0.25">
      <c r="F2751" s="12"/>
      <c r="K2751" s="5"/>
    </row>
    <row r="2752" spans="6:11" x14ac:dyDescent="0.25">
      <c r="F2752" s="12"/>
      <c r="K2752" s="5"/>
    </row>
    <row r="2753" spans="6:11" x14ac:dyDescent="0.25">
      <c r="F2753" s="12"/>
      <c r="K2753" s="5"/>
    </row>
    <row r="2754" spans="6:11" x14ac:dyDescent="0.25">
      <c r="F2754" s="12"/>
      <c r="K2754" s="5"/>
    </row>
    <row r="2755" spans="6:11" x14ac:dyDescent="0.25">
      <c r="F2755" s="12"/>
      <c r="K2755" s="5"/>
    </row>
    <row r="2756" spans="6:11" x14ac:dyDescent="0.25">
      <c r="F2756" s="12"/>
      <c r="K2756" s="5"/>
    </row>
    <row r="2757" spans="6:11" x14ac:dyDescent="0.25">
      <c r="F2757" s="12"/>
      <c r="K2757" s="5"/>
    </row>
    <row r="2758" spans="6:11" x14ac:dyDescent="0.25">
      <c r="F2758" s="12"/>
      <c r="K2758" s="5"/>
    </row>
    <row r="2759" spans="6:11" x14ac:dyDescent="0.25">
      <c r="F2759" s="12"/>
      <c r="K2759" s="5"/>
    </row>
    <row r="2760" spans="6:11" x14ac:dyDescent="0.25">
      <c r="F2760" s="12"/>
      <c r="K2760" s="5"/>
    </row>
    <row r="2761" spans="6:11" x14ac:dyDescent="0.25">
      <c r="F2761" s="12"/>
      <c r="K2761" s="5"/>
    </row>
    <row r="2762" spans="6:11" x14ac:dyDescent="0.25">
      <c r="F2762" s="12"/>
      <c r="K2762" s="5"/>
    </row>
    <row r="2763" spans="6:11" x14ac:dyDescent="0.25">
      <c r="F2763" s="12"/>
      <c r="K2763" s="5"/>
    </row>
    <row r="2764" spans="6:11" x14ac:dyDescent="0.25">
      <c r="F2764" s="12"/>
      <c r="K2764" s="5"/>
    </row>
    <row r="2765" spans="6:11" x14ac:dyDescent="0.25">
      <c r="F2765" s="12"/>
      <c r="K2765" s="5"/>
    </row>
    <row r="2766" spans="6:11" x14ac:dyDescent="0.25">
      <c r="F2766" s="12"/>
      <c r="K2766" s="5"/>
    </row>
    <row r="2767" spans="6:11" x14ac:dyDescent="0.25">
      <c r="F2767" s="12"/>
      <c r="K2767" s="5"/>
    </row>
    <row r="2768" spans="6:11" x14ac:dyDescent="0.25">
      <c r="F2768" s="12"/>
      <c r="K2768" s="5"/>
    </row>
    <row r="2769" spans="6:11" x14ac:dyDescent="0.25">
      <c r="F2769" s="12"/>
      <c r="K2769" s="5"/>
    </row>
    <row r="2770" spans="6:11" x14ac:dyDescent="0.25">
      <c r="F2770" s="12"/>
      <c r="K2770" s="5"/>
    </row>
    <row r="2771" spans="6:11" x14ac:dyDescent="0.25">
      <c r="F2771" s="12"/>
      <c r="K2771" s="5"/>
    </row>
    <row r="2772" spans="6:11" x14ac:dyDescent="0.25">
      <c r="F2772" s="12"/>
      <c r="K2772" s="5"/>
    </row>
    <row r="2773" spans="6:11" x14ac:dyDescent="0.25">
      <c r="F2773" s="12"/>
      <c r="K2773" s="5"/>
    </row>
    <row r="2774" spans="6:11" x14ac:dyDescent="0.25">
      <c r="F2774" s="12"/>
      <c r="K2774" s="5"/>
    </row>
    <row r="2775" spans="6:11" x14ac:dyDescent="0.25">
      <c r="F2775" s="12"/>
      <c r="K2775" s="5"/>
    </row>
    <row r="2776" spans="6:11" x14ac:dyDescent="0.25">
      <c r="F2776" s="12"/>
      <c r="K2776" s="5"/>
    </row>
    <row r="2777" spans="6:11" x14ac:dyDescent="0.25">
      <c r="F2777" s="12"/>
      <c r="K2777" s="5"/>
    </row>
    <row r="2778" spans="6:11" x14ac:dyDescent="0.25">
      <c r="F2778" s="12"/>
      <c r="K2778" s="5"/>
    </row>
    <row r="2779" spans="6:11" x14ac:dyDescent="0.25">
      <c r="F2779" s="12"/>
      <c r="K2779" s="5"/>
    </row>
    <row r="2780" spans="6:11" x14ac:dyDescent="0.25">
      <c r="F2780" s="12"/>
      <c r="K2780" s="5"/>
    </row>
    <row r="2781" spans="6:11" x14ac:dyDescent="0.25">
      <c r="F2781" s="12"/>
      <c r="K2781" s="5"/>
    </row>
    <row r="2782" spans="6:11" x14ac:dyDescent="0.25">
      <c r="F2782" s="12"/>
      <c r="K2782" s="5"/>
    </row>
    <row r="2783" spans="6:11" x14ac:dyDescent="0.25">
      <c r="F2783" s="12"/>
      <c r="K2783" s="5"/>
    </row>
    <row r="2784" spans="6:11" x14ac:dyDescent="0.25">
      <c r="F2784" s="12"/>
      <c r="K2784" s="5"/>
    </row>
    <row r="2785" spans="6:11" x14ac:dyDescent="0.25">
      <c r="F2785" s="12"/>
      <c r="K2785" s="5"/>
    </row>
    <row r="2786" spans="6:11" x14ac:dyDescent="0.25">
      <c r="F2786" s="12"/>
      <c r="K2786" s="5"/>
    </row>
    <row r="2787" spans="6:11" x14ac:dyDescent="0.25">
      <c r="F2787" s="12"/>
      <c r="K2787" s="5"/>
    </row>
    <row r="2788" spans="6:11" x14ac:dyDescent="0.25">
      <c r="F2788" s="12"/>
      <c r="K2788" s="5"/>
    </row>
    <row r="2789" spans="6:11" x14ac:dyDescent="0.25">
      <c r="F2789" s="12"/>
      <c r="K2789" s="5"/>
    </row>
    <row r="2790" spans="6:11" x14ac:dyDescent="0.25">
      <c r="F2790" s="12"/>
      <c r="K2790" s="5"/>
    </row>
    <row r="2791" spans="6:11" x14ac:dyDescent="0.25">
      <c r="F2791" s="12"/>
      <c r="K2791" s="5"/>
    </row>
    <row r="2792" spans="6:11" x14ac:dyDescent="0.25">
      <c r="F2792" s="12"/>
      <c r="K2792" s="5"/>
    </row>
    <row r="2793" spans="6:11" x14ac:dyDescent="0.25">
      <c r="F2793" s="12"/>
      <c r="K2793" s="5"/>
    </row>
    <row r="2794" spans="6:11" x14ac:dyDescent="0.25">
      <c r="F2794" s="12"/>
      <c r="K2794" s="5"/>
    </row>
    <row r="2795" spans="6:11" x14ac:dyDescent="0.25">
      <c r="F2795" s="12"/>
      <c r="K2795" s="5"/>
    </row>
    <row r="2796" spans="6:11" x14ac:dyDescent="0.25">
      <c r="F2796" s="12"/>
      <c r="K2796" s="5"/>
    </row>
    <row r="2797" spans="6:11" x14ac:dyDescent="0.25">
      <c r="F2797" s="12"/>
      <c r="K2797" s="5"/>
    </row>
    <row r="2798" spans="6:11" x14ac:dyDescent="0.25">
      <c r="F2798" s="12"/>
      <c r="K2798" s="5"/>
    </row>
    <row r="2799" spans="6:11" x14ac:dyDescent="0.25">
      <c r="F2799" s="12"/>
      <c r="K2799" s="5"/>
    </row>
    <row r="2800" spans="6:11" x14ac:dyDescent="0.25">
      <c r="F2800" s="12"/>
      <c r="K2800" s="5"/>
    </row>
    <row r="2801" spans="6:11" x14ac:dyDescent="0.25">
      <c r="F2801" s="12"/>
      <c r="K2801" s="5"/>
    </row>
    <row r="2802" spans="6:11" x14ac:dyDescent="0.25">
      <c r="F2802" s="12"/>
      <c r="K2802" s="5"/>
    </row>
    <row r="2803" spans="6:11" x14ac:dyDescent="0.25">
      <c r="F2803" s="12"/>
      <c r="K2803" s="5"/>
    </row>
    <row r="2804" spans="6:11" x14ac:dyDescent="0.25">
      <c r="F2804" s="12"/>
      <c r="K2804" s="5"/>
    </row>
    <row r="2805" spans="6:11" x14ac:dyDescent="0.25">
      <c r="F2805" s="12"/>
      <c r="K2805" s="5"/>
    </row>
    <row r="2806" spans="6:11" x14ac:dyDescent="0.25">
      <c r="F2806" s="12"/>
      <c r="K2806" s="5"/>
    </row>
    <row r="2807" spans="6:11" x14ac:dyDescent="0.25">
      <c r="F2807" s="12"/>
      <c r="K2807" s="5"/>
    </row>
    <row r="2808" spans="6:11" x14ac:dyDescent="0.25">
      <c r="F2808" s="12"/>
      <c r="K2808" s="5"/>
    </row>
    <row r="2809" spans="6:11" x14ac:dyDescent="0.25">
      <c r="F2809" s="12"/>
      <c r="K2809" s="5"/>
    </row>
    <row r="2810" spans="6:11" x14ac:dyDescent="0.25">
      <c r="F2810" s="12"/>
      <c r="K2810" s="5"/>
    </row>
    <row r="2811" spans="6:11" x14ac:dyDescent="0.25">
      <c r="F2811" s="12"/>
      <c r="K2811" s="5"/>
    </row>
    <row r="2812" spans="6:11" x14ac:dyDescent="0.25">
      <c r="F2812" s="12"/>
      <c r="K2812" s="5"/>
    </row>
    <row r="2813" spans="6:11" x14ac:dyDescent="0.25">
      <c r="F2813" s="12"/>
      <c r="K2813" s="5"/>
    </row>
    <row r="2814" spans="6:11" x14ac:dyDescent="0.25">
      <c r="F2814" s="12"/>
      <c r="K2814" s="5"/>
    </row>
    <row r="2815" spans="6:11" x14ac:dyDescent="0.25">
      <c r="F2815" s="12"/>
      <c r="K2815" s="5"/>
    </row>
    <row r="2816" spans="6:11" x14ac:dyDescent="0.25">
      <c r="F2816" s="12"/>
      <c r="K2816" s="5"/>
    </row>
    <row r="2817" spans="6:11" x14ac:dyDescent="0.25">
      <c r="F2817" s="12"/>
      <c r="K2817" s="5"/>
    </row>
    <row r="2818" spans="6:11" x14ac:dyDescent="0.25">
      <c r="F2818" s="12"/>
      <c r="K2818" s="5"/>
    </row>
    <row r="2819" spans="6:11" x14ac:dyDescent="0.25">
      <c r="F2819" s="12"/>
      <c r="K2819" s="5"/>
    </row>
    <row r="2820" spans="6:11" x14ac:dyDescent="0.25">
      <c r="F2820" s="12"/>
      <c r="K2820" s="5"/>
    </row>
    <row r="2821" spans="6:11" x14ac:dyDescent="0.25">
      <c r="F2821" s="12"/>
      <c r="K2821" s="5"/>
    </row>
    <row r="2822" spans="6:11" x14ac:dyDescent="0.25">
      <c r="F2822" s="12"/>
      <c r="K2822" s="5"/>
    </row>
    <row r="2823" spans="6:11" x14ac:dyDescent="0.25">
      <c r="F2823" s="12"/>
      <c r="K2823" s="5"/>
    </row>
    <row r="2824" spans="6:11" x14ac:dyDescent="0.25">
      <c r="F2824" s="12"/>
      <c r="K2824" s="5"/>
    </row>
    <row r="2825" spans="6:11" x14ac:dyDescent="0.25">
      <c r="F2825" s="12"/>
      <c r="K2825" s="5"/>
    </row>
    <row r="2826" spans="6:11" x14ac:dyDescent="0.25">
      <c r="F2826" s="12"/>
      <c r="K2826" s="5"/>
    </row>
    <row r="2827" spans="6:11" x14ac:dyDescent="0.25">
      <c r="F2827" s="12"/>
      <c r="K2827" s="5"/>
    </row>
    <row r="2828" spans="6:11" x14ac:dyDescent="0.25">
      <c r="F2828" s="12"/>
      <c r="K2828" s="5"/>
    </row>
    <row r="2829" spans="6:11" x14ac:dyDescent="0.25">
      <c r="F2829" s="12"/>
      <c r="K2829" s="5"/>
    </row>
    <row r="2830" spans="6:11" x14ac:dyDescent="0.25">
      <c r="F2830" s="12"/>
      <c r="K2830" s="5"/>
    </row>
    <row r="2831" spans="6:11" x14ac:dyDescent="0.25">
      <c r="F2831" s="12"/>
      <c r="K2831" s="5"/>
    </row>
    <row r="2832" spans="6:11" x14ac:dyDescent="0.25">
      <c r="F2832" s="12"/>
      <c r="K2832" s="5"/>
    </row>
    <row r="2833" spans="6:11" x14ac:dyDescent="0.25">
      <c r="F2833" s="12"/>
      <c r="K2833" s="5"/>
    </row>
    <row r="2834" spans="6:11" x14ac:dyDescent="0.25">
      <c r="F2834" s="12"/>
      <c r="K2834" s="5"/>
    </row>
    <row r="2835" spans="6:11" x14ac:dyDescent="0.25">
      <c r="F2835" s="12"/>
      <c r="K2835" s="5"/>
    </row>
    <row r="2836" spans="6:11" x14ac:dyDescent="0.25">
      <c r="F2836" s="12"/>
      <c r="K2836" s="5"/>
    </row>
    <row r="2837" spans="6:11" x14ac:dyDescent="0.25">
      <c r="F2837" s="12"/>
      <c r="K2837" s="5"/>
    </row>
    <row r="2838" spans="6:11" x14ac:dyDescent="0.25">
      <c r="F2838" s="12"/>
      <c r="K2838" s="5"/>
    </row>
    <row r="2839" spans="6:11" x14ac:dyDescent="0.25">
      <c r="F2839" s="12"/>
      <c r="K2839" s="5"/>
    </row>
    <row r="2840" spans="6:11" x14ac:dyDescent="0.25">
      <c r="F2840" s="12"/>
      <c r="K2840" s="5"/>
    </row>
    <row r="2841" spans="6:11" x14ac:dyDescent="0.25">
      <c r="F2841" s="12"/>
      <c r="K2841" s="5"/>
    </row>
    <row r="2842" spans="6:11" x14ac:dyDescent="0.25">
      <c r="F2842" s="12"/>
      <c r="K2842" s="5"/>
    </row>
    <row r="2843" spans="6:11" x14ac:dyDescent="0.25">
      <c r="F2843" s="12"/>
      <c r="K2843" s="5"/>
    </row>
    <row r="2844" spans="6:11" x14ac:dyDescent="0.25">
      <c r="F2844" s="12"/>
      <c r="K2844" s="5"/>
    </row>
    <row r="2845" spans="6:11" x14ac:dyDescent="0.25">
      <c r="F2845" s="12"/>
      <c r="K2845" s="5"/>
    </row>
    <row r="2846" spans="6:11" x14ac:dyDescent="0.25">
      <c r="F2846" s="12"/>
      <c r="K2846" s="5"/>
    </row>
    <row r="2847" spans="6:11" x14ac:dyDescent="0.25">
      <c r="F2847" s="12"/>
      <c r="K2847" s="5"/>
    </row>
    <row r="2848" spans="6:11" x14ac:dyDescent="0.25">
      <c r="F2848" s="12"/>
      <c r="K2848" s="5"/>
    </row>
    <row r="2849" spans="6:11" x14ac:dyDescent="0.25">
      <c r="F2849" s="12"/>
      <c r="K2849" s="5"/>
    </row>
    <row r="2850" spans="6:11" x14ac:dyDescent="0.25">
      <c r="F2850" s="12"/>
      <c r="K2850" s="5"/>
    </row>
    <row r="2851" spans="6:11" x14ac:dyDescent="0.25">
      <c r="F2851" s="12"/>
      <c r="K2851" s="5"/>
    </row>
    <row r="2852" spans="6:11" x14ac:dyDescent="0.25">
      <c r="F2852" s="12"/>
      <c r="K2852" s="5"/>
    </row>
    <row r="2853" spans="6:11" x14ac:dyDescent="0.25">
      <c r="F2853" s="12"/>
      <c r="K2853" s="5"/>
    </row>
    <row r="2854" spans="6:11" x14ac:dyDescent="0.25">
      <c r="F2854" s="12"/>
      <c r="K2854" s="5"/>
    </row>
    <row r="2855" spans="6:11" x14ac:dyDescent="0.25">
      <c r="F2855" s="12"/>
      <c r="K2855" s="5"/>
    </row>
    <row r="2856" spans="6:11" x14ac:dyDescent="0.25">
      <c r="F2856" s="12"/>
      <c r="K2856" s="5"/>
    </row>
    <row r="2857" spans="6:11" x14ac:dyDescent="0.25">
      <c r="F2857" s="12"/>
      <c r="K2857" s="5"/>
    </row>
    <row r="2858" spans="6:11" x14ac:dyDescent="0.25">
      <c r="F2858" s="12"/>
      <c r="K2858" s="5"/>
    </row>
    <row r="2859" spans="6:11" x14ac:dyDescent="0.25">
      <c r="F2859" s="12"/>
      <c r="K2859" s="5"/>
    </row>
    <row r="2860" spans="6:11" x14ac:dyDescent="0.25">
      <c r="F2860" s="12"/>
      <c r="K2860" s="5"/>
    </row>
    <row r="2861" spans="6:11" x14ac:dyDescent="0.25">
      <c r="F2861" s="12"/>
      <c r="K2861" s="5"/>
    </row>
    <row r="2862" spans="6:11" x14ac:dyDescent="0.25">
      <c r="F2862" s="12"/>
      <c r="K2862" s="5"/>
    </row>
    <row r="2863" spans="6:11" x14ac:dyDescent="0.25">
      <c r="F2863" s="12"/>
      <c r="K2863" s="5"/>
    </row>
    <row r="2864" spans="6:11" x14ac:dyDescent="0.25">
      <c r="F2864" s="12"/>
      <c r="K2864" s="5"/>
    </row>
    <row r="2865" spans="6:11" x14ac:dyDescent="0.25">
      <c r="F2865" s="12"/>
      <c r="K2865" s="5"/>
    </row>
    <row r="2866" spans="6:11" x14ac:dyDescent="0.25">
      <c r="F2866" s="12"/>
      <c r="K2866" s="5"/>
    </row>
    <row r="2867" spans="6:11" x14ac:dyDescent="0.25">
      <c r="F2867" s="12"/>
      <c r="K2867" s="5"/>
    </row>
    <row r="2868" spans="6:11" x14ac:dyDescent="0.25">
      <c r="F2868" s="12"/>
      <c r="K2868" s="5"/>
    </row>
    <row r="2869" spans="6:11" x14ac:dyDescent="0.25">
      <c r="F2869" s="12"/>
      <c r="K2869" s="5"/>
    </row>
    <row r="2870" spans="6:11" x14ac:dyDescent="0.25">
      <c r="F2870" s="12"/>
      <c r="K2870" s="5"/>
    </row>
    <row r="2871" spans="6:11" x14ac:dyDescent="0.25">
      <c r="F2871" s="12"/>
      <c r="K2871" s="5"/>
    </row>
    <row r="2872" spans="6:11" x14ac:dyDescent="0.25">
      <c r="F2872" s="12"/>
      <c r="K2872" s="5"/>
    </row>
    <row r="2873" spans="6:11" x14ac:dyDescent="0.25">
      <c r="F2873" s="12"/>
      <c r="K2873" s="5"/>
    </row>
    <row r="2874" spans="6:11" x14ac:dyDescent="0.25">
      <c r="F2874" s="12"/>
      <c r="K2874" s="5"/>
    </row>
    <row r="2875" spans="6:11" x14ac:dyDescent="0.25">
      <c r="F2875" s="12"/>
      <c r="K2875" s="5"/>
    </row>
    <row r="2876" spans="6:11" x14ac:dyDescent="0.25">
      <c r="F2876" s="12"/>
      <c r="K2876" s="5"/>
    </row>
    <row r="2877" spans="6:11" x14ac:dyDescent="0.25">
      <c r="F2877" s="12"/>
      <c r="K2877" s="5"/>
    </row>
    <row r="2878" spans="6:11" x14ac:dyDescent="0.25">
      <c r="F2878" s="12"/>
      <c r="K2878" s="5"/>
    </row>
    <row r="2879" spans="6:11" x14ac:dyDescent="0.25">
      <c r="F2879" s="12"/>
      <c r="K2879" s="5"/>
    </row>
    <row r="2880" spans="6:11" x14ac:dyDescent="0.25">
      <c r="F2880" s="12"/>
      <c r="K2880" s="5"/>
    </row>
    <row r="2881" spans="6:11" x14ac:dyDescent="0.25">
      <c r="F2881" s="12"/>
      <c r="K2881" s="5"/>
    </row>
    <row r="2882" spans="6:11" x14ac:dyDescent="0.25">
      <c r="F2882" s="12"/>
      <c r="K2882" s="5"/>
    </row>
    <row r="2883" spans="6:11" x14ac:dyDescent="0.25">
      <c r="F2883" s="12"/>
      <c r="K2883" s="5"/>
    </row>
    <row r="2884" spans="6:11" x14ac:dyDescent="0.25">
      <c r="F2884" s="12"/>
      <c r="K2884" s="5"/>
    </row>
    <row r="2885" spans="6:11" x14ac:dyDescent="0.25">
      <c r="F2885" s="12"/>
      <c r="K2885" s="5"/>
    </row>
    <row r="2886" spans="6:11" x14ac:dyDescent="0.25">
      <c r="F2886" s="12"/>
      <c r="K2886" s="5"/>
    </row>
    <row r="2887" spans="6:11" x14ac:dyDescent="0.25">
      <c r="F2887" s="12"/>
      <c r="K2887" s="5"/>
    </row>
    <row r="2888" spans="6:11" x14ac:dyDescent="0.25">
      <c r="F2888" s="12"/>
      <c r="K2888" s="5"/>
    </row>
    <row r="2889" spans="6:11" x14ac:dyDescent="0.25">
      <c r="F2889" s="12"/>
      <c r="K2889" s="5"/>
    </row>
    <row r="2890" spans="6:11" x14ac:dyDescent="0.25">
      <c r="F2890" s="12"/>
      <c r="K2890" s="5"/>
    </row>
    <row r="2891" spans="6:11" x14ac:dyDescent="0.25">
      <c r="F2891" s="12"/>
      <c r="K2891" s="5"/>
    </row>
    <row r="2892" spans="6:11" x14ac:dyDescent="0.25">
      <c r="F2892" s="12"/>
      <c r="K2892" s="5"/>
    </row>
    <row r="2893" spans="6:11" x14ac:dyDescent="0.25">
      <c r="F2893" s="12"/>
      <c r="K2893" s="5"/>
    </row>
    <row r="2894" spans="6:11" x14ac:dyDescent="0.25">
      <c r="F2894" s="12"/>
      <c r="K2894" s="5"/>
    </row>
    <row r="2895" spans="6:11" x14ac:dyDescent="0.25">
      <c r="F2895" s="12"/>
      <c r="K2895" s="5"/>
    </row>
    <row r="2896" spans="6:11" x14ac:dyDescent="0.25">
      <c r="F2896" s="12"/>
      <c r="K2896" s="5"/>
    </row>
    <row r="2897" spans="6:11" x14ac:dyDescent="0.25">
      <c r="F2897" s="12"/>
      <c r="K2897" s="5"/>
    </row>
    <row r="2898" spans="6:11" x14ac:dyDescent="0.25">
      <c r="F2898" s="12"/>
      <c r="K2898" s="5"/>
    </row>
    <row r="2899" spans="6:11" x14ac:dyDescent="0.25">
      <c r="F2899" s="12"/>
      <c r="K2899" s="5"/>
    </row>
    <row r="2900" spans="6:11" x14ac:dyDescent="0.25">
      <c r="F2900" s="12"/>
      <c r="K2900" s="5"/>
    </row>
    <row r="2901" spans="6:11" x14ac:dyDescent="0.25">
      <c r="F2901" s="12"/>
      <c r="K2901" s="5"/>
    </row>
    <row r="2902" spans="6:11" x14ac:dyDescent="0.25">
      <c r="F2902" s="12"/>
      <c r="K2902" s="5"/>
    </row>
    <row r="2903" spans="6:11" x14ac:dyDescent="0.25">
      <c r="F2903" s="12"/>
      <c r="K2903" s="5"/>
    </row>
    <row r="2904" spans="6:11" x14ac:dyDescent="0.25">
      <c r="F2904" s="12"/>
      <c r="K2904" s="5"/>
    </row>
    <row r="2905" spans="6:11" x14ac:dyDescent="0.25">
      <c r="F2905" s="12"/>
      <c r="K2905" s="5"/>
    </row>
    <row r="2906" spans="6:11" x14ac:dyDescent="0.25">
      <c r="F2906" s="12"/>
      <c r="K2906" s="5"/>
    </row>
    <row r="2907" spans="6:11" x14ac:dyDescent="0.25">
      <c r="F2907" s="12"/>
      <c r="K2907" s="5"/>
    </row>
    <row r="2908" spans="6:11" x14ac:dyDescent="0.25">
      <c r="F2908" s="12"/>
      <c r="K2908" s="5"/>
    </row>
    <row r="2909" spans="6:11" x14ac:dyDescent="0.25">
      <c r="F2909" s="12"/>
      <c r="K2909" s="5"/>
    </row>
    <row r="2910" spans="6:11" x14ac:dyDescent="0.25">
      <c r="F2910" s="12"/>
      <c r="K2910" s="5"/>
    </row>
    <row r="2911" spans="6:11" x14ac:dyDescent="0.25">
      <c r="F2911" s="12"/>
      <c r="K2911" s="5"/>
    </row>
    <row r="2912" spans="6:11" x14ac:dyDescent="0.25">
      <c r="F2912" s="12"/>
      <c r="K2912" s="5"/>
    </row>
    <row r="2913" spans="6:11" x14ac:dyDescent="0.25">
      <c r="F2913" s="12"/>
      <c r="K2913" s="5"/>
    </row>
    <row r="2914" spans="6:11" x14ac:dyDescent="0.25">
      <c r="F2914" s="12"/>
      <c r="K2914" s="5"/>
    </row>
    <row r="2915" spans="6:11" x14ac:dyDescent="0.25">
      <c r="F2915" s="12"/>
      <c r="K2915" s="5"/>
    </row>
    <row r="2916" spans="6:11" x14ac:dyDescent="0.25">
      <c r="F2916" s="12"/>
      <c r="K2916" s="5"/>
    </row>
    <row r="2917" spans="6:11" x14ac:dyDescent="0.25">
      <c r="F2917" s="12"/>
      <c r="K2917" s="5"/>
    </row>
    <row r="2918" spans="6:11" x14ac:dyDescent="0.25">
      <c r="F2918" s="12"/>
      <c r="K2918" s="5"/>
    </row>
    <row r="2919" spans="6:11" x14ac:dyDescent="0.25">
      <c r="F2919" s="12"/>
      <c r="K2919" s="5"/>
    </row>
    <row r="2920" spans="6:11" x14ac:dyDescent="0.25">
      <c r="F2920" s="12"/>
      <c r="K2920" s="5"/>
    </row>
    <row r="2921" spans="6:11" x14ac:dyDescent="0.25">
      <c r="F2921" s="12"/>
      <c r="K2921" s="5"/>
    </row>
    <row r="2922" spans="6:11" x14ac:dyDescent="0.25">
      <c r="F2922" s="12"/>
      <c r="K2922" s="5"/>
    </row>
    <row r="2923" spans="6:11" x14ac:dyDescent="0.25">
      <c r="F2923" s="12"/>
      <c r="K2923" s="5"/>
    </row>
    <row r="2924" spans="6:11" x14ac:dyDescent="0.25">
      <c r="F2924" s="12"/>
      <c r="K2924" s="5"/>
    </row>
    <row r="2925" spans="6:11" x14ac:dyDescent="0.25">
      <c r="F2925" s="12"/>
      <c r="K2925" s="5"/>
    </row>
    <row r="2926" spans="6:11" x14ac:dyDescent="0.25">
      <c r="F2926" s="12"/>
      <c r="K2926" s="5"/>
    </row>
    <row r="2927" spans="6:11" x14ac:dyDescent="0.25">
      <c r="F2927" s="12"/>
      <c r="K2927" s="5"/>
    </row>
    <row r="2928" spans="6:11" x14ac:dyDescent="0.25">
      <c r="F2928" s="12"/>
      <c r="K2928" s="5"/>
    </row>
    <row r="2929" spans="6:11" x14ac:dyDescent="0.25">
      <c r="F2929" s="12"/>
      <c r="K2929" s="5"/>
    </row>
    <row r="2930" spans="6:11" x14ac:dyDescent="0.25">
      <c r="F2930" s="12"/>
      <c r="K2930" s="5"/>
    </row>
    <row r="2931" spans="6:11" x14ac:dyDescent="0.25">
      <c r="F2931" s="12"/>
      <c r="K2931" s="5"/>
    </row>
    <row r="2932" spans="6:11" x14ac:dyDescent="0.25">
      <c r="F2932" s="12"/>
      <c r="K2932" s="5"/>
    </row>
    <row r="2933" spans="6:11" x14ac:dyDescent="0.25">
      <c r="F2933" s="12"/>
      <c r="K2933" s="5"/>
    </row>
    <row r="2934" spans="6:11" x14ac:dyDescent="0.25">
      <c r="F2934" s="12"/>
      <c r="K2934" s="5"/>
    </row>
    <row r="2935" spans="6:11" x14ac:dyDescent="0.25">
      <c r="F2935" s="12"/>
      <c r="K2935" s="5"/>
    </row>
    <row r="2936" spans="6:11" x14ac:dyDescent="0.25">
      <c r="F2936" s="12"/>
      <c r="K2936" s="5"/>
    </row>
    <row r="2937" spans="6:11" x14ac:dyDescent="0.25">
      <c r="F2937" s="12"/>
      <c r="K2937" s="5"/>
    </row>
    <row r="2938" spans="6:11" x14ac:dyDescent="0.25">
      <c r="F2938" s="12"/>
      <c r="K2938" s="5"/>
    </row>
    <row r="2939" spans="6:11" x14ac:dyDescent="0.25">
      <c r="F2939" s="12"/>
      <c r="K2939" s="5"/>
    </row>
    <row r="2940" spans="6:11" x14ac:dyDescent="0.25">
      <c r="F2940" s="12"/>
      <c r="K2940" s="5"/>
    </row>
    <row r="2941" spans="6:11" x14ac:dyDescent="0.25">
      <c r="F2941" s="12"/>
      <c r="K2941" s="5"/>
    </row>
    <row r="2942" spans="6:11" x14ac:dyDescent="0.25">
      <c r="F2942" s="12"/>
      <c r="K2942" s="5"/>
    </row>
    <row r="2943" spans="6:11" x14ac:dyDescent="0.25">
      <c r="F2943" s="12"/>
      <c r="K2943" s="5"/>
    </row>
    <row r="2944" spans="6:11" x14ac:dyDescent="0.25">
      <c r="F2944" s="12"/>
      <c r="K2944" s="5"/>
    </row>
    <row r="2945" spans="6:11" x14ac:dyDescent="0.25">
      <c r="F2945" s="12"/>
      <c r="K2945" s="5"/>
    </row>
    <row r="2946" spans="6:11" x14ac:dyDescent="0.25">
      <c r="F2946" s="12"/>
      <c r="K2946" s="5"/>
    </row>
    <row r="2947" spans="6:11" x14ac:dyDescent="0.25">
      <c r="F2947" s="12"/>
      <c r="K2947" s="5"/>
    </row>
    <row r="2948" spans="6:11" x14ac:dyDescent="0.25">
      <c r="F2948" s="12"/>
      <c r="K2948" s="5"/>
    </row>
    <row r="2949" spans="6:11" x14ac:dyDescent="0.25">
      <c r="F2949" s="12"/>
      <c r="K2949" s="5"/>
    </row>
    <row r="2950" spans="6:11" x14ac:dyDescent="0.25">
      <c r="F2950" s="12"/>
      <c r="K2950" s="5"/>
    </row>
    <row r="2951" spans="6:11" x14ac:dyDescent="0.25">
      <c r="F2951" s="12"/>
      <c r="K2951" s="5"/>
    </row>
    <row r="2952" spans="6:11" x14ac:dyDescent="0.25">
      <c r="F2952" s="12"/>
      <c r="K2952" s="5"/>
    </row>
    <row r="2953" spans="6:11" x14ac:dyDescent="0.25">
      <c r="F2953" s="12"/>
      <c r="K2953" s="5"/>
    </row>
    <row r="2954" spans="6:11" x14ac:dyDescent="0.25">
      <c r="F2954" s="12"/>
      <c r="K2954" s="5"/>
    </row>
    <row r="2955" spans="6:11" x14ac:dyDescent="0.25">
      <c r="F2955" s="12"/>
      <c r="K2955" s="5"/>
    </row>
    <row r="2956" spans="6:11" x14ac:dyDescent="0.25">
      <c r="F2956" s="12"/>
      <c r="K2956" s="5"/>
    </row>
    <row r="2957" spans="6:11" x14ac:dyDescent="0.25">
      <c r="F2957" s="12"/>
      <c r="K2957" s="5"/>
    </row>
    <row r="2958" spans="6:11" x14ac:dyDescent="0.25">
      <c r="F2958" s="12"/>
      <c r="K2958" s="5"/>
    </row>
    <row r="2959" spans="6:11" x14ac:dyDescent="0.25">
      <c r="F2959" s="12"/>
      <c r="K2959" s="5"/>
    </row>
    <row r="2960" spans="6:11" x14ac:dyDescent="0.25">
      <c r="F2960" s="12"/>
      <c r="K2960" s="5"/>
    </row>
    <row r="2961" spans="6:11" x14ac:dyDescent="0.25">
      <c r="F2961" s="12"/>
      <c r="K2961" s="5"/>
    </row>
    <row r="2962" spans="6:11" x14ac:dyDescent="0.25">
      <c r="F2962" s="12"/>
      <c r="K2962" s="5"/>
    </row>
    <row r="2963" spans="6:11" x14ac:dyDescent="0.25">
      <c r="F2963" s="12"/>
      <c r="K2963" s="5"/>
    </row>
    <row r="2964" spans="6:11" x14ac:dyDescent="0.25">
      <c r="F2964" s="12"/>
      <c r="K2964" s="5"/>
    </row>
    <row r="2965" spans="6:11" x14ac:dyDescent="0.25">
      <c r="F2965" s="12"/>
      <c r="K2965" s="5"/>
    </row>
    <row r="2966" spans="6:11" x14ac:dyDescent="0.25">
      <c r="F2966" s="12"/>
      <c r="K2966" s="5"/>
    </row>
    <row r="2967" spans="6:11" x14ac:dyDescent="0.25">
      <c r="F2967" s="12"/>
      <c r="K2967" s="5"/>
    </row>
    <row r="2968" spans="6:11" x14ac:dyDescent="0.25">
      <c r="F2968" s="12"/>
      <c r="K2968" s="5"/>
    </row>
    <row r="2969" spans="6:11" x14ac:dyDescent="0.25">
      <c r="F2969" s="12"/>
      <c r="K2969" s="5"/>
    </row>
    <row r="2970" spans="6:11" x14ac:dyDescent="0.25">
      <c r="F2970" s="12"/>
      <c r="K2970" s="5"/>
    </row>
    <row r="2971" spans="6:11" x14ac:dyDescent="0.25">
      <c r="F2971" s="12"/>
      <c r="K2971" s="5"/>
    </row>
    <row r="2972" spans="6:11" x14ac:dyDescent="0.25">
      <c r="F2972" s="12"/>
      <c r="K2972" s="5"/>
    </row>
    <row r="2973" spans="6:11" x14ac:dyDescent="0.25">
      <c r="F2973" s="12"/>
      <c r="K2973" s="5"/>
    </row>
    <row r="2974" spans="6:11" x14ac:dyDescent="0.25">
      <c r="F2974" s="12"/>
      <c r="K2974" s="5"/>
    </row>
    <row r="2975" spans="6:11" x14ac:dyDescent="0.25">
      <c r="F2975" s="12"/>
      <c r="K2975" s="5"/>
    </row>
    <row r="2976" spans="6:11" x14ac:dyDescent="0.25">
      <c r="F2976" s="12"/>
      <c r="K2976" s="5"/>
    </row>
    <row r="2977" spans="6:11" x14ac:dyDescent="0.25">
      <c r="F2977" s="12"/>
      <c r="K2977" s="5"/>
    </row>
    <row r="2978" spans="6:11" x14ac:dyDescent="0.25">
      <c r="F2978" s="12"/>
      <c r="K2978" s="5"/>
    </row>
    <row r="2979" spans="6:11" x14ac:dyDescent="0.25">
      <c r="F2979" s="12"/>
      <c r="K2979" s="5"/>
    </row>
    <row r="2980" spans="6:11" x14ac:dyDescent="0.25">
      <c r="F2980" s="12"/>
      <c r="K2980" s="5"/>
    </row>
    <row r="2981" spans="6:11" x14ac:dyDescent="0.25">
      <c r="F2981" s="12"/>
      <c r="K2981" s="5"/>
    </row>
    <row r="2982" spans="6:11" x14ac:dyDescent="0.25">
      <c r="F2982" s="12"/>
      <c r="K2982" s="5"/>
    </row>
    <row r="2983" spans="6:11" x14ac:dyDescent="0.25">
      <c r="F2983" s="12"/>
      <c r="K2983" s="5"/>
    </row>
    <row r="2984" spans="6:11" x14ac:dyDescent="0.25">
      <c r="F2984" s="12"/>
      <c r="K2984" s="5"/>
    </row>
    <row r="2985" spans="6:11" x14ac:dyDescent="0.25">
      <c r="F2985" s="12"/>
      <c r="K2985" s="5"/>
    </row>
    <row r="2986" spans="6:11" x14ac:dyDescent="0.25">
      <c r="F2986" s="12"/>
      <c r="K2986" s="5"/>
    </row>
    <row r="2987" spans="6:11" x14ac:dyDescent="0.25">
      <c r="F2987" s="12"/>
      <c r="K2987" s="5"/>
    </row>
    <row r="2988" spans="6:11" x14ac:dyDescent="0.25">
      <c r="F2988" s="12"/>
      <c r="K2988" s="5"/>
    </row>
    <row r="2989" spans="6:11" x14ac:dyDescent="0.25">
      <c r="F2989" s="12"/>
      <c r="K2989" s="5"/>
    </row>
    <row r="2990" spans="6:11" x14ac:dyDescent="0.25">
      <c r="F2990" s="12"/>
      <c r="K2990" s="5"/>
    </row>
    <row r="2991" spans="6:11" x14ac:dyDescent="0.25">
      <c r="F2991" s="12"/>
      <c r="K2991" s="5"/>
    </row>
    <row r="2992" spans="6:11" x14ac:dyDescent="0.25">
      <c r="F2992" s="12"/>
      <c r="K2992" s="5"/>
    </row>
    <row r="2993" spans="6:11" x14ac:dyDescent="0.25">
      <c r="F2993" s="12"/>
      <c r="K2993" s="5"/>
    </row>
    <row r="2994" spans="6:11" x14ac:dyDescent="0.25">
      <c r="F2994" s="12"/>
      <c r="K2994" s="5"/>
    </row>
    <row r="2995" spans="6:11" x14ac:dyDescent="0.25">
      <c r="F2995" s="12"/>
      <c r="K2995" s="5"/>
    </row>
    <row r="2996" spans="6:11" x14ac:dyDescent="0.25">
      <c r="F2996" s="12"/>
      <c r="K2996" s="5"/>
    </row>
    <row r="2997" spans="6:11" x14ac:dyDescent="0.25">
      <c r="F2997" s="12"/>
      <c r="K2997" s="5"/>
    </row>
    <row r="2998" spans="6:11" x14ac:dyDescent="0.25">
      <c r="F2998" s="12"/>
      <c r="K2998" s="5"/>
    </row>
    <row r="2999" spans="6:11" x14ac:dyDescent="0.25">
      <c r="F2999" s="12"/>
      <c r="K2999" s="5"/>
    </row>
    <row r="3000" spans="6:11" x14ac:dyDescent="0.25">
      <c r="F3000" s="12"/>
      <c r="K3000" s="5"/>
    </row>
    <row r="3001" spans="6:11" x14ac:dyDescent="0.25">
      <c r="F3001" s="12"/>
      <c r="K3001" s="5"/>
    </row>
    <row r="3002" spans="6:11" x14ac:dyDescent="0.25">
      <c r="F3002" s="12"/>
      <c r="K3002" s="5"/>
    </row>
    <row r="3003" spans="6:11" x14ac:dyDescent="0.25">
      <c r="F3003" s="12"/>
      <c r="K3003" s="5"/>
    </row>
    <row r="3004" spans="6:11" x14ac:dyDescent="0.25">
      <c r="F3004" s="12"/>
      <c r="K3004" s="5"/>
    </row>
    <row r="3005" spans="6:11" x14ac:dyDescent="0.25">
      <c r="F3005" s="12"/>
      <c r="K3005" s="5"/>
    </row>
    <row r="3006" spans="6:11" x14ac:dyDescent="0.25">
      <c r="F3006" s="12"/>
      <c r="K3006" s="5"/>
    </row>
    <row r="3007" spans="6:11" x14ac:dyDescent="0.25">
      <c r="F3007" s="12"/>
      <c r="K3007" s="5"/>
    </row>
    <row r="3008" spans="6:11" x14ac:dyDescent="0.25">
      <c r="F3008" s="12"/>
      <c r="K3008" s="5"/>
    </row>
    <row r="3009" spans="6:11" x14ac:dyDescent="0.25">
      <c r="F3009" s="12"/>
      <c r="K3009" s="5"/>
    </row>
    <row r="3010" spans="6:11" x14ac:dyDescent="0.25">
      <c r="F3010" s="12"/>
      <c r="K3010" s="5"/>
    </row>
    <row r="3011" spans="6:11" x14ac:dyDescent="0.25">
      <c r="F3011" s="12"/>
      <c r="K3011" s="5"/>
    </row>
    <row r="3012" spans="6:11" x14ac:dyDescent="0.25">
      <c r="F3012" s="12"/>
      <c r="K3012" s="5"/>
    </row>
    <row r="3013" spans="6:11" x14ac:dyDescent="0.25">
      <c r="F3013" s="12"/>
      <c r="K3013" s="5"/>
    </row>
    <row r="3014" spans="6:11" x14ac:dyDescent="0.25">
      <c r="F3014" s="12"/>
      <c r="K3014" s="5"/>
    </row>
    <row r="3015" spans="6:11" x14ac:dyDescent="0.25">
      <c r="F3015" s="12"/>
      <c r="K3015" s="5"/>
    </row>
    <row r="3016" spans="6:11" x14ac:dyDescent="0.25">
      <c r="F3016" s="12"/>
      <c r="K3016" s="5"/>
    </row>
    <row r="3017" spans="6:11" x14ac:dyDescent="0.25">
      <c r="F3017" s="12"/>
      <c r="K3017" s="5"/>
    </row>
    <row r="3018" spans="6:11" x14ac:dyDescent="0.25">
      <c r="F3018" s="12"/>
      <c r="K3018" s="5"/>
    </row>
    <row r="3019" spans="6:11" x14ac:dyDescent="0.25">
      <c r="F3019" s="12"/>
      <c r="K3019" s="5"/>
    </row>
    <row r="3020" spans="6:11" x14ac:dyDescent="0.25">
      <c r="F3020" s="12"/>
      <c r="K3020" s="5"/>
    </row>
    <row r="3021" spans="6:11" x14ac:dyDescent="0.25">
      <c r="F3021" s="12"/>
      <c r="K3021" s="5"/>
    </row>
    <row r="3022" spans="6:11" x14ac:dyDescent="0.25">
      <c r="F3022" s="12"/>
      <c r="K3022" s="5"/>
    </row>
    <row r="3023" spans="6:11" x14ac:dyDescent="0.25">
      <c r="F3023" s="12"/>
      <c r="K3023" s="5"/>
    </row>
    <row r="3024" spans="6:11" x14ac:dyDescent="0.25">
      <c r="F3024" s="12"/>
      <c r="K3024" s="5"/>
    </row>
    <row r="3025" spans="6:11" x14ac:dyDescent="0.25">
      <c r="F3025" s="12"/>
      <c r="K3025" s="5"/>
    </row>
    <row r="3026" spans="6:11" x14ac:dyDescent="0.25">
      <c r="F3026" s="12"/>
      <c r="K3026" s="5"/>
    </row>
    <row r="3027" spans="6:11" x14ac:dyDescent="0.25">
      <c r="F3027" s="12"/>
      <c r="K3027" s="5"/>
    </row>
    <row r="3028" spans="6:11" x14ac:dyDescent="0.25">
      <c r="F3028" s="12"/>
      <c r="K3028" s="5"/>
    </row>
    <row r="3029" spans="6:11" x14ac:dyDescent="0.25">
      <c r="F3029" s="12"/>
      <c r="K3029" s="5"/>
    </row>
    <row r="3030" spans="6:11" x14ac:dyDescent="0.25">
      <c r="F3030" s="12"/>
      <c r="K3030" s="5"/>
    </row>
    <row r="3031" spans="6:11" x14ac:dyDescent="0.25">
      <c r="F3031" s="12"/>
      <c r="K3031" s="5"/>
    </row>
    <row r="3032" spans="6:11" x14ac:dyDescent="0.25">
      <c r="F3032" s="12"/>
      <c r="K3032" s="5"/>
    </row>
    <row r="3033" spans="6:11" x14ac:dyDescent="0.25">
      <c r="F3033" s="12"/>
      <c r="K3033" s="5"/>
    </row>
    <row r="3034" spans="6:11" x14ac:dyDescent="0.25">
      <c r="F3034" s="12"/>
      <c r="K3034" s="5"/>
    </row>
    <row r="3035" spans="6:11" x14ac:dyDescent="0.25">
      <c r="F3035" s="12"/>
      <c r="K3035" s="5"/>
    </row>
    <row r="3036" spans="6:11" x14ac:dyDescent="0.25">
      <c r="F3036" s="12"/>
      <c r="K3036" s="5"/>
    </row>
    <row r="3037" spans="6:11" x14ac:dyDescent="0.25">
      <c r="F3037" s="12"/>
      <c r="K3037" s="5"/>
    </row>
    <row r="3038" spans="6:11" x14ac:dyDescent="0.25">
      <c r="F3038" s="12"/>
      <c r="K3038" s="5"/>
    </row>
    <row r="3039" spans="6:11" x14ac:dyDescent="0.25">
      <c r="F3039" s="12"/>
      <c r="K3039" s="5"/>
    </row>
    <row r="3040" spans="6:11" x14ac:dyDescent="0.25">
      <c r="F3040" s="12"/>
      <c r="K3040" s="5"/>
    </row>
    <row r="3041" spans="6:11" x14ac:dyDescent="0.25">
      <c r="F3041" s="12"/>
      <c r="K3041" s="5"/>
    </row>
    <row r="3042" spans="6:11" x14ac:dyDescent="0.25">
      <c r="F3042" s="12"/>
      <c r="K3042" s="5"/>
    </row>
    <row r="3043" spans="6:11" x14ac:dyDescent="0.25">
      <c r="F3043" s="12"/>
      <c r="K3043" s="5"/>
    </row>
    <row r="3044" spans="6:11" x14ac:dyDescent="0.25">
      <c r="F3044" s="12"/>
      <c r="K3044" s="5"/>
    </row>
    <row r="3045" spans="6:11" x14ac:dyDescent="0.25">
      <c r="F3045" s="12"/>
      <c r="K3045" s="5"/>
    </row>
    <row r="3046" spans="6:11" x14ac:dyDescent="0.25">
      <c r="F3046" s="12"/>
      <c r="K3046" s="5"/>
    </row>
    <row r="3047" spans="6:11" x14ac:dyDescent="0.25">
      <c r="F3047" s="12"/>
      <c r="K3047" s="5"/>
    </row>
    <row r="3048" spans="6:11" x14ac:dyDescent="0.25">
      <c r="F3048" s="12"/>
      <c r="K3048" s="5"/>
    </row>
    <row r="3049" spans="6:11" x14ac:dyDescent="0.25">
      <c r="F3049" s="12"/>
      <c r="K3049" s="5"/>
    </row>
    <row r="3050" spans="6:11" x14ac:dyDescent="0.25">
      <c r="F3050" s="12"/>
      <c r="K3050" s="5"/>
    </row>
    <row r="3051" spans="6:11" x14ac:dyDescent="0.25">
      <c r="F3051" s="12"/>
      <c r="K3051" s="5"/>
    </row>
    <row r="3052" spans="6:11" x14ac:dyDescent="0.25">
      <c r="F3052" s="12"/>
      <c r="K3052" s="5"/>
    </row>
    <row r="3053" spans="6:11" x14ac:dyDescent="0.25">
      <c r="F3053" s="12"/>
      <c r="K3053" s="5"/>
    </row>
    <row r="3054" spans="6:11" x14ac:dyDescent="0.25">
      <c r="F3054" s="12"/>
      <c r="K3054" s="5"/>
    </row>
    <row r="3055" spans="6:11" x14ac:dyDescent="0.25">
      <c r="F3055" s="12"/>
      <c r="K3055" s="5"/>
    </row>
    <row r="3056" spans="6:11" x14ac:dyDescent="0.25">
      <c r="F3056" s="12"/>
      <c r="K3056" s="5"/>
    </row>
    <row r="3057" spans="6:11" x14ac:dyDescent="0.25">
      <c r="F3057" s="12"/>
      <c r="K3057" s="5"/>
    </row>
    <row r="3058" spans="6:11" x14ac:dyDescent="0.25">
      <c r="F3058" s="12"/>
      <c r="K3058" s="5"/>
    </row>
    <row r="3059" spans="6:11" x14ac:dyDescent="0.25">
      <c r="F3059" s="12"/>
      <c r="K3059" s="5"/>
    </row>
    <row r="3060" spans="6:11" x14ac:dyDescent="0.25">
      <c r="F3060" s="12"/>
      <c r="K3060" s="5"/>
    </row>
    <row r="3061" spans="6:11" x14ac:dyDescent="0.25">
      <c r="F3061" s="12"/>
      <c r="K3061" s="5"/>
    </row>
    <row r="3062" spans="6:11" x14ac:dyDescent="0.25">
      <c r="F3062" s="12"/>
      <c r="K3062" s="5"/>
    </row>
    <row r="3063" spans="6:11" x14ac:dyDescent="0.25">
      <c r="F3063" s="12"/>
      <c r="K3063" s="5"/>
    </row>
    <row r="3064" spans="6:11" x14ac:dyDescent="0.25">
      <c r="F3064" s="12"/>
      <c r="K3064" s="5"/>
    </row>
    <row r="3065" spans="6:11" x14ac:dyDescent="0.25">
      <c r="F3065" s="12"/>
      <c r="K3065" s="5"/>
    </row>
    <row r="3066" spans="6:11" x14ac:dyDescent="0.25">
      <c r="F3066" s="12"/>
      <c r="K3066" s="5"/>
    </row>
    <row r="3067" spans="6:11" x14ac:dyDescent="0.25">
      <c r="F3067" s="12"/>
      <c r="K3067" s="5"/>
    </row>
    <row r="3068" spans="6:11" x14ac:dyDescent="0.25">
      <c r="F3068" s="12"/>
      <c r="K3068" s="5"/>
    </row>
    <row r="3069" spans="6:11" x14ac:dyDescent="0.25">
      <c r="F3069" s="12"/>
      <c r="K3069" s="5"/>
    </row>
    <row r="3070" spans="6:11" x14ac:dyDescent="0.25">
      <c r="F3070" s="12"/>
      <c r="K3070" s="5"/>
    </row>
    <row r="3071" spans="6:11" x14ac:dyDescent="0.25">
      <c r="F3071" s="12"/>
      <c r="K3071" s="5"/>
    </row>
    <row r="3072" spans="6:11" x14ac:dyDescent="0.25">
      <c r="F3072" s="12"/>
      <c r="K3072" s="5"/>
    </row>
    <row r="3073" spans="6:11" x14ac:dyDescent="0.25">
      <c r="F3073" s="12"/>
      <c r="K3073" s="5"/>
    </row>
    <row r="3074" spans="6:11" x14ac:dyDescent="0.25">
      <c r="F3074" s="12"/>
      <c r="K3074" s="5"/>
    </row>
    <row r="3075" spans="6:11" x14ac:dyDescent="0.25">
      <c r="F3075" s="12"/>
      <c r="K3075" s="5"/>
    </row>
    <row r="3076" spans="6:11" x14ac:dyDescent="0.25">
      <c r="F3076" s="12"/>
      <c r="K3076" s="5"/>
    </row>
    <row r="3077" spans="6:11" x14ac:dyDescent="0.25">
      <c r="F3077" s="12"/>
      <c r="K3077" s="5"/>
    </row>
    <row r="3078" spans="6:11" x14ac:dyDescent="0.25">
      <c r="F3078" s="12"/>
      <c r="K3078" s="5"/>
    </row>
    <row r="3079" spans="6:11" x14ac:dyDescent="0.25">
      <c r="F3079" s="12"/>
      <c r="K3079" s="5"/>
    </row>
    <row r="3080" spans="6:11" x14ac:dyDescent="0.25">
      <c r="F3080" s="12"/>
      <c r="K3080" s="5"/>
    </row>
    <row r="3081" spans="6:11" x14ac:dyDescent="0.25">
      <c r="F3081" s="12"/>
      <c r="K3081" s="5"/>
    </row>
    <row r="3082" spans="6:11" x14ac:dyDescent="0.25">
      <c r="F3082" s="12"/>
      <c r="K3082" s="5"/>
    </row>
    <row r="3083" spans="6:11" x14ac:dyDescent="0.25">
      <c r="F3083" s="12"/>
      <c r="K3083" s="5"/>
    </row>
    <row r="3084" spans="6:11" x14ac:dyDescent="0.25">
      <c r="F3084" s="12"/>
      <c r="K3084" s="5"/>
    </row>
    <row r="3085" spans="6:11" x14ac:dyDescent="0.25">
      <c r="F3085" s="12"/>
      <c r="K3085" s="5"/>
    </row>
    <row r="3086" spans="6:11" x14ac:dyDescent="0.25">
      <c r="F3086" s="12"/>
      <c r="K3086" s="5"/>
    </row>
    <row r="3087" spans="6:11" x14ac:dyDescent="0.25">
      <c r="F3087" s="12"/>
      <c r="K3087" s="5"/>
    </row>
    <row r="3088" spans="6:11" x14ac:dyDescent="0.25">
      <c r="F3088" s="12"/>
      <c r="K3088" s="5"/>
    </row>
    <row r="3089" spans="6:11" x14ac:dyDescent="0.25">
      <c r="F3089" s="12"/>
      <c r="K3089" s="5"/>
    </row>
    <row r="3090" spans="6:11" x14ac:dyDescent="0.25">
      <c r="F3090" s="12"/>
      <c r="K3090" s="5"/>
    </row>
    <row r="3091" spans="6:11" x14ac:dyDescent="0.25">
      <c r="F3091" s="12"/>
      <c r="K3091" s="5"/>
    </row>
    <row r="3092" spans="6:11" x14ac:dyDescent="0.25">
      <c r="F3092" s="12"/>
      <c r="K3092" s="5"/>
    </row>
    <row r="3093" spans="6:11" x14ac:dyDescent="0.25">
      <c r="F3093" s="12"/>
      <c r="K3093" s="5"/>
    </row>
    <row r="3094" spans="6:11" x14ac:dyDescent="0.25">
      <c r="F3094" s="12"/>
      <c r="K3094" s="5"/>
    </row>
    <row r="3095" spans="6:11" x14ac:dyDescent="0.25">
      <c r="F3095" s="12"/>
      <c r="K3095" s="5"/>
    </row>
    <row r="3096" spans="6:11" x14ac:dyDescent="0.25">
      <c r="F3096" s="12"/>
      <c r="K3096" s="5"/>
    </row>
    <row r="3097" spans="6:11" x14ac:dyDescent="0.25">
      <c r="F3097" s="12"/>
      <c r="K3097" s="5"/>
    </row>
    <row r="3098" spans="6:11" x14ac:dyDescent="0.25">
      <c r="F3098" s="12"/>
      <c r="K3098" s="5"/>
    </row>
    <row r="3099" spans="6:11" x14ac:dyDescent="0.25">
      <c r="F3099" s="12"/>
      <c r="K3099" s="5"/>
    </row>
    <row r="3100" spans="6:11" x14ac:dyDescent="0.25">
      <c r="F3100" s="12"/>
      <c r="K3100" s="5"/>
    </row>
    <row r="3101" spans="6:11" x14ac:dyDescent="0.25">
      <c r="F3101" s="12"/>
      <c r="K3101" s="5"/>
    </row>
    <row r="3102" spans="6:11" x14ac:dyDescent="0.25">
      <c r="F3102" s="12"/>
      <c r="K3102" s="5"/>
    </row>
    <row r="3103" spans="6:11" x14ac:dyDescent="0.25">
      <c r="F3103" s="12"/>
      <c r="K3103" s="5"/>
    </row>
    <row r="3104" spans="6:11" x14ac:dyDescent="0.25">
      <c r="F3104" s="12"/>
      <c r="K3104" s="5"/>
    </row>
    <row r="3105" spans="6:11" x14ac:dyDescent="0.25">
      <c r="F3105" s="12"/>
      <c r="K3105" s="5"/>
    </row>
    <row r="3106" spans="6:11" x14ac:dyDescent="0.25">
      <c r="F3106" s="12"/>
      <c r="K3106" s="5"/>
    </row>
    <row r="3107" spans="6:11" x14ac:dyDescent="0.25">
      <c r="F3107" s="12"/>
      <c r="K3107" s="5"/>
    </row>
    <row r="3108" spans="6:11" x14ac:dyDescent="0.25">
      <c r="F3108" s="12"/>
      <c r="K3108" s="5"/>
    </row>
    <row r="3109" spans="6:11" x14ac:dyDescent="0.25">
      <c r="F3109" s="12"/>
      <c r="K3109" s="5"/>
    </row>
    <row r="3110" spans="6:11" x14ac:dyDescent="0.25">
      <c r="F3110" s="12"/>
      <c r="K3110" s="5"/>
    </row>
    <row r="3111" spans="6:11" x14ac:dyDescent="0.25">
      <c r="F3111" s="12"/>
      <c r="K3111" s="5"/>
    </row>
    <row r="3112" spans="6:11" x14ac:dyDescent="0.25">
      <c r="F3112" s="12"/>
      <c r="K3112" s="5"/>
    </row>
    <row r="3113" spans="6:11" x14ac:dyDescent="0.25">
      <c r="F3113" s="12"/>
      <c r="K3113" s="5"/>
    </row>
    <row r="3114" spans="6:11" x14ac:dyDescent="0.25">
      <c r="F3114" s="12"/>
      <c r="K3114" s="5"/>
    </row>
    <row r="3115" spans="6:11" x14ac:dyDescent="0.25">
      <c r="F3115" s="12"/>
      <c r="K3115" s="5"/>
    </row>
    <row r="3116" spans="6:11" x14ac:dyDescent="0.25">
      <c r="F3116" s="12"/>
      <c r="K3116" s="5"/>
    </row>
    <row r="3117" spans="6:11" x14ac:dyDescent="0.25">
      <c r="F3117" s="12"/>
      <c r="K3117" s="5"/>
    </row>
    <row r="3118" spans="6:11" x14ac:dyDescent="0.25">
      <c r="F3118" s="12"/>
      <c r="K3118" s="5"/>
    </row>
    <row r="3119" spans="6:11" x14ac:dyDescent="0.25">
      <c r="F3119" s="12"/>
      <c r="K3119" s="5"/>
    </row>
    <row r="3120" spans="6:11" x14ac:dyDescent="0.25">
      <c r="F3120" s="12"/>
      <c r="K3120" s="5"/>
    </row>
    <row r="3121" spans="6:11" x14ac:dyDescent="0.25">
      <c r="F3121" s="12"/>
      <c r="K3121" s="5"/>
    </row>
    <row r="3122" spans="6:11" x14ac:dyDescent="0.25">
      <c r="F3122" s="12"/>
      <c r="K3122" s="5"/>
    </row>
    <row r="3123" spans="6:11" x14ac:dyDescent="0.25">
      <c r="F3123" s="12"/>
      <c r="K3123" s="5"/>
    </row>
    <row r="3124" spans="6:11" x14ac:dyDescent="0.25">
      <c r="F3124" s="12"/>
      <c r="K3124" s="5"/>
    </row>
    <row r="3125" spans="6:11" x14ac:dyDescent="0.25">
      <c r="F3125" s="12"/>
      <c r="K3125" s="5"/>
    </row>
    <row r="3126" spans="6:11" x14ac:dyDescent="0.25">
      <c r="F3126" s="12"/>
      <c r="K3126" s="5"/>
    </row>
    <row r="3127" spans="6:11" x14ac:dyDescent="0.25">
      <c r="F3127" s="12"/>
      <c r="K3127" s="5"/>
    </row>
    <row r="3128" spans="6:11" x14ac:dyDescent="0.25">
      <c r="F3128" s="12"/>
      <c r="K3128" s="5"/>
    </row>
    <row r="3129" spans="6:11" x14ac:dyDescent="0.25">
      <c r="F3129" s="12"/>
      <c r="K3129" s="5"/>
    </row>
    <row r="3130" spans="6:11" x14ac:dyDescent="0.25">
      <c r="F3130" s="12"/>
      <c r="K3130" s="5"/>
    </row>
    <row r="3131" spans="6:11" x14ac:dyDescent="0.25">
      <c r="F3131" s="12"/>
      <c r="K3131" s="5"/>
    </row>
    <row r="3132" spans="6:11" x14ac:dyDescent="0.25">
      <c r="F3132" s="12"/>
      <c r="K3132" s="5"/>
    </row>
    <row r="3133" spans="6:11" x14ac:dyDescent="0.25">
      <c r="F3133" s="12"/>
      <c r="K3133" s="5"/>
    </row>
    <row r="3134" spans="6:11" x14ac:dyDescent="0.25">
      <c r="F3134" s="12"/>
      <c r="K3134" s="5"/>
    </row>
    <row r="3135" spans="6:11" x14ac:dyDescent="0.25">
      <c r="F3135" s="12"/>
      <c r="K3135" s="5"/>
    </row>
    <row r="3136" spans="6:11" x14ac:dyDescent="0.25">
      <c r="F3136" s="12"/>
      <c r="K3136" s="5"/>
    </row>
    <row r="3137" spans="6:11" x14ac:dyDescent="0.25">
      <c r="F3137" s="12"/>
      <c r="K3137" s="5"/>
    </row>
    <row r="3138" spans="6:11" x14ac:dyDescent="0.25">
      <c r="F3138" s="12"/>
      <c r="K3138" s="5"/>
    </row>
    <row r="3139" spans="6:11" x14ac:dyDescent="0.25">
      <c r="F3139" s="12"/>
      <c r="K3139" s="5"/>
    </row>
    <row r="3140" spans="6:11" x14ac:dyDescent="0.25">
      <c r="F3140" s="12"/>
      <c r="K3140" s="5"/>
    </row>
    <row r="3141" spans="6:11" x14ac:dyDescent="0.25">
      <c r="F3141" s="12"/>
      <c r="K3141" s="5"/>
    </row>
    <row r="3142" spans="6:11" x14ac:dyDescent="0.25">
      <c r="F3142" s="12"/>
      <c r="K3142" s="5"/>
    </row>
    <row r="3143" spans="6:11" x14ac:dyDescent="0.25">
      <c r="F3143" s="12"/>
      <c r="K3143" s="5"/>
    </row>
    <row r="3144" spans="6:11" x14ac:dyDescent="0.25">
      <c r="F3144" s="12"/>
      <c r="K3144" s="5"/>
    </row>
    <row r="3145" spans="6:11" x14ac:dyDescent="0.25">
      <c r="F3145" s="12"/>
      <c r="K3145" s="5"/>
    </row>
    <row r="3146" spans="6:11" x14ac:dyDescent="0.25">
      <c r="F3146" s="12"/>
      <c r="K3146" s="5"/>
    </row>
    <row r="3147" spans="6:11" x14ac:dyDescent="0.25">
      <c r="F3147" s="12"/>
      <c r="K3147" s="5"/>
    </row>
    <row r="3148" spans="6:11" x14ac:dyDescent="0.25">
      <c r="F3148" s="12"/>
      <c r="K3148" s="5"/>
    </row>
    <row r="3149" spans="6:11" x14ac:dyDescent="0.25">
      <c r="F3149" s="12"/>
      <c r="K3149" s="5"/>
    </row>
    <row r="3150" spans="6:11" x14ac:dyDescent="0.25">
      <c r="F3150" s="12"/>
      <c r="K3150" s="5"/>
    </row>
    <row r="3151" spans="6:11" x14ac:dyDescent="0.25">
      <c r="F3151" s="12"/>
      <c r="K3151" s="5"/>
    </row>
    <row r="3152" spans="6:11" x14ac:dyDescent="0.25">
      <c r="F3152" s="12"/>
      <c r="K3152" s="5"/>
    </row>
    <row r="3153" spans="6:11" x14ac:dyDescent="0.25">
      <c r="F3153" s="12"/>
      <c r="K3153" s="5"/>
    </row>
    <row r="3154" spans="6:11" x14ac:dyDescent="0.25">
      <c r="F3154" s="12"/>
      <c r="K3154" s="5"/>
    </row>
    <row r="3155" spans="6:11" x14ac:dyDescent="0.25">
      <c r="F3155" s="12"/>
      <c r="K3155" s="5"/>
    </row>
    <row r="3156" spans="6:11" x14ac:dyDescent="0.25">
      <c r="F3156" s="12"/>
      <c r="K3156" s="5"/>
    </row>
    <row r="3157" spans="6:11" x14ac:dyDescent="0.25">
      <c r="F3157" s="12"/>
      <c r="K3157" s="5"/>
    </row>
    <row r="3158" spans="6:11" x14ac:dyDescent="0.25">
      <c r="F3158" s="12"/>
      <c r="K3158" s="5"/>
    </row>
    <row r="3159" spans="6:11" x14ac:dyDescent="0.25">
      <c r="F3159" s="12"/>
      <c r="K3159" s="5"/>
    </row>
    <row r="3160" spans="6:11" x14ac:dyDescent="0.25">
      <c r="F3160" s="12"/>
      <c r="K3160" s="5"/>
    </row>
    <row r="3161" spans="6:11" x14ac:dyDescent="0.25">
      <c r="F3161" s="12"/>
      <c r="K3161" s="5"/>
    </row>
    <row r="3162" spans="6:11" x14ac:dyDescent="0.25">
      <c r="F3162" s="12"/>
      <c r="K3162" s="5"/>
    </row>
    <row r="3163" spans="6:11" x14ac:dyDescent="0.25">
      <c r="F3163" s="12"/>
      <c r="K3163" s="5"/>
    </row>
    <row r="3164" spans="6:11" x14ac:dyDescent="0.25">
      <c r="F3164" s="12"/>
      <c r="K3164" s="5"/>
    </row>
    <row r="3165" spans="6:11" x14ac:dyDescent="0.25">
      <c r="F3165" s="12"/>
      <c r="K3165" s="5"/>
    </row>
    <row r="3166" spans="6:11" x14ac:dyDescent="0.25">
      <c r="F3166" s="12"/>
      <c r="K3166" s="5"/>
    </row>
    <row r="3167" spans="6:11" x14ac:dyDescent="0.25">
      <c r="F3167" s="12"/>
      <c r="K3167" s="5"/>
    </row>
    <row r="3168" spans="6:11" x14ac:dyDescent="0.25">
      <c r="F3168" s="12"/>
      <c r="K3168" s="5"/>
    </row>
    <row r="3169" spans="6:11" x14ac:dyDescent="0.25">
      <c r="F3169" s="12"/>
      <c r="K3169" s="5"/>
    </row>
    <row r="3170" spans="6:11" x14ac:dyDescent="0.25">
      <c r="F3170" s="12"/>
      <c r="K3170" s="5"/>
    </row>
    <row r="3171" spans="6:11" x14ac:dyDescent="0.25">
      <c r="F3171" s="12"/>
      <c r="K3171" s="5"/>
    </row>
    <row r="3172" spans="6:11" x14ac:dyDescent="0.25">
      <c r="F3172" s="12"/>
      <c r="K3172" s="5"/>
    </row>
    <row r="3173" spans="6:11" x14ac:dyDescent="0.25">
      <c r="F3173" s="12"/>
      <c r="K3173" s="5"/>
    </row>
    <row r="3174" spans="6:11" x14ac:dyDescent="0.25">
      <c r="F3174" s="12"/>
      <c r="K3174" s="5"/>
    </row>
    <row r="3175" spans="6:11" x14ac:dyDescent="0.25">
      <c r="F3175" s="12"/>
      <c r="K3175" s="5"/>
    </row>
    <row r="3176" spans="6:11" x14ac:dyDescent="0.25">
      <c r="F3176" s="12"/>
      <c r="K3176" s="5"/>
    </row>
    <row r="3177" spans="6:11" x14ac:dyDescent="0.25">
      <c r="F3177" s="12"/>
      <c r="K3177" s="5"/>
    </row>
    <row r="3178" spans="6:11" x14ac:dyDescent="0.25">
      <c r="F3178" s="12"/>
      <c r="K3178" s="5"/>
    </row>
    <row r="3179" spans="6:11" x14ac:dyDescent="0.25">
      <c r="F3179" s="12"/>
      <c r="K3179" s="5"/>
    </row>
    <row r="3180" spans="6:11" x14ac:dyDescent="0.25">
      <c r="F3180" s="12"/>
      <c r="K3180" s="5"/>
    </row>
    <row r="3181" spans="6:11" x14ac:dyDescent="0.25">
      <c r="F3181" s="12"/>
      <c r="K3181" s="5"/>
    </row>
    <row r="3182" spans="6:11" x14ac:dyDescent="0.25">
      <c r="F3182" s="12"/>
      <c r="K3182" s="5"/>
    </row>
    <row r="3183" spans="6:11" x14ac:dyDescent="0.25">
      <c r="F3183" s="12"/>
      <c r="K3183" s="5"/>
    </row>
    <row r="3184" spans="6:11" x14ac:dyDescent="0.25">
      <c r="F3184" s="12"/>
      <c r="K3184" s="5"/>
    </row>
    <row r="3185" spans="6:11" x14ac:dyDescent="0.25">
      <c r="F3185" s="12"/>
      <c r="K3185" s="5"/>
    </row>
    <row r="3186" spans="6:11" x14ac:dyDescent="0.25">
      <c r="F3186" s="12"/>
      <c r="K3186" s="5"/>
    </row>
    <row r="3187" spans="6:11" x14ac:dyDescent="0.25">
      <c r="F3187" s="12"/>
      <c r="K3187" s="5"/>
    </row>
    <row r="3188" spans="6:11" x14ac:dyDescent="0.25">
      <c r="F3188" s="12"/>
      <c r="K3188" s="5"/>
    </row>
    <row r="3189" spans="6:11" x14ac:dyDescent="0.25">
      <c r="F3189" s="12"/>
      <c r="K3189" s="5"/>
    </row>
    <row r="3190" spans="6:11" x14ac:dyDescent="0.25">
      <c r="F3190" s="12"/>
      <c r="K3190" s="5"/>
    </row>
    <row r="3191" spans="6:11" x14ac:dyDescent="0.25">
      <c r="F3191" s="12"/>
      <c r="K3191" s="5"/>
    </row>
    <row r="3192" spans="6:11" x14ac:dyDescent="0.25">
      <c r="F3192" s="12"/>
      <c r="K3192" s="5"/>
    </row>
    <row r="3193" spans="6:11" x14ac:dyDescent="0.25">
      <c r="F3193" s="12"/>
      <c r="K3193" s="5"/>
    </row>
    <row r="3194" spans="6:11" x14ac:dyDescent="0.25">
      <c r="F3194" s="12"/>
      <c r="K3194" s="5"/>
    </row>
    <row r="3195" spans="6:11" x14ac:dyDescent="0.25">
      <c r="F3195" s="12"/>
      <c r="K3195" s="5"/>
    </row>
    <row r="3196" spans="6:11" x14ac:dyDescent="0.25">
      <c r="F3196" s="12"/>
      <c r="K3196" s="5"/>
    </row>
    <row r="3197" spans="6:11" x14ac:dyDescent="0.25">
      <c r="F3197" s="12"/>
      <c r="K3197" s="5"/>
    </row>
    <row r="3198" spans="6:11" x14ac:dyDescent="0.25">
      <c r="F3198" s="12"/>
      <c r="K3198" s="5"/>
    </row>
    <row r="3199" spans="6:11" x14ac:dyDescent="0.25">
      <c r="F3199" s="12"/>
      <c r="K3199" s="5"/>
    </row>
    <row r="3200" spans="6:11" x14ac:dyDescent="0.25">
      <c r="F3200" s="12"/>
      <c r="K3200" s="5"/>
    </row>
    <row r="3201" spans="6:11" x14ac:dyDescent="0.25">
      <c r="F3201" s="12"/>
      <c r="K3201" s="5"/>
    </row>
    <row r="3202" spans="6:11" x14ac:dyDescent="0.25">
      <c r="F3202" s="12"/>
      <c r="K3202" s="5"/>
    </row>
    <row r="3203" spans="6:11" x14ac:dyDescent="0.25">
      <c r="F3203" s="12"/>
      <c r="K3203" s="5"/>
    </row>
    <row r="3204" spans="6:11" x14ac:dyDescent="0.25">
      <c r="F3204" s="12"/>
      <c r="K3204" s="5"/>
    </row>
    <row r="3205" spans="6:11" x14ac:dyDescent="0.25">
      <c r="F3205" s="12"/>
      <c r="K3205" s="5"/>
    </row>
    <row r="3206" spans="6:11" x14ac:dyDescent="0.25">
      <c r="F3206" s="12"/>
      <c r="K3206" s="5"/>
    </row>
    <row r="3207" spans="6:11" x14ac:dyDescent="0.25">
      <c r="F3207" s="12"/>
      <c r="K3207" s="5"/>
    </row>
    <row r="3208" spans="6:11" x14ac:dyDescent="0.25">
      <c r="F3208" s="12"/>
      <c r="K3208" s="5"/>
    </row>
    <row r="3209" spans="6:11" x14ac:dyDescent="0.25">
      <c r="F3209" s="12"/>
      <c r="K3209" s="5"/>
    </row>
    <row r="3210" spans="6:11" x14ac:dyDescent="0.25">
      <c r="F3210" s="12"/>
      <c r="K3210" s="5"/>
    </row>
    <row r="3211" spans="6:11" x14ac:dyDescent="0.25">
      <c r="F3211" s="12"/>
      <c r="K3211" s="5"/>
    </row>
    <row r="3212" spans="6:11" x14ac:dyDescent="0.25">
      <c r="F3212" s="12"/>
      <c r="K3212" s="5"/>
    </row>
    <row r="3213" spans="6:11" x14ac:dyDescent="0.25">
      <c r="F3213" s="12"/>
      <c r="K3213" s="5"/>
    </row>
    <row r="3214" spans="6:11" x14ac:dyDescent="0.25">
      <c r="F3214" s="12"/>
      <c r="K3214" s="5"/>
    </row>
    <row r="3215" spans="6:11" x14ac:dyDescent="0.25">
      <c r="F3215" s="12"/>
      <c r="K3215" s="5"/>
    </row>
    <row r="3216" spans="6:11" x14ac:dyDescent="0.25">
      <c r="F3216" s="12"/>
      <c r="K3216" s="5"/>
    </row>
    <row r="3217" spans="6:11" x14ac:dyDescent="0.25">
      <c r="F3217" s="12"/>
      <c r="K3217" s="5"/>
    </row>
    <row r="3218" spans="6:11" x14ac:dyDescent="0.25">
      <c r="F3218" s="12"/>
      <c r="K3218" s="5"/>
    </row>
    <row r="3219" spans="6:11" x14ac:dyDescent="0.25">
      <c r="F3219" s="12"/>
      <c r="K3219" s="5"/>
    </row>
    <row r="3220" spans="6:11" x14ac:dyDescent="0.25">
      <c r="F3220" s="12"/>
      <c r="K3220" s="5"/>
    </row>
    <row r="3221" spans="6:11" x14ac:dyDescent="0.25">
      <c r="F3221" s="12"/>
      <c r="K3221" s="5"/>
    </row>
    <row r="3222" spans="6:11" x14ac:dyDescent="0.25">
      <c r="F3222" s="12"/>
      <c r="K3222" s="5"/>
    </row>
    <row r="3223" spans="6:11" x14ac:dyDescent="0.25">
      <c r="F3223" s="12"/>
      <c r="K3223" s="5"/>
    </row>
    <row r="3224" spans="6:11" x14ac:dyDescent="0.25">
      <c r="F3224" s="12"/>
      <c r="K3224" s="5"/>
    </row>
    <row r="3225" spans="6:11" x14ac:dyDescent="0.25">
      <c r="F3225" s="12"/>
      <c r="K3225" s="5"/>
    </row>
    <row r="3226" spans="6:11" x14ac:dyDescent="0.25">
      <c r="F3226" s="12"/>
      <c r="K3226" s="5"/>
    </row>
    <row r="3227" spans="6:11" x14ac:dyDescent="0.25">
      <c r="F3227" s="12"/>
      <c r="K3227" s="5"/>
    </row>
    <row r="3228" spans="6:11" x14ac:dyDescent="0.25">
      <c r="F3228" s="12"/>
      <c r="K3228" s="5"/>
    </row>
    <row r="3229" spans="6:11" x14ac:dyDescent="0.25">
      <c r="F3229" s="12"/>
      <c r="K3229" s="5"/>
    </row>
    <row r="3230" spans="6:11" x14ac:dyDescent="0.25">
      <c r="F3230" s="12"/>
      <c r="K3230" s="5"/>
    </row>
    <row r="3231" spans="6:11" x14ac:dyDescent="0.25">
      <c r="F3231" s="12"/>
      <c r="K3231" s="5"/>
    </row>
    <row r="3232" spans="6:11" x14ac:dyDescent="0.25">
      <c r="F3232" s="12"/>
      <c r="K3232" s="5"/>
    </row>
    <row r="3233" spans="6:11" x14ac:dyDescent="0.25">
      <c r="F3233" s="12"/>
      <c r="K3233" s="5"/>
    </row>
    <row r="3234" spans="6:11" x14ac:dyDescent="0.25">
      <c r="F3234" s="12"/>
      <c r="K3234" s="5"/>
    </row>
    <row r="3235" spans="6:11" x14ac:dyDescent="0.25">
      <c r="F3235" s="12"/>
      <c r="K3235" s="5"/>
    </row>
    <row r="3236" spans="6:11" x14ac:dyDescent="0.25">
      <c r="F3236" s="12"/>
      <c r="K3236" s="5"/>
    </row>
    <row r="3237" spans="6:11" x14ac:dyDescent="0.25">
      <c r="F3237" s="12"/>
      <c r="K3237" s="5"/>
    </row>
    <row r="3238" spans="6:11" x14ac:dyDescent="0.25">
      <c r="F3238" s="12"/>
      <c r="K3238" s="5"/>
    </row>
    <row r="3239" spans="6:11" x14ac:dyDescent="0.25">
      <c r="F3239" s="12"/>
      <c r="K3239" s="5"/>
    </row>
    <row r="3240" spans="6:11" x14ac:dyDescent="0.25">
      <c r="F3240" s="12"/>
      <c r="K3240" s="5"/>
    </row>
    <row r="3241" spans="6:11" x14ac:dyDescent="0.25">
      <c r="F3241" s="12"/>
      <c r="K3241" s="5"/>
    </row>
    <row r="3242" spans="6:11" x14ac:dyDescent="0.25">
      <c r="F3242" s="12"/>
      <c r="K3242" s="5"/>
    </row>
    <row r="3243" spans="6:11" x14ac:dyDescent="0.25">
      <c r="F3243" s="12"/>
      <c r="K3243" s="5"/>
    </row>
    <row r="3244" spans="6:11" x14ac:dyDescent="0.25">
      <c r="F3244" s="12"/>
      <c r="K3244" s="5"/>
    </row>
    <row r="3245" spans="6:11" x14ac:dyDescent="0.25">
      <c r="F3245" s="12"/>
      <c r="K3245" s="5"/>
    </row>
    <row r="3246" spans="6:11" x14ac:dyDescent="0.25">
      <c r="F3246" s="12"/>
      <c r="K3246" s="5"/>
    </row>
    <row r="3247" spans="6:11" x14ac:dyDescent="0.25">
      <c r="F3247" s="12"/>
      <c r="K3247" s="5"/>
    </row>
    <row r="3248" spans="6:11" x14ac:dyDescent="0.25">
      <c r="F3248" s="12"/>
      <c r="K3248" s="5"/>
    </row>
    <row r="3249" spans="6:11" x14ac:dyDescent="0.25">
      <c r="F3249" s="12"/>
      <c r="K3249" s="5"/>
    </row>
    <row r="3250" spans="6:11" x14ac:dyDescent="0.25">
      <c r="F3250" s="12"/>
      <c r="K3250" s="5"/>
    </row>
    <row r="3251" spans="6:11" x14ac:dyDescent="0.25">
      <c r="F3251" s="12"/>
      <c r="K3251" s="5"/>
    </row>
    <row r="3252" spans="6:11" x14ac:dyDescent="0.25">
      <c r="F3252" s="12"/>
      <c r="K3252" s="5"/>
    </row>
    <row r="3253" spans="6:11" x14ac:dyDescent="0.25">
      <c r="F3253" s="12"/>
      <c r="K3253" s="5"/>
    </row>
    <row r="3254" spans="6:11" x14ac:dyDescent="0.25">
      <c r="F3254" s="12"/>
      <c r="K3254" s="5"/>
    </row>
    <row r="3255" spans="6:11" x14ac:dyDescent="0.25">
      <c r="F3255" s="12"/>
      <c r="K3255" s="5"/>
    </row>
    <row r="3256" spans="6:11" x14ac:dyDescent="0.25">
      <c r="F3256" s="12"/>
      <c r="K3256" s="5"/>
    </row>
    <row r="3257" spans="6:11" x14ac:dyDescent="0.25">
      <c r="F3257" s="12"/>
      <c r="K3257" s="5"/>
    </row>
    <row r="3258" spans="6:11" x14ac:dyDescent="0.25">
      <c r="F3258" s="12"/>
      <c r="K3258" s="5"/>
    </row>
    <row r="3259" spans="6:11" x14ac:dyDescent="0.25">
      <c r="F3259" s="12"/>
      <c r="K3259" s="5"/>
    </row>
    <row r="3260" spans="6:11" x14ac:dyDescent="0.25">
      <c r="F3260" s="12"/>
      <c r="K3260" s="5"/>
    </row>
    <row r="3261" spans="6:11" x14ac:dyDescent="0.25">
      <c r="F3261" s="12"/>
      <c r="K3261" s="5"/>
    </row>
    <row r="3262" spans="6:11" x14ac:dyDescent="0.25">
      <c r="F3262" s="12"/>
      <c r="K3262" s="5"/>
    </row>
    <row r="3263" spans="6:11" x14ac:dyDescent="0.25">
      <c r="F3263" s="12"/>
      <c r="K3263" s="5"/>
    </row>
    <row r="3264" spans="6:11" x14ac:dyDescent="0.25">
      <c r="F3264" s="12"/>
      <c r="K3264" s="5"/>
    </row>
    <row r="3265" spans="6:11" x14ac:dyDescent="0.25">
      <c r="F3265" s="12"/>
      <c r="K3265" s="5"/>
    </row>
    <row r="3266" spans="6:11" x14ac:dyDescent="0.25">
      <c r="F3266" s="12"/>
      <c r="K3266" s="5"/>
    </row>
    <row r="3267" spans="6:11" x14ac:dyDescent="0.25">
      <c r="F3267" s="12"/>
      <c r="K3267" s="5"/>
    </row>
    <row r="3268" spans="6:11" x14ac:dyDescent="0.25">
      <c r="F3268" s="12"/>
      <c r="K3268" s="5"/>
    </row>
    <row r="3269" spans="6:11" x14ac:dyDescent="0.25">
      <c r="F3269" s="12"/>
      <c r="K3269" s="5"/>
    </row>
    <row r="3270" spans="6:11" x14ac:dyDescent="0.25">
      <c r="F3270" s="12"/>
      <c r="K3270" s="5"/>
    </row>
    <row r="3271" spans="6:11" x14ac:dyDescent="0.25">
      <c r="F3271" s="12"/>
      <c r="K3271" s="5"/>
    </row>
    <row r="3272" spans="6:11" x14ac:dyDescent="0.25">
      <c r="F3272" s="12"/>
      <c r="K3272" s="5"/>
    </row>
    <row r="3273" spans="6:11" x14ac:dyDescent="0.25">
      <c r="F3273" s="12"/>
      <c r="K3273" s="5"/>
    </row>
    <row r="3274" spans="6:11" x14ac:dyDescent="0.25">
      <c r="F3274" s="12"/>
      <c r="K3274" s="5"/>
    </row>
    <row r="3275" spans="6:11" x14ac:dyDescent="0.25">
      <c r="F3275" s="12"/>
      <c r="K3275" s="5"/>
    </row>
    <row r="3276" spans="6:11" x14ac:dyDescent="0.25">
      <c r="F3276" s="12"/>
      <c r="K3276" s="5"/>
    </row>
    <row r="3277" spans="6:11" x14ac:dyDescent="0.25">
      <c r="F3277" s="12"/>
      <c r="K3277" s="5"/>
    </row>
    <row r="3278" spans="6:11" x14ac:dyDescent="0.25">
      <c r="F3278" s="12"/>
      <c r="K3278" s="5"/>
    </row>
    <row r="3279" spans="6:11" x14ac:dyDescent="0.25">
      <c r="F3279" s="12"/>
      <c r="K3279" s="5"/>
    </row>
    <row r="3280" spans="6:11" x14ac:dyDescent="0.25">
      <c r="F3280" s="12"/>
      <c r="K3280" s="5"/>
    </row>
    <row r="3281" spans="6:11" x14ac:dyDescent="0.25">
      <c r="F3281" s="12"/>
      <c r="K3281" s="5"/>
    </row>
    <row r="3282" spans="6:11" x14ac:dyDescent="0.25">
      <c r="F3282" s="12"/>
      <c r="K3282" s="5"/>
    </row>
    <row r="3283" spans="6:11" x14ac:dyDescent="0.25">
      <c r="F3283" s="12"/>
      <c r="K3283" s="5"/>
    </row>
    <row r="3284" spans="6:11" x14ac:dyDescent="0.25">
      <c r="F3284" s="12"/>
      <c r="K3284" s="5"/>
    </row>
    <row r="3285" spans="6:11" x14ac:dyDescent="0.25">
      <c r="F3285" s="12"/>
      <c r="K3285" s="5"/>
    </row>
    <row r="3286" spans="6:11" x14ac:dyDescent="0.25">
      <c r="F3286" s="12"/>
      <c r="K3286" s="5"/>
    </row>
    <row r="3287" spans="6:11" x14ac:dyDescent="0.25">
      <c r="F3287" s="12"/>
      <c r="K3287" s="5"/>
    </row>
    <row r="3288" spans="6:11" x14ac:dyDescent="0.25">
      <c r="F3288" s="12"/>
      <c r="K3288" s="5"/>
    </row>
    <row r="3289" spans="6:11" x14ac:dyDescent="0.25">
      <c r="F3289" s="12"/>
      <c r="K3289" s="5"/>
    </row>
    <row r="3290" spans="6:11" x14ac:dyDescent="0.25">
      <c r="F3290" s="12"/>
      <c r="K3290" s="5"/>
    </row>
    <row r="3291" spans="6:11" x14ac:dyDescent="0.25">
      <c r="F3291" s="12"/>
      <c r="K3291" s="5"/>
    </row>
    <row r="3292" spans="6:11" x14ac:dyDescent="0.25">
      <c r="F3292" s="12"/>
      <c r="K3292" s="5"/>
    </row>
    <row r="3293" spans="6:11" x14ac:dyDescent="0.25">
      <c r="F3293" s="12"/>
      <c r="K3293" s="5"/>
    </row>
    <row r="3294" spans="6:11" x14ac:dyDescent="0.25">
      <c r="F3294" s="12"/>
      <c r="K3294" s="5"/>
    </row>
    <row r="3295" spans="6:11" x14ac:dyDescent="0.25">
      <c r="F3295" s="12"/>
      <c r="K3295" s="5"/>
    </row>
    <row r="3296" spans="6:11" x14ac:dyDescent="0.25">
      <c r="F3296" s="12"/>
      <c r="K3296" s="5"/>
    </row>
    <row r="3297" spans="6:11" x14ac:dyDescent="0.25">
      <c r="F3297" s="12"/>
      <c r="K3297" s="5"/>
    </row>
    <row r="3298" spans="6:11" x14ac:dyDescent="0.25">
      <c r="F3298" s="12"/>
      <c r="K3298" s="5"/>
    </row>
    <row r="3299" spans="6:11" x14ac:dyDescent="0.25">
      <c r="F3299" s="12"/>
      <c r="K3299" s="5"/>
    </row>
    <row r="3300" spans="6:11" x14ac:dyDescent="0.25">
      <c r="F3300" s="12"/>
      <c r="K3300" s="5"/>
    </row>
    <row r="3301" spans="6:11" x14ac:dyDescent="0.25">
      <c r="F3301" s="12"/>
      <c r="K3301" s="5"/>
    </row>
    <row r="3302" spans="6:11" x14ac:dyDescent="0.25">
      <c r="F3302" s="12"/>
      <c r="K3302" s="5"/>
    </row>
    <row r="3303" spans="6:11" x14ac:dyDescent="0.25">
      <c r="F3303" s="12"/>
      <c r="K3303" s="5"/>
    </row>
    <row r="3304" spans="6:11" x14ac:dyDescent="0.25">
      <c r="F3304" s="12"/>
      <c r="K3304" s="5"/>
    </row>
    <row r="3305" spans="6:11" x14ac:dyDescent="0.25">
      <c r="F3305" s="12"/>
      <c r="K3305" s="5"/>
    </row>
    <row r="3306" spans="6:11" x14ac:dyDescent="0.25">
      <c r="F3306" s="12"/>
      <c r="K3306" s="5"/>
    </row>
    <row r="3307" spans="6:11" x14ac:dyDescent="0.25">
      <c r="F3307" s="12"/>
      <c r="K3307" s="5"/>
    </row>
    <row r="3308" spans="6:11" x14ac:dyDescent="0.25">
      <c r="F3308" s="12"/>
      <c r="K3308" s="5"/>
    </row>
    <row r="3309" spans="6:11" x14ac:dyDescent="0.25">
      <c r="F3309" s="12"/>
      <c r="K3309" s="5"/>
    </row>
    <row r="3310" spans="6:11" x14ac:dyDescent="0.25">
      <c r="F3310" s="12"/>
      <c r="K3310" s="5"/>
    </row>
    <row r="3311" spans="6:11" x14ac:dyDescent="0.25">
      <c r="F3311" s="12"/>
      <c r="K3311" s="5"/>
    </row>
    <row r="3312" spans="6:11" x14ac:dyDescent="0.25">
      <c r="F3312" s="12"/>
      <c r="K3312" s="5"/>
    </row>
    <row r="3313" spans="6:11" x14ac:dyDescent="0.25">
      <c r="F3313" s="12"/>
      <c r="K3313" s="5"/>
    </row>
    <row r="3314" spans="6:11" x14ac:dyDescent="0.25">
      <c r="F3314" s="12"/>
      <c r="K3314" s="5"/>
    </row>
    <row r="3315" spans="6:11" x14ac:dyDescent="0.25">
      <c r="F3315" s="12"/>
      <c r="K3315" s="5"/>
    </row>
    <row r="3316" spans="6:11" x14ac:dyDescent="0.25">
      <c r="F3316" s="12"/>
      <c r="K3316" s="5"/>
    </row>
    <row r="3317" spans="6:11" x14ac:dyDescent="0.25">
      <c r="F3317" s="12"/>
      <c r="K3317" s="5"/>
    </row>
    <row r="3318" spans="6:11" x14ac:dyDescent="0.25">
      <c r="F3318" s="12"/>
      <c r="K3318" s="5"/>
    </row>
    <row r="3319" spans="6:11" x14ac:dyDescent="0.25">
      <c r="F3319" s="12"/>
      <c r="K3319" s="5"/>
    </row>
    <row r="3320" spans="6:11" x14ac:dyDescent="0.25">
      <c r="F3320" s="12"/>
      <c r="K3320" s="5"/>
    </row>
    <row r="3321" spans="6:11" x14ac:dyDescent="0.25">
      <c r="F3321" s="12"/>
      <c r="K3321" s="5"/>
    </row>
    <row r="3322" spans="6:11" x14ac:dyDescent="0.25">
      <c r="F3322" s="12"/>
      <c r="K3322" s="5"/>
    </row>
    <row r="3323" spans="6:11" x14ac:dyDescent="0.25">
      <c r="F3323" s="12"/>
      <c r="K3323" s="5"/>
    </row>
    <row r="3324" spans="6:11" x14ac:dyDescent="0.25">
      <c r="F3324" s="12"/>
      <c r="K3324" s="5"/>
    </row>
    <row r="3325" spans="6:11" x14ac:dyDescent="0.25">
      <c r="F3325" s="12"/>
      <c r="K3325" s="5"/>
    </row>
    <row r="3326" spans="6:11" x14ac:dyDescent="0.25">
      <c r="F3326" s="12"/>
      <c r="K3326" s="5"/>
    </row>
    <row r="3327" spans="6:11" x14ac:dyDescent="0.25">
      <c r="F3327" s="12"/>
      <c r="K3327" s="5"/>
    </row>
    <row r="3328" spans="6:11" x14ac:dyDescent="0.25">
      <c r="F3328" s="12"/>
      <c r="K3328" s="5"/>
    </row>
    <row r="3329" spans="6:11" x14ac:dyDescent="0.25">
      <c r="F3329" s="12"/>
      <c r="K3329" s="5"/>
    </row>
    <row r="3330" spans="6:11" x14ac:dyDescent="0.25">
      <c r="F3330" s="12"/>
      <c r="K3330" s="5"/>
    </row>
    <row r="3331" spans="6:11" x14ac:dyDescent="0.25">
      <c r="F3331" s="12"/>
      <c r="K3331" s="5"/>
    </row>
    <row r="3332" spans="6:11" x14ac:dyDescent="0.25">
      <c r="F3332" s="12"/>
      <c r="K3332" s="5"/>
    </row>
    <row r="3333" spans="6:11" x14ac:dyDescent="0.25">
      <c r="F3333" s="12"/>
      <c r="K3333" s="5"/>
    </row>
    <row r="3334" spans="6:11" x14ac:dyDescent="0.25">
      <c r="F3334" s="12"/>
      <c r="K3334" s="5"/>
    </row>
    <row r="3335" spans="6:11" x14ac:dyDescent="0.25">
      <c r="F3335" s="12"/>
      <c r="K3335" s="5"/>
    </row>
    <row r="3336" spans="6:11" x14ac:dyDescent="0.25">
      <c r="F3336" s="12"/>
      <c r="K3336" s="5"/>
    </row>
    <row r="3337" spans="6:11" x14ac:dyDescent="0.25">
      <c r="F3337" s="12"/>
      <c r="K3337" s="5"/>
    </row>
    <row r="3338" spans="6:11" x14ac:dyDescent="0.25">
      <c r="F3338" s="12"/>
      <c r="K3338" s="5"/>
    </row>
    <row r="3339" spans="6:11" x14ac:dyDescent="0.25">
      <c r="F3339" s="12"/>
      <c r="K3339" s="5"/>
    </row>
    <row r="3340" spans="6:11" x14ac:dyDescent="0.25">
      <c r="F3340" s="12"/>
      <c r="K3340" s="5"/>
    </row>
    <row r="3341" spans="6:11" x14ac:dyDescent="0.25">
      <c r="F3341" s="12"/>
      <c r="K3341" s="5"/>
    </row>
    <row r="3342" spans="6:11" x14ac:dyDescent="0.25">
      <c r="F3342" s="12"/>
      <c r="K3342" s="5"/>
    </row>
    <row r="3343" spans="6:11" x14ac:dyDescent="0.25">
      <c r="F3343" s="12"/>
      <c r="K3343" s="5"/>
    </row>
    <row r="3344" spans="6:11" x14ac:dyDescent="0.25">
      <c r="F3344" s="12"/>
      <c r="K3344" s="5"/>
    </row>
    <row r="3345" spans="6:11" x14ac:dyDescent="0.25">
      <c r="F3345" s="12"/>
      <c r="K3345" s="5"/>
    </row>
    <row r="3346" spans="6:11" x14ac:dyDescent="0.25">
      <c r="F3346" s="12"/>
      <c r="K3346" s="5"/>
    </row>
    <row r="3347" spans="6:11" x14ac:dyDescent="0.25">
      <c r="F3347" s="12"/>
      <c r="K3347" s="5"/>
    </row>
    <row r="3348" spans="6:11" x14ac:dyDescent="0.25">
      <c r="F3348" s="12"/>
      <c r="K3348" s="5"/>
    </row>
    <row r="3349" spans="6:11" x14ac:dyDescent="0.25">
      <c r="F3349" s="12"/>
      <c r="K3349" s="5"/>
    </row>
    <row r="3350" spans="6:11" x14ac:dyDescent="0.25">
      <c r="F3350" s="12"/>
      <c r="K3350" s="5"/>
    </row>
    <row r="3351" spans="6:11" x14ac:dyDescent="0.25">
      <c r="F3351" s="12"/>
      <c r="K3351" s="5"/>
    </row>
    <row r="3352" spans="6:11" x14ac:dyDescent="0.25">
      <c r="F3352" s="12"/>
      <c r="K3352" s="5"/>
    </row>
    <row r="3353" spans="6:11" x14ac:dyDescent="0.25">
      <c r="F3353" s="12"/>
      <c r="K3353" s="5"/>
    </row>
    <row r="3354" spans="6:11" x14ac:dyDescent="0.25">
      <c r="F3354" s="12"/>
      <c r="K3354" s="5"/>
    </row>
    <row r="3355" spans="6:11" x14ac:dyDescent="0.25">
      <c r="F3355" s="12"/>
      <c r="K3355" s="5"/>
    </row>
    <row r="3356" spans="6:11" x14ac:dyDescent="0.25">
      <c r="F3356" s="12"/>
      <c r="K3356" s="5"/>
    </row>
    <row r="3357" spans="6:11" x14ac:dyDescent="0.25">
      <c r="F3357" s="12"/>
      <c r="K3357" s="5"/>
    </row>
    <row r="3358" spans="6:11" x14ac:dyDescent="0.25">
      <c r="F3358" s="12"/>
      <c r="K3358" s="5"/>
    </row>
    <row r="3359" spans="6:11" x14ac:dyDescent="0.25">
      <c r="F3359" s="12"/>
      <c r="K3359" s="5"/>
    </row>
    <row r="3360" spans="6:11" x14ac:dyDescent="0.25">
      <c r="F3360" s="12"/>
      <c r="K3360" s="5"/>
    </row>
    <row r="3361" spans="6:11" x14ac:dyDescent="0.25">
      <c r="F3361" s="12"/>
      <c r="K3361" s="5"/>
    </row>
    <row r="3362" spans="6:11" x14ac:dyDescent="0.25">
      <c r="F3362" s="12"/>
      <c r="K3362" s="5"/>
    </row>
    <row r="3363" spans="6:11" x14ac:dyDescent="0.25">
      <c r="F3363" s="12"/>
      <c r="K3363" s="5"/>
    </row>
    <row r="3364" spans="6:11" x14ac:dyDescent="0.25">
      <c r="F3364" s="12"/>
      <c r="K3364" s="5"/>
    </row>
    <row r="3365" spans="6:11" x14ac:dyDescent="0.25">
      <c r="F3365" s="12"/>
      <c r="K3365" s="5"/>
    </row>
    <row r="3366" spans="6:11" x14ac:dyDescent="0.25">
      <c r="F3366" s="12"/>
      <c r="K3366" s="5"/>
    </row>
    <row r="3367" spans="6:11" x14ac:dyDescent="0.25">
      <c r="F3367" s="12"/>
      <c r="K3367" s="5"/>
    </row>
    <row r="3368" spans="6:11" x14ac:dyDescent="0.25">
      <c r="F3368" s="12"/>
      <c r="K3368" s="5"/>
    </row>
    <row r="3369" spans="6:11" x14ac:dyDescent="0.25">
      <c r="F3369" s="12"/>
      <c r="K3369" s="5"/>
    </row>
    <row r="3370" spans="6:11" x14ac:dyDescent="0.25">
      <c r="F3370" s="12"/>
      <c r="K3370" s="5"/>
    </row>
    <row r="3371" spans="6:11" x14ac:dyDescent="0.25">
      <c r="F3371" s="12"/>
      <c r="K3371" s="5"/>
    </row>
    <row r="3372" spans="6:11" x14ac:dyDescent="0.25">
      <c r="F3372" s="12"/>
      <c r="K3372" s="5"/>
    </row>
    <row r="3373" spans="6:11" x14ac:dyDescent="0.25">
      <c r="F3373" s="12"/>
      <c r="K3373" s="5"/>
    </row>
    <row r="3374" spans="6:11" x14ac:dyDescent="0.25">
      <c r="F3374" s="12"/>
      <c r="K3374" s="5"/>
    </row>
    <row r="3375" spans="6:11" x14ac:dyDescent="0.25">
      <c r="F3375" s="12"/>
      <c r="K3375" s="5"/>
    </row>
    <row r="3376" spans="6:11" x14ac:dyDescent="0.25">
      <c r="F3376" s="12"/>
      <c r="K3376" s="5"/>
    </row>
    <row r="3377" spans="6:11" x14ac:dyDescent="0.25">
      <c r="F3377" s="12"/>
      <c r="K3377" s="5"/>
    </row>
    <row r="3378" spans="6:11" x14ac:dyDescent="0.25">
      <c r="F3378" s="12"/>
      <c r="K3378" s="5"/>
    </row>
    <row r="3379" spans="6:11" x14ac:dyDescent="0.25">
      <c r="F3379" s="12"/>
      <c r="K3379" s="5"/>
    </row>
    <row r="3380" spans="6:11" x14ac:dyDescent="0.25">
      <c r="F3380" s="12"/>
      <c r="K3380" s="5"/>
    </row>
    <row r="3381" spans="6:11" x14ac:dyDescent="0.25">
      <c r="F3381" s="12"/>
      <c r="K3381" s="5"/>
    </row>
    <row r="3382" spans="6:11" x14ac:dyDescent="0.25">
      <c r="F3382" s="12"/>
      <c r="K3382" s="5"/>
    </row>
    <row r="3383" spans="6:11" x14ac:dyDescent="0.25">
      <c r="F3383" s="12"/>
      <c r="K3383" s="5"/>
    </row>
    <row r="3384" spans="6:11" x14ac:dyDescent="0.25">
      <c r="F3384" s="12"/>
      <c r="K3384" s="5"/>
    </row>
    <row r="3385" spans="6:11" x14ac:dyDescent="0.25">
      <c r="F3385" s="12"/>
      <c r="K3385" s="5"/>
    </row>
    <row r="3386" spans="6:11" x14ac:dyDescent="0.25">
      <c r="F3386" s="12"/>
      <c r="K3386" s="5"/>
    </row>
    <row r="3387" spans="6:11" x14ac:dyDescent="0.25">
      <c r="F3387" s="12"/>
      <c r="K3387" s="5"/>
    </row>
    <row r="3388" spans="6:11" x14ac:dyDescent="0.25">
      <c r="F3388" s="12"/>
      <c r="K3388" s="5"/>
    </row>
    <row r="3389" spans="6:11" x14ac:dyDescent="0.25">
      <c r="F3389" s="12"/>
      <c r="K3389" s="5"/>
    </row>
    <row r="3390" spans="6:11" x14ac:dyDescent="0.25">
      <c r="F3390" s="12"/>
      <c r="K3390" s="5"/>
    </row>
    <row r="3391" spans="6:11" x14ac:dyDescent="0.25">
      <c r="F3391" s="12"/>
      <c r="K3391" s="5"/>
    </row>
    <row r="3392" spans="6:11" x14ac:dyDescent="0.25">
      <c r="F3392" s="12"/>
      <c r="K3392" s="5"/>
    </row>
    <row r="3393" spans="6:11" x14ac:dyDescent="0.25">
      <c r="F3393" s="12"/>
      <c r="K3393" s="5"/>
    </row>
    <row r="3394" spans="6:11" x14ac:dyDescent="0.25">
      <c r="F3394" s="12"/>
      <c r="K3394" s="5"/>
    </row>
    <row r="3395" spans="6:11" x14ac:dyDescent="0.25">
      <c r="F3395" s="12"/>
      <c r="K3395" s="5"/>
    </row>
    <row r="3396" spans="6:11" x14ac:dyDescent="0.25">
      <c r="F3396" s="12"/>
      <c r="K3396" s="5"/>
    </row>
    <row r="3397" spans="6:11" x14ac:dyDescent="0.25">
      <c r="F3397" s="12"/>
      <c r="K3397" s="5"/>
    </row>
    <row r="3398" spans="6:11" x14ac:dyDescent="0.25">
      <c r="F3398" s="12"/>
      <c r="K3398" s="5"/>
    </row>
    <row r="3399" spans="6:11" x14ac:dyDescent="0.25">
      <c r="F3399" s="12"/>
      <c r="K3399" s="5"/>
    </row>
    <row r="3400" spans="6:11" x14ac:dyDescent="0.25">
      <c r="F3400" s="12"/>
      <c r="K3400" s="5"/>
    </row>
    <row r="3401" spans="6:11" x14ac:dyDescent="0.25">
      <c r="F3401" s="12"/>
      <c r="K3401" s="5"/>
    </row>
    <row r="3402" spans="6:11" x14ac:dyDescent="0.25">
      <c r="F3402" s="12"/>
      <c r="K3402" s="5"/>
    </row>
    <row r="3403" spans="6:11" x14ac:dyDescent="0.25">
      <c r="F3403" s="12"/>
      <c r="K3403" s="5"/>
    </row>
    <row r="3404" spans="6:11" x14ac:dyDescent="0.25">
      <c r="F3404" s="12"/>
      <c r="K3404" s="5"/>
    </row>
    <row r="3405" spans="6:11" x14ac:dyDescent="0.25">
      <c r="F3405" s="12"/>
      <c r="K3405" s="5"/>
    </row>
    <row r="3406" spans="6:11" x14ac:dyDescent="0.25">
      <c r="F3406" s="12"/>
      <c r="K3406" s="5"/>
    </row>
    <row r="3407" spans="6:11" x14ac:dyDescent="0.25">
      <c r="F3407" s="12"/>
      <c r="K3407" s="5"/>
    </row>
    <row r="3408" spans="6:11" x14ac:dyDescent="0.25">
      <c r="F3408" s="12"/>
      <c r="K3408" s="5"/>
    </row>
    <row r="3409" spans="6:11" x14ac:dyDescent="0.25">
      <c r="F3409" s="12"/>
      <c r="K3409" s="5"/>
    </row>
    <row r="3410" spans="6:11" x14ac:dyDescent="0.25">
      <c r="F3410" s="12"/>
      <c r="K3410" s="5"/>
    </row>
    <row r="3411" spans="6:11" x14ac:dyDescent="0.25">
      <c r="F3411" s="12"/>
      <c r="K3411" s="5"/>
    </row>
    <row r="3412" spans="6:11" x14ac:dyDescent="0.25">
      <c r="F3412" s="12"/>
      <c r="K3412" s="5"/>
    </row>
    <row r="3413" spans="6:11" x14ac:dyDescent="0.25">
      <c r="F3413" s="12"/>
      <c r="K3413" s="5"/>
    </row>
    <row r="3414" spans="6:11" x14ac:dyDescent="0.25">
      <c r="F3414" s="12"/>
      <c r="K3414" s="5"/>
    </row>
    <row r="3415" spans="6:11" x14ac:dyDescent="0.25">
      <c r="F3415" s="12"/>
      <c r="K3415" s="5"/>
    </row>
    <row r="3416" spans="6:11" x14ac:dyDescent="0.25">
      <c r="F3416" s="12"/>
      <c r="K3416" s="5"/>
    </row>
    <row r="3417" spans="6:11" x14ac:dyDescent="0.25">
      <c r="F3417" s="12"/>
      <c r="K3417" s="5"/>
    </row>
    <row r="3418" spans="6:11" x14ac:dyDescent="0.25">
      <c r="F3418" s="12"/>
      <c r="K3418" s="5"/>
    </row>
    <row r="3419" spans="6:11" x14ac:dyDescent="0.25">
      <c r="F3419" s="12"/>
      <c r="K3419" s="5"/>
    </row>
    <row r="3420" spans="6:11" x14ac:dyDescent="0.25">
      <c r="F3420" s="12"/>
      <c r="K3420" s="5"/>
    </row>
    <row r="3421" spans="6:11" x14ac:dyDescent="0.25">
      <c r="F3421" s="12"/>
      <c r="K3421" s="5"/>
    </row>
    <row r="3422" spans="6:11" x14ac:dyDescent="0.25">
      <c r="F3422" s="12"/>
      <c r="K3422" s="5"/>
    </row>
    <row r="3423" spans="6:11" x14ac:dyDescent="0.25">
      <c r="F3423" s="12"/>
      <c r="K3423" s="5"/>
    </row>
    <row r="3424" spans="6:11" x14ac:dyDescent="0.25">
      <c r="F3424" s="12"/>
      <c r="K3424" s="5"/>
    </row>
    <row r="3425" spans="6:11" x14ac:dyDescent="0.25">
      <c r="F3425" s="12"/>
      <c r="K3425" s="5"/>
    </row>
    <row r="3426" spans="6:11" x14ac:dyDescent="0.25">
      <c r="F3426" s="12"/>
      <c r="K3426" s="5"/>
    </row>
    <row r="3427" spans="6:11" x14ac:dyDescent="0.25">
      <c r="F3427" s="12"/>
      <c r="K3427" s="5"/>
    </row>
    <row r="3428" spans="6:11" x14ac:dyDescent="0.25">
      <c r="F3428" s="12"/>
      <c r="K3428" s="5"/>
    </row>
    <row r="3429" spans="6:11" x14ac:dyDescent="0.25">
      <c r="F3429" s="12"/>
      <c r="K3429" s="5"/>
    </row>
    <row r="3430" spans="6:11" x14ac:dyDescent="0.25">
      <c r="F3430" s="12"/>
      <c r="K3430" s="5"/>
    </row>
    <row r="3431" spans="6:11" x14ac:dyDescent="0.25">
      <c r="F3431" s="12"/>
      <c r="K3431" s="5"/>
    </row>
    <row r="3432" spans="6:11" x14ac:dyDescent="0.25">
      <c r="F3432" s="12"/>
      <c r="K3432" s="5"/>
    </row>
    <row r="3433" spans="6:11" x14ac:dyDescent="0.25">
      <c r="F3433" s="12"/>
      <c r="K3433" s="5"/>
    </row>
    <row r="3434" spans="6:11" x14ac:dyDescent="0.25">
      <c r="F3434" s="12"/>
      <c r="K3434" s="5"/>
    </row>
    <row r="3435" spans="6:11" x14ac:dyDescent="0.25">
      <c r="F3435" s="12"/>
      <c r="K3435" s="5"/>
    </row>
    <row r="3436" spans="6:11" x14ac:dyDescent="0.25">
      <c r="F3436" s="12"/>
      <c r="K3436" s="5"/>
    </row>
    <row r="3437" spans="6:11" x14ac:dyDescent="0.25">
      <c r="F3437" s="12"/>
      <c r="K3437" s="5"/>
    </row>
    <row r="3438" spans="6:11" x14ac:dyDescent="0.25">
      <c r="F3438" s="12"/>
      <c r="K3438" s="5"/>
    </row>
    <row r="3439" spans="6:11" x14ac:dyDescent="0.25">
      <c r="F3439" s="12"/>
      <c r="K3439" s="5"/>
    </row>
    <row r="3440" spans="6:11" x14ac:dyDescent="0.25">
      <c r="F3440" s="12"/>
      <c r="K3440" s="5"/>
    </row>
    <row r="3441" spans="6:11" x14ac:dyDescent="0.25">
      <c r="F3441" s="12"/>
      <c r="K3441" s="5"/>
    </row>
    <row r="3442" spans="6:11" x14ac:dyDescent="0.25">
      <c r="F3442" s="12"/>
      <c r="K3442" s="5"/>
    </row>
    <row r="3443" spans="6:11" x14ac:dyDescent="0.25">
      <c r="F3443" s="12"/>
      <c r="K3443" s="5"/>
    </row>
    <row r="3444" spans="6:11" x14ac:dyDescent="0.25">
      <c r="F3444" s="12"/>
      <c r="K3444" s="5"/>
    </row>
    <row r="3445" spans="6:11" x14ac:dyDescent="0.25">
      <c r="F3445" s="12"/>
      <c r="K3445" s="5"/>
    </row>
    <row r="3446" spans="6:11" x14ac:dyDescent="0.25">
      <c r="F3446" s="12"/>
      <c r="K3446" s="5"/>
    </row>
    <row r="3447" spans="6:11" x14ac:dyDescent="0.25">
      <c r="F3447" s="12"/>
      <c r="K3447" s="5"/>
    </row>
    <row r="3448" spans="6:11" x14ac:dyDescent="0.25">
      <c r="F3448" s="12"/>
      <c r="K3448" s="5"/>
    </row>
    <row r="3449" spans="6:11" x14ac:dyDescent="0.25">
      <c r="F3449" s="12"/>
      <c r="K3449" s="5"/>
    </row>
    <row r="3450" spans="6:11" x14ac:dyDescent="0.25">
      <c r="F3450" s="12"/>
      <c r="K3450" s="5"/>
    </row>
    <row r="3451" spans="6:11" x14ac:dyDescent="0.25">
      <c r="F3451" s="12"/>
      <c r="K3451" s="5"/>
    </row>
    <row r="3452" spans="6:11" x14ac:dyDescent="0.25">
      <c r="F3452" s="12"/>
      <c r="K3452" s="5"/>
    </row>
    <row r="3453" spans="6:11" x14ac:dyDescent="0.25">
      <c r="F3453" s="12"/>
      <c r="K3453" s="5"/>
    </row>
    <row r="3454" spans="6:11" x14ac:dyDescent="0.25">
      <c r="F3454" s="12"/>
      <c r="K3454" s="5"/>
    </row>
    <row r="3455" spans="6:11" x14ac:dyDescent="0.25">
      <c r="F3455" s="12"/>
      <c r="K3455" s="5"/>
    </row>
    <row r="3456" spans="6:11" x14ac:dyDescent="0.25">
      <c r="F3456" s="12"/>
      <c r="K3456" s="5"/>
    </row>
    <row r="3457" spans="6:11" x14ac:dyDescent="0.25">
      <c r="F3457" s="12"/>
      <c r="K3457" s="5"/>
    </row>
    <row r="3458" spans="6:11" x14ac:dyDescent="0.25">
      <c r="F3458" s="12"/>
      <c r="K3458" s="5"/>
    </row>
    <row r="3459" spans="6:11" x14ac:dyDescent="0.25">
      <c r="F3459" s="12"/>
      <c r="K3459" s="5"/>
    </row>
    <row r="3460" spans="6:11" x14ac:dyDescent="0.25">
      <c r="F3460" s="12"/>
      <c r="K3460" s="5"/>
    </row>
    <row r="3461" spans="6:11" x14ac:dyDescent="0.25">
      <c r="F3461" s="12"/>
      <c r="K3461" s="5"/>
    </row>
    <row r="3462" spans="6:11" x14ac:dyDescent="0.25">
      <c r="F3462" s="12"/>
      <c r="K3462" s="5"/>
    </row>
    <row r="3463" spans="6:11" x14ac:dyDescent="0.25">
      <c r="F3463" s="12"/>
      <c r="K3463" s="5"/>
    </row>
    <row r="3464" spans="6:11" x14ac:dyDescent="0.25">
      <c r="F3464" s="12"/>
      <c r="K3464" s="5"/>
    </row>
    <row r="3465" spans="6:11" x14ac:dyDescent="0.25">
      <c r="F3465" s="12"/>
      <c r="K3465" s="5"/>
    </row>
    <row r="3466" spans="6:11" x14ac:dyDescent="0.25">
      <c r="F3466" s="12"/>
      <c r="K3466" s="5"/>
    </row>
    <row r="3467" spans="6:11" x14ac:dyDescent="0.25">
      <c r="F3467" s="12"/>
      <c r="K3467" s="5"/>
    </row>
    <row r="3468" spans="6:11" x14ac:dyDescent="0.25">
      <c r="F3468" s="12"/>
      <c r="K3468" s="5"/>
    </row>
    <row r="3469" spans="6:11" x14ac:dyDescent="0.25">
      <c r="F3469" s="12"/>
      <c r="K3469" s="5"/>
    </row>
    <row r="3470" spans="6:11" x14ac:dyDescent="0.25">
      <c r="F3470" s="12"/>
      <c r="K3470" s="5"/>
    </row>
    <row r="3471" spans="6:11" x14ac:dyDescent="0.25">
      <c r="F3471" s="12"/>
      <c r="K3471" s="5"/>
    </row>
    <row r="3472" spans="6:11" x14ac:dyDescent="0.25">
      <c r="F3472" s="12"/>
      <c r="K3472" s="5"/>
    </row>
    <row r="3473" spans="6:11" x14ac:dyDescent="0.25">
      <c r="F3473" s="12"/>
      <c r="K3473" s="5"/>
    </row>
    <row r="3474" spans="6:11" x14ac:dyDescent="0.25">
      <c r="F3474" s="12"/>
      <c r="K3474" s="5"/>
    </row>
    <row r="3475" spans="6:11" x14ac:dyDescent="0.25">
      <c r="F3475" s="12"/>
      <c r="K3475" s="5"/>
    </row>
    <row r="3476" spans="6:11" x14ac:dyDescent="0.25">
      <c r="F3476" s="12"/>
      <c r="K3476" s="5"/>
    </row>
    <row r="3477" spans="6:11" x14ac:dyDescent="0.25">
      <c r="F3477" s="12"/>
      <c r="K3477" s="5"/>
    </row>
    <row r="3478" spans="6:11" x14ac:dyDescent="0.25">
      <c r="F3478" s="12"/>
      <c r="K3478" s="5"/>
    </row>
    <row r="3479" spans="6:11" x14ac:dyDescent="0.25">
      <c r="F3479" s="12"/>
      <c r="K3479" s="5"/>
    </row>
    <row r="3480" spans="6:11" x14ac:dyDescent="0.25">
      <c r="F3480" s="12"/>
      <c r="K3480" s="5"/>
    </row>
    <row r="3481" spans="6:11" x14ac:dyDescent="0.25">
      <c r="F3481" s="12"/>
      <c r="K3481" s="5"/>
    </row>
    <row r="3482" spans="6:11" x14ac:dyDescent="0.25">
      <c r="F3482" s="12"/>
      <c r="K3482" s="5"/>
    </row>
    <row r="3483" spans="6:11" x14ac:dyDescent="0.25">
      <c r="F3483" s="12"/>
      <c r="K3483" s="5"/>
    </row>
    <row r="3484" spans="6:11" x14ac:dyDescent="0.25">
      <c r="F3484" s="12"/>
      <c r="K3484" s="5"/>
    </row>
    <row r="3485" spans="6:11" x14ac:dyDescent="0.25">
      <c r="F3485" s="12"/>
      <c r="K3485" s="5"/>
    </row>
    <row r="3486" spans="6:11" x14ac:dyDescent="0.25">
      <c r="F3486" s="12"/>
      <c r="K3486" s="5"/>
    </row>
    <row r="3487" spans="6:11" x14ac:dyDescent="0.25">
      <c r="F3487" s="12"/>
      <c r="K3487" s="5"/>
    </row>
    <row r="3488" spans="6:11" x14ac:dyDescent="0.25">
      <c r="F3488" s="12"/>
      <c r="K3488" s="5"/>
    </row>
    <row r="3489" spans="6:11" x14ac:dyDescent="0.25">
      <c r="F3489" s="12"/>
      <c r="K3489" s="5"/>
    </row>
    <row r="3490" spans="6:11" x14ac:dyDescent="0.25">
      <c r="F3490" s="12"/>
      <c r="K3490" s="5"/>
    </row>
    <row r="3491" spans="6:11" x14ac:dyDescent="0.25">
      <c r="F3491" s="12"/>
      <c r="K3491" s="5"/>
    </row>
    <row r="3492" spans="6:11" x14ac:dyDescent="0.25">
      <c r="F3492" s="12"/>
      <c r="K3492" s="5"/>
    </row>
    <row r="3493" spans="6:11" x14ac:dyDescent="0.25">
      <c r="F3493" s="12"/>
      <c r="K3493" s="5"/>
    </row>
    <row r="3494" spans="6:11" x14ac:dyDescent="0.25">
      <c r="F3494" s="12"/>
      <c r="K3494" s="5"/>
    </row>
    <row r="3495" spans="6:11" x14ac:dyDescent="0.25">
      <c r="F3495" s="12"/>
      <c r="K3495" s="5"/>
    </row>
    <row r="3496" spans="6:11" x14ac:dyDescent="0.25">
      <c r="F3496" s="12"/>
      <c r="K3496" s="5"/>
    </row>
    <row r="3497" spans="6:11" x14ac:dyDescent="0.25">
      <c r="F3497" s="12"/>
      <c r="K3497" s="5"/>
    </row>
    <row r="3498" spans="6:11" x14ac:dyDescent="0.25">
      <c r="F3498" s="12"/>
      <c r="K3498" s="5"/>
    </row>
    <row r="3499" spans="6:11" x14ac:dyDescent="0.25">
      <c r="F3499" s="12"/>
      <c r="K3499" s="5"/>
    </row>
    <row r="3500" spans="6:11" x14ac:dyDescent="0.25">
      <c r="F3500" s="12"/>
      <c r="K3500" s="5"/>
    </row>
    <row r="3501" spans="6:11" x14ac:dyDescent="0.25">
      <c r="F3501" s="12"/>
      <c r="K3501" s="5"/>
    </row>
    <row r="3502" spans="6:11" x14ac:dyDescent="0.25">
      <c r="F3502" s="12"/>
      <c r="K3502" s="5"/>
    </row>
    <row r="3503" spans="6:11" x14ac:dyDescent="0.25">
      <c r="F3503" s="12"/>
      <c r="K3503" s="5"/>
    </row>
    <row r="3504" spans="6:11" x14ac:dyDescent="0.25">
      <c r="F3504" s="12"/>
      <c r="K3504" s="5"/>
    </row>
    <row r="3505" spans="6:11" x14ac:dyDescent="0.25">
      <c r="F3505" s="12"/>
      <c r="K3505" s="5"/>
    </row>
    <row r="3506" spans="6:11" x14ac:dyDescent="0.25">
      <c r="F3506" s="12"/>
      <c r="K3506" s="5"/>
    </row>
    <row r="3507" spans="6:11" x14ac:dyDescent="0.25">
      <c r="F3507" s="12"/>
      <c r="K3507" s="5"/>
    </row>
    <row r="3508" spans="6:11" x14ac:dyDescent="0.25">
      <c r="F3508" s="12"/>
      <c r="K3508" s="5"/>
    </row>
    <row r="3509" spans="6:11" x14ac:dyDescent="0.25">
      <c r="F3509" s="12"/>
      <c r="K3509" s="5"/>
    </row>
    <row r="3510" spans="6:11" x14ac:dyDescent="0.25">
      <c r="F3510" s="12"/>
      <c r="K3510" s="5"/>
    </row>
    <row r="3511" spans="6:11" x14ac:dyDescent="0.25">
      <c r="F3511" s="12"/>
      <c r="K3511" s="5"/>
    </row>
    <row r="3512" spans="6:11" x14ac:dyDescent="0.25">
      <c r="F3512" s="12"/>
      <c r="K3512" s="5"/>
    </row>
    <row r="3513" spans="6:11" x14ac:dyDescent="0.25">
      <c r="F3513" s="12"/>
      <c r="K3513" s="5"/>
    </row>
    <row r="3514" spans="6:11" x14ac:dyDescent="0.25">
      <c r="F3514" s="12"/>
      <c r="K3514" s="5"/>
    </row>
    <row r="3515" spans="6:11" x14ac:dyDescent="0.25">
      <c r="F3515" s="12"/>
      <c r="K3515" s="5"/>
    </row>
    <row r="3516" spans="6:11" x14ac:dyDescent="0.25">
      <c r="F3516" s="12"/>
      <c r="K3516" s="5"/>
    </row>
    <row r="3517" spans="6:11" x14ac:dyDescent="0.25">
      <c r="F3517" s="12"/>
      <c r="K3517" s="5"/>
    </row>
    <row r="3518" spans="6:11" x14ac:dyDescent="0.25">
      <c r="F3518" s="12"/>
      <c r="K3518" s="5"/>
    </row>
    <row r="3519" spans="6:11" x14ac:dyDescent="0.25">
      <c r="F3519" s="12"/>
      <c r="K3519" s="5"/>
    </row>
    <row r="3520" spans="6:11" x14ac:dyDescent="0.25">
      <c r="F3520" s="12"/>
      <c r="K3520" s="5"/>
    </row>
    <row r="3521" spans="6:11" x14ac:dyDescent="0.25">
      <c r="F3521" s="12"/>
      <c r="K3521" s="5"/>
    </row>
    <row r="3522" spans="6:11" x14ac:dyDescent="0.25">
      <c r="F3522" s="12"/>
      <c r="K3522" s="5"/>
    </row>
    <row r="3523" spans="6:11" x14ac:dyDescent="0.25">
      <c r="F3523" s="12"/>
      <c r="K3523" s="5"/>
    </row>
    <row r="3524" spans="6:11" x14ac:dyDescent="0.25">
      <c r="F3524" s="12"/>
      <c r="K3524" s="5"/>
    </row>
    <row r="3525" spans="6:11" x14ac:dyDescent="0.25">
      <c r="F3525" s="12"/>
      <c r="K3525" s="5"/>
    </row>
    <row r="3526" spans="6:11" x14ac:dyDescent="0.25">
      <c r="F3526" s="12"/>
      <c r="K3526" s="5"/>
    </row>
    <row r="3527" spans="6:11" x14ac:dyDescent="0.25">
      <c r="F3527" s="12"/>
      <c r="K3527" s="5"/>
    </row>
    <row r="3528" spans="6:11" x14ac:dyDescent="0.25">
      <c r="F3528" s="12"/>
      <c r="K3528" s="5"/>
    </row>
    <row r="3529" spans="6:11" x14ac:dyDescent="0.25">
      <c r="F3529" s="12"/>
      <c r="K3529" s="5"/>
    </row>
    <row r="3530" spans="6:11" x14ac:dyDescent="0.25">
      <c r="F3530" s="12"/>
      <c r="K3530" s="5"/>
    </row>
    <row r="3531" spans="6:11" x14ac:dyDescent="0.25">
      <c r="F3531" s="12"/>
      <c r="K3531" s="5"/>
    </row>
    <row r="3532" spans="6:11" x14ac:dyDescent="0.25">
      <c r="F3532" s="12"/>
      <c r="K3532" s="5"/>
    </row>
    <row r="3533" spans="6:11" x14ac:dyDescent="0.25">
      <c r="F3533" s="12"/>
      <c r="K3533" s="5"/>
    </row>
    <row r="3534" spans="6:11" x14ac:dyDescent="0.25">
      <c r="F3534" s="12"/>
      <c r="K3534" s="5"/>
    </row>
    <row r="3535" spans="6:11" x14ac:dyDescent="0.25">
      <c r="F3535" s="12"/>
      <c r="K3535" s="5"/>
    </row>
    <row r="3536" spans="6:11" x14ac:dyDescent="0.25">
      <c r="F3536" s="12"/>
      <c r="K3536" s="5"/>
    </row>
    <row r="3537" spans="6:11" x14ac:dyDescent="0.25">
      <c r="F3537" s="12"/>
      <c r="K3537" s="5"/>
    </row>
    <row r="3538" spans="6:11" x14ac:dyDescent="0.25">
      <c r="F3538" s="12"/>
      <c r="K3538" s="5"/>
    </row>
    <row r="3539" spans="6:11" x14ac:dyDescent="0.25">
      <c r="F3539" s="12"/>
      <c r="K3539" s="5"/>
    </row>
    <row r="3540" spans="6:11" x14ac:dyDescent="0.25">
      <c r="F3540" s="12"/>
      <c r="K3540" s="5"/>
    </row>
    <row r="3541" spans="6:11" x14ac:dyDescent="0.25">
      <c r="F3541" s="12"/>
      <c r="K3541" s="5"/>
    </row>
    <row r="3542" spans="6:11" x14ac:dyDescent="0.25">
      <c r="F3542" s="12"/>
      <c r="K3542" s="5"/>
    </row>
    <row r="3543" spans="6:11" x14ac:dyDescent="0.25">
      <c r="F3543" s="12"/>
      <c r="K3543" s="5"/>
    </row>
    <row r="3544" spans="6:11" x14ac:dyDescent="0.25">
      <c r="F3544" s="12"/>
      <c r="K3544" s="5"/>
    </row>
    <row r="3545" spans="6:11" x14ac:dyDescent="0.25">
      <c r="F3545" s="12"/>
      <c r="K3545" s="5"/>
    </row>
    <row r="3546" spans="6:11" x14ac:dyDescent="0.25">
      <c r="F3546" s="12"/>
      <c r="K3546" s="5"/>
    </row>
    <row r="3547" spans="6:11" x14ac:dyDescent="0.25">
      <c r="F3547" s="12"/>
      <c r="K3547" s="5"/>
    </row>
    <row r="3548" spans="6:11" x14ac:dyDescent="0.25">
      <c r="F3548" s="12"/>
      <c r="K3548" s="5"/>
    </row>
    <row r="3549" spans="6:11" x14ac:dyDescent="0.25">
      <c r="F3549" s="12"/>
      <c r="K3549" s="5"/>
    </row>
    <row r="3550" spans="6:11" x14ac:dyDescent="0.25">
      <c r="F3550" s="12"/>
      <c r="K3550" s="5"/>
    </row>
    <row r="3551" spans="6:11" x14ac:dyDescent="0.25">
      <c r="F3551" s="12"/>
      <c r="K3551" s="5"/>
    </row>
    <row r="3552" spans="6:11" x14ac:dyDescent="0.25">
      <c r="F3552" s="12"/>
      <c r="K3552" s="5"/>
    </row>
    <row r="3553" spans="6:11" x14ac:dyDescent="0.25">
      <c r="F3553" s="12"/>
      <c r="K3553" s="5"/>
    </row>
    <row r="3554" spans="6:11" x14ac:dyDescent="0.25">
      <c r="F3554" s="12"/>
      <c r="K3554" s="5"/>
    </row>
    <row r="3555" spans="6:11" x14ac:dyDescent="0.25">
      <c r="F3555" s="12"/>
      <c r="K3555" s="5"/>
    </row>
    <row r="3556" spans="6:11" x14ac:dyDescent="0.25">
      <c r="F3556" s="12"/>
      <c r="K3556" s="5"/>
    </row>
    <row r="3557" spans="6:11" x14ac:dyDescent="0.25">
      <c r="F3557" s="12"/>
      <c r="K3557" s="5"/>
    </row>
    <row r="3558" spans="6:11" x14ac:dyDescent="0.25">
      <c r="F3558" s="12"/>
      <c r="K3558" s="5"/>
    </row>
    <row r="3559" spans="6:11" x14ac:dyDescent="0.25">
      <c r="F3559" s="12"/>
      <c r="K3559" s="5"/>
    </row>
    <row r="3560" spans="6:11" x14ac:dyDescent="0.25">
      <c r="F3560" s="12"/>
      <c r="K3560" s="5"/>
    </row>
    <row r="3561" spans="6:11" x14ac:dyDescent="0.25">
      <c r="F3561" s="12"/>
      <c r="K3561" s="5"/>
    </row>
    <row r="3562" spans="6:11" x14ac:dyDescent="0.25">
      <c r="F3562" s="12"/>
      <c r="K3562" s="5"/>
    </row>
    <row r="3563" spans="6:11" x14ac:dyDescent="0.25">
      <c r="F3563" s="12"/>
      <c r="K3563" s="5"/>
    </row>
    <row r="3564" spans="6:11" x14ac:dyDescent="0.25">
      <c r="F3564" s="12"/>
      <c r="K3564" s="5"/>
    </row>
    <row r="3565" spans="6:11" x14ac:dyDescent="0.25">
      <c r="F3565" s="12"/>
      <c r="K3565" s="5"/>
    </row>
    <row r="3566" spans="6:11" x14ac:dyDescent="0.25">
      <c r="F3566" s="12"/>
      <c r="K3566" s="5"/>
    </row>
    <row r="3567" spans="6:11" x14ac:dyDescent="0.25">
      <c r="F3567" s="12"/>
      <c r="K3567" s="5"/>
    </row>
    <row r="3568" spans="6:11" x14ac:dyDescent="0.25">
      <c r="F3568" s="12"/>
      <c r="K3568" s="5"/>
    </row>
    <row r="3569" spans="6:11" x14ac:dyDescent="0.25">
      <c r="F3569" s="12"/>
      <c r="K3569" s="5"/>
    </row>
    <row r="3570" spans="6:11" x14ac:dyDescent="0.25">
      <c r="F3570" s="12"/>
      <c r="K3570" s="5"/>
    </row>
    <row r="3571" spans="6:11" x14ac:dyDescent="0.25">
      <c r="F3571" s="12"/>
      <c r="K3571" s="5"/>
    </row>
    <row r="3572" spans="6:11" x14ac:dyDescent="0.25">
      <c r="F3572" s="12"/>
      <c r="K3572" s="5"/>
    </row>
    <row r="3573" spans="6:11" x14ac:dyDescent="0.25">
      <c r="F3573" s="12"/>
      <c r="K3573" s="5"/>
    </row>
    <row r="3574" spans="6:11" x14ac:dyDescent="0.25">
      <c r="F3574" s="12"/>
      <c r="K3574" s="5"/>
    </row>
    <row r="3575" spans="6:11" x14ac:dyDescent="0.25">
      <c r="F3575" s="12"/>
      <c r="K3575" s="5"/>
    </row>
    <row r="3576" spans="6:11" x14ac:dyDescent="0.25">
      <c r="F3576" s="12"/>
      <c r="K3576" s="5"/>
    </row>
    <row r="3577" spans="6:11" x14ac:dyDescent="0.25">
      <c r="F3577" s="12"/>
      <c r="K3577" s="5"/>
    </row>
    <row r="3578" spans="6:11" x14ac:dyDescent="0.25">
      <c r="F3578" s="12"/>
      <c r="K3578" s="5"/>
    </row>
    <row r="3579" spans="6:11" x14ac:dyDescent="0.25">
      <c r="F3579" s="12"/>
      <c r="K3579" s="5"/>
    </row>
    <row r="3580" spans="6:11" x14ac:dyDescent="0.25">
      <c r="F3580" s="12"/>
      <c r="K3580" s="5"/>
    </row>
    <row r="3581" spans="6:11" x14ac:dyDescent="0.25">
      <c r="F3581" s="12"/>
      <c r="K3581" s="5"/>
    </row>
    <row r="3582" spans="6:11" x14ac:dyDescent="0.25">
      <c r="F3582" s="12"/>
      <c r="K3582" s="5"/>
    </row>
    <row r="3583" spans="6:11" x14ac:dyDescent="0.25">
      <c r="F3583" s="12"/>
      <c r="K3583" s="5"/>
    </row>
    <row r="3584" spans="6:11" x14ac:dyDescent="0.25">
      <c r="F3584" s="12"/>
      <c r="K3584" s="5"/>
    </row>
    <row r="3585" spans="6:11" x14ac:dyDescent="0.25">
      <c r="F3585" s="12"/>
      <c r="K3585" s="5"/>
    </row>
    <row r="3586" spans="6:11" x14ac:dyDescent="0.25">
      <c r="F3586" s="12"/>
      <c r="K3586" s="5"/>
    </row>
    <row r="3587" spans="6:11" x14ac:dyDescent="0.25">
      <c r="F3587" s="12"/>
      <c r="K3587" s="5"/>
    </row>
    <row r="3588" spans="6:11" x14ac:dyDescent="0.25">
      <c r="F3588" s="12"/>
      <c r="K3588" s="5"/>
    </row>
    <row r="3589" spans="6:11" x14ac:dyDescent="0.25">
      <c r="F3589" s="12"/>
      <c r="K3589" s="5"/>
    </row>
    <row r="3590" spans="6:11" x14ac:dyDescent="0.25">
      <c r="F3590" s="12"/>
      <c r="K3590" s="5"/>
    </row>
    <row r="3591" spans="6:11" x14ac:dyDescent="0.25">
      <c r="F3591" s="12"/>
      <c r="K3591" s="5"/>
    </row>
    <row r="3592" spans="6:11" x14ac:dyDescent="0.25">
      <c r="F3592" s="12"/>
      <c r="K3592" s="5"/>
    </row>
    <row r="3593" spans="6:11" x14ac:dyDescent="0.25">
      <c r="F3593" s="12"/>
      <c r="K3593" s="5"/>
    </row>
    <row r="3594" spans="6:11" x14ac:dyDescent="0.25">
      <c r="F3594" s="12"/>
      <c r="K3594" s="5"/>
    </row>
    <row r="3595" spans="6:11" x14ac:dyDescent="0.25">
      <c r="F3595" s="12"/>
      <c r="K3595" s="5"/>
    </row>
    <row r="3596" spans="6:11" x14ac:dyDescent="0.25">
      <c r="F3596" s="12"/>
      <c r="K3596" s="5"/>
    </row>
    <row r="3597" spans="6:11" x14ac:dyDescent="0.25">
      <c r="F3597" s="12"/>
      <c r="K3597" s="5"/>
    </row>
    <row r="3598" spans="6:11" x14ac:dyDescent="0.25">
      <c r="F3598" s="12"/>
      <c r="K3598" s="5"/>
    </row>
    <row r="3599" spans="6:11" x14ac:dyDescent="0.25">
      <c r="F3599" s="12"/>
      <c r="K3599" s="5"/>
    </row>
    <row r="3600" spans="6:11" x14ac:dyDescent="0.25">
      <c r="F3600" s="12"/>
      <c r="K3600" s="5"/>
    </row>
    <row r="3601" spans="6:11" x14ac:dyDescent="0.25">
      <c r="F3601" s="12"/>
      <c r="K3601" s="5"/>
    </row>
    <row r="3602" spans="6:11" x14ac:dyDescent="0.25">
      <c r="F3602" s="12"/>
      <c r="K3602" s="5"/>
    </row>
    <row r="3603" spans="6:11" x14ac:dyDescent="0.25">
      <c r="F3603" s="12"/>
      <c r="K3603" s="5"/>
    </row>
    <row r="3604" spans="6:11" x14ac:dyDescent="0.25">
      <c r="F3604" s="12"/>
      <c r="K3604" s="5"/>
    </row>
    <row r="3605" spans="6:11" x14ac:dyDescent="0.25">
      <c r="F3605" s="12"/>
      <c r="K3605" s="5"/>
    </row>
    <row r="3606" spans="6:11" x14ac:dyDescent="0.25">
      <c r="F3606" s="12"/>
      <c r="K3606" s="5"/>
    </row>
    <row r="3607" spans="6:11" x14ac:dyDescent="0.25">
      <c r="F3607" s="12"/>
      <c r="K3607" s="5"/>
    </row>
    <row r="3608" spans="6:11" x14ac:dyDescent="0.25">
      <c r="F3608" s="12"/>
      <c r="K3608" s="5"/>
    </row>
    <row r="3609" spans="6:11" x14ac:dyDescent="0.25">
      <c r="F3609" s="12"/>
      <c r="K3609" s="5"/>
    </row>
    <row r="3610" spans="6:11" x14ac:dyDescent="0.25">
      <c r="F3610" s="12"/>
      <c r="K3610" s="5"/>
    </row>
    <row r="3611" spans="6:11" x14ac:dyDescent="0.25">
      <c r="F3611" s="12"/>
      <c r="K3611" s="5"/>
    </row>
    <row r="3612" spans="6:11" x14ac:dyDescent="0.25">
      <c r="F3612" s="12"/>
      <c r="K3612" s="5"/>
    </row>
    <row r="3613" spans="6:11" x14ac:dyDescent="0.25">
      <c r="F3613" s="12"/>
      <c r="K3613" s="5"/>
    </row>
    <row r="3614" spans="6:11" x14ac:dyDescent="0.25">
      <c r="F3614" s="12"/>
      <c r="K3614" s="5"/>
    </row>
    <row r="3615" spans="6:11" x14ac:dyDescent="0.25">
      <c r="F3615" s="12"/>
      <c r="K3615" s="5"/>
    </row>
    <row r="3616" spans="6:11" x14ac:dyDescent="0.25">
      <c r="F3616" s="12"/>
      <c r="K3616" s="5"/>
    </row>
    <row r="3617" spans="6:11" x14ac:dyDescent="0.25">
      <c r="F3617" s="12"/>
      <c r="K3617" s="5"/>
    </row>
    <row r="3618" spans="6:11" x14ac:dyDescent="0.25">
      <c r="F3618" s="12"/>
      <c r="K3618" s="5"/>
    </row>
    <row r="3619" spans="6:11" x14ac:dyDescent="0.25">
      <c r="F3619" s="12"/>
      <c r="K3619" s="5"/>
    </row>
    <row r="3620" spans="6:11" x14ac:dyDescent="0.25">
      <c r="F3620" s="12"/>
      <c r="K3620" s="5"/>
    </row>
    <row r="3621" spans="6:11" x14ac:dyDescent="0.25">
      <c r="F3621" s="12"/>
      <c r="K3621" s="5"/>
    </row>
    <row r="3622" spans="6:11" x14ac:dyDescent="0.25">
      <c r="F3622" s="12"/>
      <c r="K3622" s="5"/>
    </row>
    <row r="3623" spans="6:11" x14ac:dyDescent="0.25">
      <c r="F3623" s="12"/>
      <c r="K3623" s="5"/>
    </row>
    <row r="3624" spans="6:11" x14ac:dyDescent="0.25">
      <c r="F3624" s="12"/>
      <c r="K3624" s="5"/>
    </row>
    <row r="3625" spans="6:11" x14ac:dyDescent="0.25">
      <c r="F3625" s="12"/>
      <c r="K3625" s="5"/>
    </row>
    <row r="3626" spans="6:11" x14ac:dyDescent="0.25">
      <c r="F3626" s="12"/>
      <c r="K3626" s="5"/>
    </row>
    <row r="3627" spans="6:11" x14ac:dyDescent="0.25">
      <c r="F3627" s="12"/>
      <c r="K3627" s="5"/>
    </row>
    <row r="3628" spans="6:11" x14ac:dyDescent="0.25">
      <c r="F3628" s="12"/>
      <c r="K3628" s="5"/>
    </row>
    <row r="3629" spans="6:11" x14ac:dyDescent="0.25">
      <c r="F3629" s="12"/>
      <c r="K3629" s="5"/>
    </row>
    <row r="3630" spans="6:11" x14ac:dyDescent="0.25">
      <c r="F3630" s="12"/>
      <c r="K3630" s="5"/>
    </row>
    <row r="3631" spans="6:11" x14ac:dyDescent="0.25">
      <c r="F3631" s="12"/>
      <c r="K3631" s="5"/>
    </row>
    <row r="3632" spans="6:11" x14ac:dyDescent="0.25">
      <c r="F3632" s="12"/>
      <c r="K3632" s="5"/>
    </row>
    <row r="3633" spans="6:11" x14ac:dyDescent="0.25">
      <c r="F3633" s="12"/>
      <c r="K3633" s="5"/>
    </row>
    <row r="3634" spans="6:11" x14ac:dyDescent="0.25">
      <c r="F3634" s="12"/>
      <c r="K3634" s="5"/>
    </row>
    <row r="3635" spans="6:11" x14ac:dyDescent="0.25">
      <c r="F3635" s="12"/>
      <c r="K3635" s="5"/>
    </row>
    <row r="3636" spans="6:11" x14ac:dyDescent="0.25">
      <c r="F3636" s="12"/>
      <c r="K3636" s="5"/>
    </row>
    <row r="3637" spans="6:11" x14ac:dyDescent="0.25">
      <c r="F3637" s="12"/>
      <c r="K3637" s="5"/>
    </row>
    <row r="3638" spans="6:11" x14ac:dyDescent="0.25">
      <c r="F3638" s="12"/>
      <c r="K3638" s="5"/>
    </row>
    <row r="3639" spans="6:11" x14ac:dyDescent="0.25">
      <c r="F3639" s="12"/>
      <c r="K3639" s="5"/>
    </row>
    <row r="3640" spans="6:11" x14ac:dyDescent="0.25">
      <c r="F3640" s="12"/>
      <c r="K3640" s="5"/>
    </row>
    <row r="3641" spans="6:11" x14ac:dyDescent="0.25">
      <c r="F3641" s="12"/>
      <c r="K3641" s="5"/>
    </row>
    <row r="3642" spans="6:11" x14ac:dyDescent="0.25">
      <c r="F3642" s="12"/>
      <c r="K3642" s="5"/>
    </row>
    <row r="3643" spans="6:11" x14ac:dyDescent="0.25">
      <c r="F3643" s="12"/>
      <c r="K3643" s="5"/>
    </row>
    <row r="3644" spans="6:11" x14ac:dyDescent="0.25">
      <c r="F3644" s="12"/>
      <c r="K3644" s="5"/>
    </row>
    <row r="3645" spans="6:11" x14ac:dyDescent="0.25">
      <c r="F3645" s="12"/>
      <c r="K3645" s="5"/>
    </row>
    <row r="3646" spans="6:11" x14ac:dyDescent="0.25">
      <c r="F3646" s="12"/>
      <c r="K3646" s="5"/>
    </row>
    <row r="3647" spans="6:11" x14ac:dyDescent="0.25">
      <c r="F3647" s="12"/>
      <c r="K3647" s="5"/>
    </row>
    <row r="3648" spans="6:11" x14ac:dyDescent="0.25">
      <c r="F3648" s="12"/>
      <c r="K3648" s="5"/>
    </row>
    <row r="3649" spans="6:11" x14ac:dyDescent="0.25">
      <c r="F3649" s="12"/>
      <c r="K3649" s="5"/>
    </row>
    <row r="3650" spans="6:11" x14ac:dyDescent="0.25">
      <c r="F3650" s="12"/>
      <c r="K3650" s="5"/>
    </row>
    <row r="3651" spans="6:11" x14ac:dyDescent="0.25">
      <c r="F3651" s="12"/>
      <c r="K3651" s="5"/>
    </row>
    <row r="3652" spans="6:11" x14ac:dyDescent="0.25">
      <c r="F3652" s="12"/>
      <c r="K3652" s="5"/>
    </row>
    <row r="3653" spans="6:11" x14ac:dyDescent="0.25">
      <c r="F3653" s="12"/>
      <c r="K3653" s="5"/>
    </row>
    <row r="3654" spans="6:11" x14ac:dyDescent="0.25">
      <c r="F3654" s="12"/>
      <c r="K3654" s="5"/>
    </row>
    <row r="3655" spans="6:11" x14ac:dyDescent="0.25">
      <c r="F3655" s="12"/>
      <c r="K3655" s="5"/>
    </row>
    <row r="3656" spans="6:11" x14ac:dyDescent="0.25">
      <c r="F3656" s="12"/>
      <c r="K3656" s="5"/>
    </row>
    <row r="3657" spans="6:11" x14ac:dyDescent="0.25">
      <c r="F3657" s="12"/>
      <c r="K3657" s="5"/>
    </row>
    <row r="3658" spans="6:11" x14ac:dyDescent="0.25">
      <c r="F3658" s="12"/>
      <c r="K3658" s="5"/>
    </row>
    <row r="3659" spans="6:11" x14ac:dyDescent="0.25">
      <c r="F3659" s="12"/>
      <c r="K3659" s="5"/>
    </row>
    <row r="3660" spans="6:11" x14ac:dyDescent="0.25">
      <c r="F3660" s="12"/>
      <c r="K3660" s="5"/>
    </row>
    <row r="3661" spans="6:11" x14ac:dyDescent="0.25">
      <c r="F3661" s="12"/>
      <c r="K3661" s="5"/>
    </row>
    <row r="3662" spans="6:11" x14ac:dyDescent="0.25">
      <c r="F3662" s="12"/>
      <c r="K3662" s="5"/>
    </row>
    <row r="3663" spans="6:11" x14ac:dyDescent="0.25">
      <c r="F3663" s="12"/>
      <c r="K3663" s="5"/>
    </row>
    <row r="3664" spans="6:11" x14ac:dyDescent="0.25">
      <c r="F3664" s="12"/>
      <c r="K3664" s="5"/>
    </row>
    <row r="3665" spans="6:11" x14ac:dyDescent="0.25">
      <c r="F3665" s="12"/>
      <c r="K3665" s="5"/>
    </row>
    <row r="3666" spans="6:11" x14ac:dyDescent="0.25">
      <c r="F3666" s="12"/>
      <c r="K3666" s="5"/>
    </row>
    <row r="3667" spans="6:11" x14ac:dyDescent="0.25">
      <c r="F3667" s="12"/>
      <c r="K3667" s="5"/>
    </row>
    <row r="3668" spans="6:11" x14ac:dyDescent="0.25">
      <c r="F3668" s="12"/>
      <c r="K3668" s="5"/>
    </row>
    <row r="3669" spans="6:11" x14ac:dyDescent="0.25">
      <c r="F3669" s="12"/>
      <c r="K3669" s="5"/>
    </row>
    <row r="3670" spans="6:11" x14ac:dyDescent="0.25">
      <c r="F3670" s="12"/>
      <c r="K3670" s="5"/>
    </row>
    <row r="3671" spans="6:11" x14ac:dyDescent="0.25">
      <c r="F3671" s="12"/>
      <c r="K3671" s="5"/>
    </row>
    <row r="3672" spans="6:11" x14ac:dyDescent="0.25">
      <c r="F3672" s="12"/>
      <c r="K3672" s="5"/>
    </row>
    <row r="3673" spans="6:11" x14ac:dyDescent="0.25">
      <c r="F3673" s="12"/>
      <c r="K3673" s="5"/>
    </row>
    <row r="3674" spans="6:11" x14ac:dyDescent="0.25">
      <c r="F3674" s="12"/>
      <c r="K3674" s="5"/>
    </row>
    <row r="3675" spans="6:11" x14ac:dyDescent="0.25">
      <c r="F3675" s="12"/>
      <c r="K3675" s="5"/>
    </row>
    <row r="3676" spans="6:11" x14ac:dyDescent="0.25">
      <c r="F3676" s="12"/>
      <c r="K3676" s="5"/>
    </row>
    <row r="3677" spans="6:11" x14ac:dyDescent="0.25">
      <c r="F3677" s="12"/>
      <c r="K3677" s="5"/>
    </row>
    <row r="3678" spans="6:11" x14ac:dyDescent="0.25">
      <c r="F3678" s="12"/>
      <c r="K3678" s="5"/>
    </row>
    <row r="3679" spans="6:11" x14ac:dyDescent="0.25">
      <c r="F3679" s="12"/>
      <c r="K3679" s="5"/>
    </row>
    <row r="3680" spans="6:11" x14ac:dyDescent="0.25">
      <c r="F3680" s="12"/>
      <c r="K3680" s="5"/>
    </row>
    <row r="3681" spans="6:11" x14ac:dyDescent="0.25">
      <c r="F3681" s="12"/>
      <c r="K3681" s="5"/>
    </row>
    <row r="3682" spans="6:11" x14ac:dyDescent="0.25">
      <c r="F3682" s="12"/>
      <c r="K3682" s="5"/>
    </row>
    <row r="3683" spans="6:11" x14ac:dyDescent="0.25">
      <c r="F3683" s="12"/>
      <c r="K3683" s="5"/>
    </row>
    <row r="3684" spans="6:11" x14ac:dyDescent="0.25">
      <c r="F3684" s="12"/>
      <c r="K3684" s="5"/>
    </row>
    <row r="3685" spans="6:11" x14ac:dyDescent="0.25">
      <c r="F3685" s="12"/>
      <c r="K3685" s="5"/>
    </row>
    <row r="3686" spans="6:11" x14ac:dyDescent="0.25">
      <c r="F3686" s="12"/>
      <c r="K3686" s="5"/>
    </row>
    <row r="3687" spans="6:11" x14ac:dyDescent="0.25">
      <c r="F3687" s="12"/>
      <c r="K3687" s="5"/>
    </row>
    <row r="3688" spans="6:11" x14ac:dyDescent="0.25">
      <c r="F3688" s="12"/>
      <c r="K3688" s="5"/>
    </row>
    <row r="3689" spans="6:11" x14ac:dyDescent="0.25">
      <c r="F3689" s="12"/>
      <c r="K3689" s="5"/>
    </row>
    <row r="3690" spans="6:11" x14ac:dyDescent="0.25">
      <c r="F3690" s="12"/>
      <c r="K3690" s="5"/>
    </row>
    <row r="3691" spans="6:11" x14ac:dyDescent="0.25">
      <c r="F3691" s="12"/>
      <c r="K3691" s="5"/>
    </row>
    <row r="3692" spans="6:11" x14ac:dyDescent="0.25">
      <c r="F3692" s="12"/>
      <c r="K3692" s="5"/>
    </row>
    <row r="3693" spans="6:11" x14ac:dyDescent="0.25">
      <c r="F3693" s="12"/>
      <c r="K3693" s="5"/>
    </row>
    <row r="3694" spans="6:11" x14ac:dyDescent="0.25">
      <c r="F3694" s="12"/>
      <c r="K3694" s="5"/>
    </row>
    <row r="3695" spans="6:11" x14ac:dyDescent="0.25">
      <c r="F3695" s="12"/>
      <c r="K3695" s="5"/>
    </row>
    <row r="3696" spans="6:11" x14ac:dyDescent="0.25">
      <c r="F3696" s="12"/>
      <c r="K3696" s="5"/>
    </row>
    <row r="3697" spans="6:11" x14ac:dyDescent="0.25">
      <c r="F3697" s="12"/>
      <c r="K3697" s="5"/>
    </row>
    <row r="3698" spans="6:11" x14ac:dyDescent="0.25">
      <c r="F3698" s="12"/>
      <c r="K3698" s="5"/>
    </row>
    <row r="3699" spans="6:11" x14ac:dyDescent="0.25">
      <c r="F3699" s="12"/>
      <c r="K3699" s="5"/>
    </row>
    <row r="3700" spans="6:11" x14ac:dyDescent="0.25">
      <c r="F3700" s="12"/>
      <c r="K3700" s="5"/>
    </row>
    <row r="3701" spans="6:11" x14ac:dyDescent="0.25">
      <c r="F3701" s="12"/>
      <c r="K3701" s="5"/>
    </row>
    <row r="3702" spans="6:11" x14ac:dyDescent="0.25">
      <c r="F3702" s="12"/>
      <c r="K3702" s="5"/>
    </row>
    <row r="3703" spans="6:11" x14ac:dyDescent="0.25">
      <c r="F3703" s="12"/>
      <c r="K3703" s="5"/>
    </row>
    <row r="3704" spans="6:11" x14ac:dyDescent="0.25">
      <c r="F3704" s="12"/>
      <c r="K3704" s="5"/>
    </row>
    <row r="3705" spans="6:11" x14ac:dyDescent="0.25">
      <c r="F3705" s="12"/>
      <c r="K3705" s="5"/>
    </row>
    <row r="3706" spans="6:11" x14ac:dyDescent="0.25">
      <c r="F3706" s="12"/>
      <c r="K3706" s="5"/>
    </row>
    <row r="3707" spans="6:11" x14ac:dyDescent="0.25">
      <c r="F3707" s="12"/>
      <c r="K3707" s="5"/>
    </row>
    <row r="3708" spans="6:11" x14ac:dyDescent="0.25">
      <c r="F3708" s="12"/>
      <c r="K3708" s="5"/>
    </row>
    <row r="3709" spans="6:11" x14ac:dyDescent="0.25">
      <c r="F3709" s="12"/>
      <c r="K3709" s="5"/>
    </row>
    <row r="3710" spans="6:11" x14ac:dyDescent="0.25">
      <c r="F3710" s="12"/>
      <c r="K3710" s="5"/>
    </row>
    <row r="3711" spans="6:11" x14ac:dyDescent="0.25">
      <c r="F3711" s="12"/>
      <c r="K3711" s="5"/>
    </row>
    <row r="3712" spans="6:11" x14ac:dyDescent="0.25">
      <c r="F3712" s="12"/>
      <c r="K3712" s="5"/>
    </row>
    <row r="3713" spans="6:11" x14ac:dyDescent="0.25">
      <c r="F3713" s="12"/>
      <c r="K3713" s="5"/>
    </row>
    <row r="3714" spans="6:11" x14ac:dyDescent="0.25">
      <c r="F3714" s="12"/>
      <c r="K3714" s="5"/>
    </row>
    <row r="3715" spans="6:11" x14ac:dyDescent="0.25">
      <c r="F3715" s="12"/>
      <c r="K3715" s="5"/>
    </row>
    <row r="3716" spans="6:11" x14ac:dyDescent="0.25">
      <c r="F3716" s="12"/>
      <c r="K3716" s="5"/>
    </row>
    <row r="3717" spans="6:11" x14ac:dyDescent="0.25">
      <c r="F3717" s="12"/>
      <c r="K3717" s="5"/>
    </row>
    <row r="3718" spans="6:11" x14ac:dyDescent="0.25">
      <c r="F3718" s="12"/>
      <c r="K3718" s="5"/>
    </row>
    <row r="3719" spans="6:11" x14ac:dyDescent="0.25">
      <c r="F3719" s="12"/>
      <c r="K3719" s="5"/>
    </row>
    <row r="3720" spans="6:11" x14ac:dyDescent="0.25">
      <c r="F3720" s="12"/>
      <c r="K3720" s="5"/>
    </row>
    <row r="3721" spans="6:11" x14ac:dyDescent="0.25">
      <c r="F3721" s="12"/>
      <c r="K3721" s="5"/>
    </row>
    <row r="3722" spans="6:11" x14ac:dyDescent="0.25">
      <c r="F3722" s="12"/>
      <c r="K3722" s="5"/>
    </row>
    <row r="3723" spans="6:11" x14ac:dyDescent="0.25">
      <c r="F3723" s="12"/>
      <c r="K3723" s="5"/>
    </row>
    <row r="3724" spans="6:11" x14ac:dyDescent="0.25">
      <c r="F3724" s="12"/>
      <c r="K3724" s="5"/>
    </row>
    <row r="3725" spans="6:11" x14ac:dyDescent="0.25">
      <c r="F3725" s="12"/>
      <c r="K3725" s="5"/>
    </row>
    <row r="3726" spans="6:11" x14ac:dyDescent="0.25">
      <c r="F3726" s="12"/>
      <c r="K3726" s="5"/>
    </row>
    <row r="3727" spans="6:11" x14ac:dyDescent="0.25">
      <c r="F3727" s="12"/>
      <c r="K3727" s="5"/>
    </row>
    <row r="3728" spans="6:11" x14ac:dyDescent="0.25">
      <c r="F3728" s="12"/>
      <c r="K3728" s="5"/>
    </row>
    <row r="3729" spans="6:11" x14ac:dyDescent="0.25">
      <c r="F3729" s="12"/>
      <c r="K3729" s="5"/>
    </row>
    <row r="3730" spans="6:11" x14ac:dyDescent="0.25">
      <c r="F3730" s="12"/>
      <c r="K3730" s="5"/>
    </row>
    <row r="3731" spans="6:11" x14ac:dyDescent="0.25">
      <c r="F3731" s="12"/>
      <c r="K3731" s="5"/>
    </row>
    <row r="3732" spans="6:11" x14ac:dyDescent="0.25">
      <c r="F3732" s="12"/>
      <c r="K3732" s="5"/>
    </row>
    <row r="3733" spans="6:11" x14ac:dyDescent="0.25">
      <c r="F3733" s="12"/>
      <c r="K3733" s="5"/>
    </row>
    <row r="3734" spans="6:11" x14ac:dyDescent="0.25">
      <c r="F3734" s="12"/>
      <c r="K3734" s="5"/>
    </row>
    <row r="3735" spans="6:11" x14ac:dyDescent="0.25">
      <c r="F3735" s="12"/>
      <c r="K3735" s="5"/>
    </row>
    <row r="3736" spans="6:11" x14ac:dyDescent="0.25">
      <c r="F3736" s="12"/>
      <c r="K3736" s="5"/>
    </row>
    <row r="3737" spans="6:11" x14ac:dyDescent="0.25">
      <c r="F3737" s="12"/>
      <c r="K3737" s="5"/>
    </row>
    <row r="3738" spans="6:11" x14ac:dyDescent="0.25">
      <c r="F3738" s="12"/>
      <c r="K3738" s="5"/>
    </row>
    <row r="3739" spans="6:11" x14ac:dyDescent="0.25">
      <c r="F3739" s="12"/>
      <c r="K3739" s="5"/>
    </row>
    <row r="3740" spans="6:11" x14ac:dyDescent="0.25">
      <c r="F3740" s="12"/>
      <c r="K3740" s="5"/>
    </row>
    <row r="3741" spans="6:11" x14ac:dyDescent="0.25">
      <c r="F3741" s="12"/>
      <c r="K3741" s="5"/>
    </row>
    <row r="3742" spans="6:11" x14ac:dyDescent="0.25">
      <c r="F3742" s="12"/>
      <c r="K3742" s="5"/>
    </row>
    <row r="3743" spans="6:11" x14ac:dyDescent="0.25">
      <c r="F3743" s="12"/>
      <c r="K3743" s="5"/>
    </row>
    <row r="3744" spans="6:11" x14ac:dyDescent="0.25">
      <c r="F3744" s="12"/>
      <c r="K3744" s="5"/>
    </row>
    <row r="3745" spans="6:11" x14ac:dyDescent="0.25">
      <c r="F3745" s="12"/>
      <c r="K3745" s="5"/>
    </row>
    <row r="3746" spans="6:11" x14ac:dyDescent="0.25">
      <c r="F3746" s="12"/>
      <c r="K3746" s="5"/>
    </row>
    <row r="3747" spans="6:11" x14ac:dyDescent="0.25">
      <c r="F3747" s="12"/>
      <c r="K3747" s="5"/>
    </row>
    <row r="3748" spans="6:11" x14ac:dyDescent="0.25">
      <c r="F3748" s="12"/>
      <c r="K3748" s="5"/>
    </row>
    <row r="3749" spans="6:11" x14ac:dyDescent="0.25">
      <c r="F3749" s="12"/>
      <c r="K3749" s="5"/>
    </row>
    <row r="3750" spans="6:11" x14ac:dyDescent="0.25">
      <c r="F3750" s="12"/>
      <c r="K3750" s="5"/>
    </row>
    <row r="3751" spans="6:11" x14ac:dyDescent="0.25">
      <c r="F3751" s="12"/>
      <c r="K3751" s="5"/>
    </row>
    <row r="3752" spans="6:11" x14ac:dyDescent="0.25">
      <c r="F3752" s="12"/>
      <c r="K3752" s="5"/>
    </row>
    <row r="3753" spans="6:11" x14ac:dyDescent="0.25">
      <c r="F3753" s="12"/>
      <c r="K3753" s="5"/>
    </row>
    <row r="3754" spans="6:11" x14ac:dyDescent="0.25">
      <c r="F3754" s="12"/>
      <c r="K3754" s="5"/>
    </row>
    <row r="3755" spans="6:11" x14ac:dyDescent="0.25">
      <c r="F3755" s="12"/>
      <c r="K3755" s="5"/>
    </row>
    <row r="3756" spans="6:11" x14ac:dyDescent="0.25">
      <c r="F3756" s="12"/>
      <c r="K3756" s="5"/>
    </row>
    <row r="3757" spans="6:11" x14ac:dyDescent="0.25">
      <c r="F3757" s="12"/>
      <c r="K3757" s="5"/>
    </row>
    <row r="3758" spans="6:11" x14ac:dyDescent="0.25">
      <c r="F3758" s="12"/>
      <c r="K3758" s="5"/>
    </row>
    <row r="3759" spans="6:11" x14ac:dyDescent="0.25">
      <c r="F3759" s="12"/>
      <c r="K3759" s="5"/>
    </row>
    <row r="3760" spans="6:11" x14ac:dyDescent="0.25">
      <c r="F3760" s="12"/>
      <c r="K3760" s="5"/>
    </row>
    <row r="3761" spans="6:11" x14ac:dyDescent="0.25">
      <c r="F3761" s="12"/>
      <c r="K3761" s="5"/>
    </row>
    <row r="3762" spans="6:11" x14ac:dyDescent="0.25">
      <c r="F3762" s="12"/>
      <c r="K3762" s="5"/>
    </row>
    <row r="3763" spans="6:11" x14ac:dyDescent="0.25">
      <c r="F3763" s="12"/>
      <c r="K3763" s="5"/>
    </row>
    <row r="3764" spans="6:11" x14ac:dyDescent="0.25">
      <c r="F3764" s="12"/>
      <c r="K3764" s="5"/>
    </row>
    <row r="3765" spans="6:11" x14ac:dyDescent="0.25">
      <c r="F3765" s="12"/>
      <c r="K3765" s="5"/>
    </row>
    <row r="3766" spans="6:11" x14ac:dyDescent="0.25">
      <c r="F3766" s="12"/>
      <c r="K3766" s="5"/>
    </row>
    <row r="3767" spans="6:11" x14ac:dyDescent="0.25">
      <c r="F3767" s="12"/>
      <c r="K3767" s="5"/>
    </row>
    <row r="3768" spans="6:11" x14ac:dyDescent="0.25">
      <c r="F3768" s="12"/>
      <c r="K3768" s="5"/>
    </row>
    <row r="3769" spans="6:11" x14ac:dyDescent="0.25">
      <c r="F3769" s="12"/>
      <c r="K3769" s="5"/>
    </row>
    <row r="3770" spans="6:11" x14ac:dyDescent="0.25">
      <c r="F3770" s="12"/>
      <c r="K3770" s="5"/>
    </row>
    <row r="3771" spans="6:11" x14ac:dyDescent="0.25">
      <c r="F3771" s="12"/>
      <c r="K3771" s="5"/>
    </row>
    <row r="3772" spans="6:11" x14ac:dyDescent="0.25">
      <c r="F3772" s="12"/>
      <c r="K3772" s="5"/>
    </row>
    <row r="3773" spans="6:11" x14ac:dyDescent="0.25">
      <c r="F3773" s="12"/>
      <c r="K3773" s="5"/>
    </row>
    <row r="3774" spans="6:11" x14ac:dyDescent="0.25">
      <c r="F3774" s="12"/>
      <c r="K3774" s="5"/>
    </row>
    <row r="3775" spans="6:11" x14ac:dyDescent="0.25">
      <c r="F3775" s="12"/>
      <c r="K3775" s="5"/>
    </row>
    <row r="3776" spans="6:11" x14ac:dyDescent="0.25">
      <c r="F3776" s="12"/>
      <c r="K3776" s="5"/>
    </row>
    <row r="3777" spans="6:11" x14ac:dyDescent="0.25">
      <c r="F3777" s="12"/>
      <c r="K3777" s="5"/>
    </row>
    <row r="3778" spans="6:11" x14ac:dyDescent="0.25">
      <c r="F3778" s="12"/>
      <c r="K3778" s="5"/>
    </row>
    <row r="3779" spans="6:11" x14ac:dyDescent="0.25">
      <c r="F3779" s="12"/>
      <c r="K3779" s="5"/>
    </row>
    <row r="3780" spans="6:11" x14ac:dyDescent="0.25">
      <c r="F3780" s="12"/>
      <c r="K3780" s="5"/>
    </row>
    <row r="3781" spans="6:11" x14ac:dyDescent="0.25">
      <c r="F3781" s="12"/>
      <c r="K3781" s="5"/>
    </row>
    <row r="3782" spans="6:11" x14ac:dyDescent="0.25">
      <c r="F3782" s="12"/>
      <c r="K3782" s="5"/>
    </row>
    <row r="3783" spans="6:11" x14ac:dyDescent="0.25">
      <c r="F3783" s="12"/>
      <c r="K3783" s="5"/>
    </row>
    <row r="3784" spans="6:11" x14ac:dyDescent="0.25">
      <c r="F3784" s="12"/>
      <c r="K3784" s="5"/>
    </row>
    <row r="3785" spans="6:11" x14ac:dyDescent="0.25">
      <c r="F3785" s="12"/>
      <c r="K3785" s="5"/>
    </row>
    <row r="3786" spans="6:11" x14ac:dyDescent="0.25">
      <c r="F3786" s="12"/>
      <c r="K3786" s="5"/>
    </row>
    <row r="3787" spans="6:11" x14ac:dyDescent="0.25">
      <c r="F3787" s="12"/>
      <c r="K3787" s="5"/>
    </row>
    <row r="3788" spans="6:11" x14ac:dyDescent="0.25">
      <c r="F3788" s="12"/>
      <c r="K3788" s="5"/>
    </row>
    <row r="3789" spans="6:11" x14ac:dyDescent="0.25">
      <c r="F3789" s="12"/>
      <c r="K3789" s="5"/>
    </row>
    <row r="3790" spans="6:11" x14ac:dyDescent="0.25">
      <c r="F3790" s="12"/>
      <c r="K3790" s="5"/>
    </row>
    <row r="3791" spans="6:11" x14ac:dyDescent="0.25">
      <c r="F3791" s="12"/>
      <c r="K3791" s="5"/>
    </row>
    <row r="3792" spans="6:11" x14ac:dyDescent="0.25">
      <c r="F3792" s="12"/>
      <c r="K3792" s="5"/>
    </row>
    <row r="3793" spans="6:11" x14ac:dyDescent="0.25">
      <c r="F3793" s="12"/>
      <c r="K3793" s="5"/>
    </row>
    <row r="3794" spans="6:11" x14ac:dyDescent="0.25">
      <c r="F3794" s="12"/>
      <c r="K3794" s="5"/>
    </row>
    <row r="3795" spans="6:11" x14ac:dyDescent="0.25">
      <c r="F3795" s="12"/>
      <c r="K3795" s="5"/>
    </row>
    <row r="3796" spans="6:11" x14ac:dyDescent="0.25">
      <c r="F3796" s="12"/>
      <c r="K3796" s="5"/>
    </row>
    <row r="3797" spans="6:11" x14ac:dyDescent="0.25">
      <c r="F3797" s="12"/>
      <c r="K3797" s="5"/>
    </row>
    <row r="3798" spans="6:11" x14ac:dyDescent="0.25">
      <c r="F3798" s="12"/>
      <c r="K3798" s="5"/>
    </row>
    <row r="3799" spans="6:11" x14ac:dyDescent="0.25">
      <c r="F3799" s="12"/>
      <c r="K3799" s="5"/>
    </row>
    <row r="3800" spans="6:11" x14ac:dyDescent="0.25">
      <c r="F3800" s="12"/>
      <c r="K3800" s="5"/>
    </row>
    <row r="3801" spans="6:11" x14ac:dyDescent="0.25">
      <c r="F3801" s="12"/>
      <c r="K3801" s="5"/>
    </row>
    <row r="3802" spans="6:11" x14ac:dyDescent="0.25">
      <c r="F3802" s="12"/>
      <c r="K3802" s="5"/>
    </row>
    <row r="3803" spans="6:11" x14ac:dyDescent="0.25">
      <c r="F3803" s="12"/>
      <c r="K3803" s="5"/>
    </row>
    <row r="3804" spans="6:11" x14ac:dyDescent="0.25">
      <c r="F3804" s="12"/>
      <c r="K3804" s="5"/>
    </row>
    <row r="3805" spans="6:11" x14ac:dyDescent="0.25">
      <c r="F3805" s="12"/>
      <c r="K3805" s="5"/>
    </row>
    <row r="3806" spans="6:11" x14ac:dyDescent="0.25">
      <c r="F3806" s="12"/>
      <c r="K3806" s="5"/>
    </row>
    <row r="3807" spans="6:11" x14ac:dyDescent="0.25">
      <c r="F3807" s="12"/>
      <c r="K3807" s="5"/>
    </row>
    <row r="3808" spans="6:11" x14ac:dyDescent="0.25">
      <c r="F3808" s="12"/>
      <c r="K3808" s="5"/>
    </row>
    <row r="3809" spans="6:11" x14ac:dyDescent="0.25">
      <c r="F3809" s="12"/>
      <c r="K3809" s="5"/>
    </row>
    <row r="3810" spans="6:11" x14ac:dyDescent="0.25">
      <c r="F3810" s="12"/>
      <c r="K3810" s="5"/>
    </row>
    <row r="3811" spans="6:11" x14ac:dyDescent="0.25">
      <c r="F3811" s="12"/>
      <c r="K3811" s="5"/>
    </row>
    <row r="3812" spans="6:11" x14ac:dyDescent="0.25">
      <c r="F3812" s="12"/>
      <c r="K3812" s="5"/>
    </row>
    <row r="3813" spans="6:11" x14ac:dyDescent="0.25">
      <c r="F3813" s="12"/>
      <c r="K3813" s="5"/>
    </row>
    <row r="3814" spans="6:11" x14ac:dyDescent="0.25">
      <c r="F3814" s="12"/>
      <c r="K3814" s="5"/>
    </row>
    <row r="3815" spans="6:11" x14ac:dyDescent="0.25">
      <c r="F3815" s="12"/>
      <c r="K3815" s="5"/>
    </row>
    <row r="3816" spans="6:11" x14ac:dyDescent="0.25">
      <c r="F3816" s="12"/>
      <c r="K3816" s="5"/>
    </row>
    <row r="3817" spans="6:11" x14ac:dyDescent="0.25">
      <c r="F3817" s="12"/>
      <c r="K3817" s="5"/>
    </row>
    <row r="3818" spans="6:11" x14ac:dyDescent="0.25">
      <c r="F3818" s="12"/>
      <c r="K3818" s="5"/>
    </row>
    <row r="3819" spans="6:11" x14ac:dyDescent="0.25">
      <c r="F3819" s="12"/>
      <c r="K3819" s="5"/>
    </row>
    <row r="3820" spans="6:11" x14ac:dyDescent="0.25">
      <c r="F3820" s="12"/>
      <c r="K3820" s="5"/>
    </row>
    <row r="3821" spans="6:11" x14ac:dyDescent="0.25">
      <c r="F3821" s="12"/>
      <c r="K3821" s="5"/>
    </row>
    <row r="3822" spans="6:11" x14ac:dyDescent="0.25">
      <c r="F3822" s="12"/>
      <c r="K3822" s="5"/>
    </row>
    <row r="3823" spans="6:11" x14ac:dyDescent="0.25">
      <c r="F3823" s="12"/>
      <c r="K3823" s="5"/>
    </row>
    <row r="3824" spans="6:11" x14ac:dyDescent="0.25">
      <c r="F3824" s="12"/>
      <c r="K3824" s="5"/>
    </row>
    <row r="3825" spans="6:11" x14ac:dyDescent="0.25">
      <c r="F3825" s="12"/>
      <c r="K3825" s="5"/>
    </row>
    <row r="3826" spans="6:11" x14ac:dyDescent="0.25">
      <c r="F3826" s="12"/>
      <c r="K3826" s="5"/>
    </row>
    <row r="3827" spans="6:11" x14ac:dyDescent="0.25">
      <c r="F3827" s="12"/>
      <c r="K3827" s="5"/>
    </row>
    <row r="3828" spans="6:11" x14ac:dyDescent="0.25">
      <c r="F3828" s="12"/>
      <c r="K3828" s="5"/>
    </row>
    <row r="3829" spans="6:11" x14ac:dyDescent="0.25">
      <c r="F3829" s="12"/>
      <c r="K3829" s="5"/>
    </row>
    <row r="3830" spans="6:11" x14ac:dyDescent="0.25">
      <c r="F3830" s="12"/>
      <c r="K3830" s="5"/>
    </row>
    <row r="3831" spans="6:11" x14ac:dyDescent="0.25">
      <c r="F3831" s="12"/>
      <c r="K3831" s="5"/>
    </row>
    <row r="3832" spans="6:11" x14ac:dyDescent="0.25">
      <c r="F3832" s="12"/>
      <c r="K3832" s="5"/>
    </row>
    <row r="3833" spans="6:11" x14ac:dyDescent="0.25">
      <c r="F3833" s="12"/>
      <c r="K3833" s="5"/>
    </row>
    <row r="3834" spans="6:11" x14ac:dyDescent="0.25">
      <c r="F3834" s="12"/>
      <c r="K3834" s="5"/>
    </row>
    <row r="3835" spans="6:11" x14ac:dyDescent="0.25">
      <c r="F3835" s="12"/>
      <c r="K3835" s="5"/>
    </row>
    <row r="3836" spans="6:11" x14ac:dyDescent="0.25">
      <c r="F3836" s="12"/>
      <c r="K3836" s="5"/>
    </row>
    <row r="3837" spans="6:11" x14ac:dyDescent="0.25">
      <c r="F3837" s="12"/>
      <c r="K3837" s="5"/>
    </row>
    <row r="3838" spans="6:11" x14ac:dyDescent="0.25">
      <c r="F3838" s="12"/>
      <c r="K3838" s="5"/>
    </row>
    <row r="3839" spans="6:11" x14ac:dyDescent="0.25">
      <c r="F3839" s="12"/>
      <c r="K3839" s="5"/>
    </row>
    <row r="3840" spans="6:11" x14ac:dyDescent="0.25">
      <c r="F3840" s="12"/>
      <c r="K3840" s="5"/>
    </row>
    <row r="3841" spans="6:11" x14ac:dyDescent="0.25">
      <c r="F3841" s="12"/>
      <c r="K3841" s="5"/>
    </row>
    <row r="3842" spans="6:11" x14ac:dyDescent="0.25">
      <c r="F3842" s="12"/>
      <c r="K3842" s="5"/>
    </row>
    <row r="3843" spans="6:11" x14ac:dyDescent="0.25">
      <c r="F3843" s="12"/>
      <c r="K3843" s="5"/>
    </row>
    <row r="3844" spans="6:11" x14ac:dyDescent="0.25">
      <c r="F3844" s="12"/>
      <c r="K3844" s="5"/>
    </row>
    <row r="3845" spans="6:11" x14ac:dyDescent="0.25">
      <c r="F3845" s="12"/>
      <c r="K3845" s="5"/>
    </row>
    <row r="3846" spans="6:11" x14ac:dyDescent="0.25">
      <c r="F3846" s="12"/>
      <c r="K3846" s="5"/>
    </row>
    <row r="3847" spans="6:11" x14ac:dyDescent="0.25">
      <c r="F3847" s="12"/>
      <c r="K3847" s="5"/>
    </row>
    <row r="3848" spans="6:11" x14ac:dyDescent="0.25">
      <c r="F3848" s="12"/>
      <c r="K3848" s="5"/>
    </row>
    <row r="3849" spans="6:11" x14ac:dyDescent="0.25">
      <c r="F3849" s="12"/>
      <c r="K3849" s="5"/>
    </row>
    <row r="3850" spans="6:11" x14ac:dyDescent="0.25">
      <c r="F3850" s="12"/>
      <c r="K3850" s="5"/>
    </row>
    <row r="3851" spans="6:11" x14ac:dyDescent="0.25">
      <c r="F3851" s="12"/>
      <c r="K3851" s="5"/>
    </row>
    <row r="3852" spans="6:11" x14ac:dyDescent="0.25">
      <c r="F3852" s="12"/>
      <c r="K3852" s="5"/>
    </row>
    <row r="3853" spans="6:11" x14ac:dyDescent="0.25">
      <c r="F3853" s="12"/>
      <c r="K3853" s="5"/>
    </row>
    <row r="3854" spans="6:11" x14ac:dyDescent="0.25">
      <c r="F3854" s="12"/>
      <c r="K3854" s="5"/>
    </row>
    <row r="3855" spans="6:11" x14ac:dyDescent="0.25">
      <c r="F3855" s="12"/>
      <c r="K3855" s="5"/>
    </row>
    <row r="3856" spans="6:11" x14ac:dyDescent="0.25">
      <c r="F3856" s="12"/>
      <c r="K3856" s="5"/>
    </row>
    <row r="3857" spans="6:11" x14ac:dyDescent="0.25">
      <c r="F3857" s="12"/>
      <c r="K3857" s="5"/>
    </row>
    <row r="3858" spans="6:11" x14ac:dyDescent="0.25">
      <c r="F3858" s="12"/>
      <c r="K3858" s="5"/>
    </row>
    <row r="3859" spans="6:11" x14ac:dyDescent="0.25">
      <c r="F3859" s="12"/>
      <c r="K3859" s="5"/>
    </row>
    <row r="3860" spans="6:11" x14ac:dyDescent="0.25">
      <c r="F3860" s="12"/>
      <c r="K3860" s="5"/>
    </row>
    <row r="3861" spans="6:11" x14ac:dyDescent="0.25">
      <c r="F3861" s="12"/>
      <c r="K3861" s="5"/>
    </row>
    <row r="3862" spans="6:11" x14ac:dyDescent="0.25">
      <c r="F3862" s="12"/>
      <c r="K3862" s="5"/>
    </row>
    <row r="3863" spans="6:11" x14ac:dyDescent="0.25">
      <c r="F3863" s="12"/>
      <c r="K3863" s="5"/>
    </row>
    <row r="3864" spans="6:11" x14ac:dyDescent="0.25">
      <c r="F3864" s="12"/>
      <c r="K3864" s="5"/>
    </row>
    <row r="3865" spans="6:11" x14ac:dyDescent="0.25">
      <c r="F3865" s="12"/>
      <c r="K3865" s="5"/>
    </row>
    <row r="3866" spans="6:11" x14ac:dyDescent="0.25">
      <c r="F3866" s="12"/>
      <c r="K3866" s="5"/>
    </row>
    <row r="3867" spans="6:11" x14ac:dyDescent="0.25">
      <c r="F3867" s="12"/>
      <c r="K3867" s="5"/>
    </row>
    <row r="3868" spans="6:11" x14ac:dyDescent="0.25">
      <c r="F3868" s="12"/>
      <c r="K3868" s="5"/>
    </row>
    <row r="3869" spans="6:11" x14ac:dyDescent="0.25">
      <c r="F3869" s="12"/>
      <c r="K3869" s="5"/>
    </row>
    <row r="3870" spans="6:11" x14ac:dyDescent="0.25">
      <c r="F3870" s="12"/>
      <c r="K3870" s="5"/>
    </row>
    <row r="3871" spans="6:11" x14ac:dyDescent="0.25">
      <c r="F3871" s="12"/>
      <c r="K3871" s="5"/>
    </row>
    <row r="3872" spans="6:11" x14ac:dyDescent="0.25">
      <c r="F3872" s="12"/>
      <c r="K3872" s="5"/>
    </row>
    <row r="3873" spans="6:11" x14ac:dyDescent="0.25">
      <c r="F3873" s="12"/>
      <c r="K3873" s="5"/>
    </row>
    <row r="3874" spans="6:11" x14ac:dyDescent="0.25">
      <c r="F3874" s="12"/>
      <c r="K3874" s="5"/>
    </row>
    <row r="3875" spans="6:11" x14ac:dyDescent="0.25">
      <c r="F3875" s="12"/>
      <c r="K3875" s="5"/>
    </row>
    <row r="3876" spans="6:11" x14ac:dyDescent="0.25">
      <c r="F3876" s="12"/>
      <c r="K3876" s="5"/>
    </row>
    <row r="3877" spans="6:11" x14ac:dyDescent="0.25">
      <c r="F3877" s="12"/>
      <c r="K3877" s="5"/>
    </row>
    <row r="3878" spans="6:11" x14ac:dyDescent="0.25">
      <c r="F3878" s="12"/>
      <c r="K3878" s="5"/>
    </row>
    <row r="3879" spans="6:11" x14ac:dyDescent="0.25">
      <c r="F3879" s="12"/>
      <c r="K3879" s="5"/>
    </row>
    <row r="3880" spans="6:11" x14ac:dyDescent="0.25">
      <c r="F3880" s="12"/>
      <c r="K3880" s="5"/>
    </row>
    <row r="3881" spans="6:11" x14ac:dyDescent="0.25">
      <c r="F3881" s="12"/>
      <c r="K3881" s="5"/>
    </row>
    <row r="3882" spans="6:11" x14ac:dyDescent="0.25">
      <c r="F3882" s="12"/>
      <c r="K3882" s="5"/>
    </row>
    <row r="3883" spans="6:11" x14ac:dyDescent="0.25">
      <c r="F3883" s="12"/>
      <c r="K3883" s="5"/>
    </row>
    <row r="3884" spans="6:11" x14ac:dyDescent="0.25">
      <c r="F3884" s="12"/>
      <c r="K3884" s="5"/>
    </row>
    <row r="3885" spans="6:11" x14ac:dyDescent="0.25">
      <c r="F3885" s="12"/>
      <c r="K3885" s="5"/>
    </row>
    <row r="3886" spans="6:11" x14ac:dyDescent="0.25">
      <c r="F3886" s="12"/>
      <c r="K3886" s="5"/>
    </row>
    <row r="3887" spans="6:11" x14ac:dyDescent="0.25">
      <c r="F3887" s="12"/>
      <c r="K3887" s="5"/>
    </row>
    <row r="3888" spans="6:11" x14ac:dyDescent="0.25">
      <c r="F3888" s="12"/>
      <c r="K3888" s="5"/>
    </row>
    <row r="3889" spans="6:11" x14ac:dyDescent="0.25">
      <c r="F3889" s="12"/>
      <c r="K3889" s="5"/>
    </row>
    <row r="3890" spans="6:11" x14ac:dyDescent="0.25">
      <c r="F3890" s="12"/>
      <c r="K3890" s="5"/>
    </row>
    <row r="3891" spans="6:11" x14ac:dyDescent="0.25">
      <c r="F3891" s="12"/>
      <c r="K3891" s="5"/>
    </row>
    <row r="3892" spans="6:11" x14ac:dyDescent="0.25">
      <c r="F3892" s="12"/>
      <c r="K3892" s="5"/>
    </row>
    <row r="3893" spans="6:11" x14ac:dyDescent="0.25">
      <c r="F3893" s="12"/>
      <c r="K3893" s="5"/>
    </row>
    <row r="3894" spans="6:11" x14ac:dyDescent="0.25">
      <c r="F3894" s="12"/>
      <c r="K3894" s="5"/>
    </row>
    <row r="3895" spans="6:11" x14ac:dyDescent="0.25">
      <c r="F3895" s="12"/>
      <c r="K3895" s="5"/>
    </row>
    <row r="3896" spans="6:11" x14ac:dyDescent="0.25">
      <c r="F3896" s="12"/>
      <c r="K3896" s="5"/>
    </row>
    <row r="3897" spans="6:11" x14ac:dyDescent="0.25">
      <c r="F3897" s="12"/>
      <c r="K3897" s="5"/>
    </row>
    <row r="3898" spans="6:11" x14ac:dyDescent="0.25">
      <c r="F3898" s="12"/>
      <c r="K3898" s="5"/>
    </row>
    <row r="3899" spans="6:11" x14ac:dyDescent="0.25">
      <c r="F3899" s="12"/>
      <c r="K3899" s="5"/>
    </row>
    <row r="3900" spans="6:11" x14ac:dyDescent="0.25">
      <c r="F3900" s="12"/>
      <c r="K3900" s="5"/>
    </row>
    <row r="3901" spans="6:11" x14ac:dyDescent="0.25">
      <c r="F3901" s="12"/>
      <c r="K3901" s="5"/>
    </row>
    <row r="3902" spans="6:11" x14ac:dyDescent="0.25">
      <c r="F3902" s="12"/>
      <c r="K3902" s="5"/>
    </row>
    <row r="3903" spans="6:11" x14ac:dyDescent="0.25">
      <c r="F3903" s="12"/>
      <c r="K3903" s="5"/>
    </row>
    <row r="3904" spans="6:11" x14ac:dyDescent="0.25">
      <c r="F3904" s="12"/>
      <c r="K3904" s="5"/>
    </row>
    <row r="3905" spans="6:11" x14ac:dyDescent="0.25">
      <c r="F3905" s="12"/>
      <c r="K3905" s="5"/>
    </row>
    <row r="3906" spans="6:11" x14ac:dyDescent="0.25">
      <c r="F3906" s="12"/>
      <c r="K3906" s="5"/>
    </row>
    <row r="3907" spans="6:11" x14ac:dyDescent="0.25">
      <c r="F3907" s="12"/>
      <c r="K3907" s="5"/>
    </row>
    <row r="3908" spans="6:11" x14ac:dyDescent="0.25">
      <c r="F3908" s="12"/>
      <c r="K3908" s="5"/>
    </row>
    <row r="3909" spans="6:11" x14ac:dyDescent="0.25">
      <c r="F3909" s="12"/>
      <c r="K3909" s="5"/>
    </row>
    <row r="3910" spans="6:11" x14ac:dyDescent="0.25">
      <c r="F3910" s="12"/>
      <c r="K3910" s="5"/>
    </row>
    <row r="3911" spans="6:11" x14ac:dyDescent="0.25">
      <c r="F3911" s="12"/>
      <c r="K3911" s="5"/>
    </row>
    <row r="3912" spans="6:11" x14ac:dyDescent="0.25">
      <c r="F3912" s="12"/>
      <c r="K3912" s="5"/>
    </row>
    <row r="3913" spans="6:11" x14ac:dyDescent="0.25">
      <c r="F3913" s="12"/>
      <c r="K3913" s="5"/>
    </row>
    <row r="3914" spans="6:11" x14ac:dyDescent="0.25">
      <c r="F3914" s="12"/>
      <c r="K3914" s="5"/>
    </row>
    <row r="3915" spans="6:11" x14ac:dyDescent="0.25">
      <c r="F3915" s="12"/>
      <c r="K3915" s="5"/>
    </row>
    <row r="3916" spans="6:11" x14ac:dyDescent="0.25">
      <c r="F3916" s="12"/>
      <c r="K3916" s="5"/>
    </row>
    <row r="3917" spans="6:11" x14ac:dyDescent="0.25">
      <c r="F3917" s="12"/>
      <c r="K3917" s="5"/>
    </row>
    <row r="3918" spans="6:11" x14ac:dyDescent="0.25">
      <c r="F3918" s="12"/>
      <c r="K3918" s="5"/>
    </row>
    <row r="3919" spans="6:11" x14ac:dyDescent="0.25">
      <c r="F3919" s="12"/>
      <c r="K3919" s="5"/>
    </row>
    <row r="3920" spans="6:11" x14ac:dyDescent="0.25">
      <c r="F3920" s="12"/>
      <c r="K3920" s="5"/>
    </row>
    <row r="3921" spans="6:11" x14ac:dyDescent="0.25">
      <c r="F3921" s="12"/>
      <c r="K3921" s="5"/>
    </row>
    <row r="3922" spans="6:11" x14ac:dyDescent="0.25">
      <c r="F3922" s="12"/>
      <c r="K3922" s="5"/>
    </row>
    <row r="3923" spans="6:11" x14ac:dyDescent="0.25">
      <c r="F3923" s="12"/>
      <c r="K3923" s="5"/>
    </row>
    <row r="3924" spans="6:11" x14ac:dyDescent="0.25">
      <c r="F3924" s="12"/>
      <c r="K3924" s="5"/>
    </row>
    <row r="3925" spans="6:11" x14ac:dyDescent="0.25">
      <c r="F3925" s="12"/>
      <c r="K3925" s="5"/>
    </row>
    <row r="3926" spans="6:11" x14ac:dyDescent="0.25">
      <c r="F3926" s="12"/>
      <c r="K3926" s="5"/>
    </row>
    <row r="3927" spans="6:11" x14ac:dyDescent="0.25">
      <c r="F3927" s="12"/>
      <c r="K3927" s="5"/>
    </row>
    <row r="3928" spans="6:11" x14ac:dyDescent="0.25">
      <c r="F3928" s="12"/>
      <c r="K3928" s="5"/>
    </row>
    <row r="3929" spans="6:11" x14ac:dyDescent="0.25">
      <c r="F3929" s="12"/>
      <c r="K3929" s="5"/>
    </row>
    <row r="3930" spans="6:11" x14ac:dyDescent="0.25">
      <c r="F3930" s="12"/>
      <c r="K3930" s="5"/>
    </row>
    <row r="3931" spans="6:11" x14ac:dyDescent="0.25">
      <c r="F3931" s="12"/>
      <c r="K3931" s="5"/>
    </row>
    <row r="3932" spans="6:11" x14ac:dyDescent="0.25">
      <c r="F3932" s="12"/>
      <c r="K3932" s="5"/>
    </row>
    <row r="3933" spans="6:11" x14ac:dyDescent="0.25">
      <c r="F3933" s="12"/>
      <c r="K3933" s="5"/>
    </row>
    <row r="3934" spans="6:11" x14ac:dyDescent="0.25">
      <c r="F3934" s="12"/>
      <c r="K3934" s="5"/>
    </row>
    <row r="3935" spans="6:11" x14ac:dyDescent="0.25">
      <c r="F3935" s="12"/>
      <c r="K3935" s="5"/>
    </row>
    <row r="3936" spans="6:11" x14ac:dyDescent="0.25">
      <c r="F3936" s="12"/>
      <c r="K3936" s="5"/>
    </row>
    <row r="3937" spans="6:11" x14ac:dyDescent="0.25">
      <c r="F3937" s="12"/>
      <c r="K3937" s="5"/>
    </row>
    <row r="3938" spans="6:11" x14ac:dyDescent="0.25">
      <c r="F3938" s="12"/>
      <c r="K3938" s="5"/>
    </row>
    <row r="3939" spans="6:11" x14ac:dyDescent="0.25">
      <c r="F3939" s="12"/>
      <c r="K3939" s="5"/>
    </row>
    <row r="3940" spans="6:11" x14ac:dyDescent="0.25">
      <c r="F3940" s="12"/>
      <c r="K3940" s="5"/>
    </row>
    <row r="3941" spans="6:11" x14ac:dyDescent="0.25">
      <c r="F3941" s="12"/>
      <c r="K3941" s="5"/>
    </row>
    <row r="3942" spans="6:11" x14ac:dyDescent="0.25">
      <c r="F3942" s="12"/>
      <c r="K3942" s="5"/>
    </row>
    <row r="3943" spans="6:11" x14ac:dyDescent="0.25">
      <c r="F3943" s="12"/>
      <c r="K3943" s="5"/>
    </row>
    <row r="3944" spans="6:11" x14ac:dyDescent="0.25">
      <c r="F3944" s="12"/>
      <c r="K3944" s="5"/>
    </row>
    <row r="3945" spans="6:11" x14ac:dyDescent="0.25">
      <c r="F3945" s="12"/>
      <c r="K3945" s="5"/>
    </row>
    <row r="3946" spans="6:11" x14ac:dyDescent="0.25">
      <c r="F3946" s="12"/>
      <c r="K3946" s="5"/>
    </row>
    <row r="3947" spans="6:11" x14ac:dyDescent="0.25">
      <c r="F3947" s="12"/>
      <c r="K3947" s="5"/>
    </row>
    <row r="3948" spans="6:11" x14ac:dyDescent="0.25">
      <c r="F3948" s="12"/>
      <c r="K3948" s="5"/>
    </row>
    <row r="3949" spans="6:11" x14ac:dyDescent="0.25">
      <c r="F3949" s="12"/>
      <c r="K3949" s="5"/>
    </row>
    <row r="3950" spans="6:11" x14ac:dyDescent="0.25">
      <c r="F3950" s="12"/>
      <c r="K3950" s="5"/>
    </row>
    <row r="3951" spans="6:11" x14ac:dyDescent="0.25">
      <c r="F3951" s="12"/>
      <c r="K3951" s="5"/>
    </row>
    <row r="3952" spans="6:11" x14ac:dyDescent="0.25">
      <c r="F3952" s="12"/>
      <c r="K3952" s="5"/>
    </row>
    <row r="3953" spans="6:11" x14ac:dyDescent="0.25">
      <c r="F3953" s="12"/>
      <c r="K3953" s="5"/>
    </row>
    <row r="3954" spans="6:11" x14ac:dyDescent="0.25">
      <c r="F3954" s="12"/>
      <c r="K3954" s="5"/>
    </row>
    <row r="3955" spans="6:11" x14ac:dyDescent="0.25">
      <c r="F3955" s="12"/>
      <c r="K3955" s="5"/>
    </row>
    <row r="3956" spans="6:11" x14ac:dyDescent="0.25">
      <c r="F3956" s="12"/>
      <c r="K3956" s="5"/>
    </row>
    <row r="3957" spans="6:11" x14ac:dyDescent="0.25">
      <c r="F3957" s="12"/>
      <c r="K3957" s="5"/>
    </row>
    <row r="3958" spans="6:11" x14ac:dyDescent="0.25">
      <c r="F3958" s="12"/>
      <c r="K3958" s="5"/>
    </row>
    <row r="3959" spans="6:11" x14ac:dyDescent="0.25">
      <c r="F3959" s="12"/>
      <c r="K3959" s="5"/>
    </row>
    <row r="3960" spans="6:11" x14ac:dyDescent="0.25">
      <c r="F3960" s="12"/>
      <c r="K3960" s="5"/>
    </row>
    <row r="3961" spans="6:11" x14ac:dyDescent="0.25">
      <c r="F3961" s="12"/>
      <c r="K3961" s="5"/>
    </row>
    <row r="3962" spans="6:11" x14ac:dyDescent="0.25">
      <c r="F3962" s="12"/>
      <c r="K3962" s="5"/>
    </row>
    <row r="3963" spans="6:11" x14ac:dyDescent="0.25">
      <c r="F3963" s="12"/>
      <c r="K3963" s="5"/>
    </row>
    <row r="3964" spans="6:11" x14ac:dyDescent="0.25">
      <c r="F3964" s="12"/>
      <c r="K3964" s="5"/>
    </row>
    <row r="3965" spans="6:11" x14ac:dyDescent="0.25">
      <c r="F3965" s="12"/>
      <c r="K3965" s="5"/>
    </row>
    <row r="3966" spans="6:11" x14ac:dyDescent="0.25">
      <c r="F3966" s="12"/>
      <c r="K3966" s="5"/>
    </row>
    <row r="3967" spans="6:11" x14ac:dyDescent="0.25">
      <c r="F3967" s="12"/>
      <c r="K3967" s="5"/>
    </row>
    <row r="3968" spans="6:11" x14ac:dyDescent="0.25">
      <c r="F3968" s="12"/>
      <c r="K3968" s="5"/>
    </row>
    <row r="3969" spans="6:11" x14ac:dyDescent="0.25">
      <c r="F3969" s="12"/>
      <c r="K3969" s="5"/>
    </row>
    <row r="3970" spans="6:11" x14ac:dyDescent="0.25">
      <c r="F3970" s="12"/>
      <c r="K3970" s="5"/>
    </row>
    <row r="3971" spans="6:11" x14ac:dyDescent="0.25">
      <c r="F3971" s="12"/>
      <c r="K3971" s="5"/>
    </row>
    <row r="3972" spans="6:11" x14ac:dyDescent="0.25">
      <c r="F3972" s="12"/>
      <c r="K3972" s="5"/>
    </row>
    <row r="3973" spans="6:11" x14ac:dyDescent="0.25">
      <c r="F3973" s="12"/>
      <c r="K3973" s="5"/>
    </row>
    <row r="3974" spans="6:11" x14ac:dyDescent="0.25">
      <c r="F3974" s="12"/>
      <c r="K3974" s="5"/>
    </row>
    <row r="3975" spans="6:11" x14ac:dyDescent="0.25">
      <c r="F3975" s="12"/>
      <c r="K3975" s="5"/>
    </row>
    <row r="3976" spans="6:11" x14ac:dyDescent="0.25">
      <c r="F3976" s="12"/>
      <c r="K3976" s="5"/>
    </row>
    <row r="3977" spans="6:11" x14ac:dyDescent="0.25">
      <c r="F3977" s="12"/>
      <c r="K3977" s="5"/>
    </row>
    <row r="3978" spans="6:11" x14ac:dyDescent="0.25">
      <c r="F3978" s="12"/>
      <c r="K3978" s="5"/>
    </row>
    <row r="3979" spans="6:11" x14ac:dyDescent="0.25">
      <c r="F3979" s="12"/>
      <c r="K3979" s="5"/>
    </row>
    <row r="3980" spans="6:11" x14ac:dyDescent="0.25">
      <c r="F3980" s="12"/>
      <c r="K3980" s="5"/>
    </row>
    <row r="3981" spans="6:11" x14ac:dyDescent="0.25">
      <c r="F3981" s="12"/>
      <c r="K3981" s="5"/>
    </row>
    <row r="3982" spans="6:11" x14ac:dyDescent="0.25">
      <c r="F3982" s="12"/>
      <c r="K3982" s="5"/>
    </row>
    <row r="3983" spans="6:11" x14ac:dyDescent="0.25">
      <c r="F3983" s="12"/>
      <c r="K3983" s="5"/>
    </row>
    <row r="3984" spans="6:11" x14ac:dyDescent="0.25">
      <c r="F3984" s="12"/>
      <c r="K3984" s="5"/>
    </row>
    <row r="3985" spans="6:11" x14ac:dyDescent="0.25">
      <c r="F3985" s="12"/>
      <c r="K3985" s="5"/>
    </row>
    <row r="3986" spans="6:11" x14ac:dyDescent="0.25">
      <c r="F3986" s="12"/>
      <c r="K3986" s="5"/>
    </row>
    <row r="3987" spans="6:11" x14ac:dyDescent="0.25">
      <c r="F3987" s="12"/>
      <c r="K3987" s="5"/>
    </row>
    <row r="3988" spans="6:11" x14ac:dyDescent="0.25">
      <c r="F3988" s="12"/>
      <c r="K3988" s="5"/>
    </row>
    <row r="3989" spans="6:11" x14ac:dyDescent="0.25">
      <c r="F3989" s="12"/>
      <c r="K3989" s="5"/>
    </row>
    <row r="3990" spans="6:11" x14ac:dyDescent="0.25">
      <c r="F3990" s="12"/>
      <c r="K3990" s="5"/>
    </row>
    <row r="3991" spans="6:11" x14ac:dyDescent="0.25">
      <c r="F3991" s="12"/>
      <c r="K3991" s="5"/>
    </row>
    <row r="3992" spans="6:11" x14ac:dyDescent="0.25">
      <c r="F3992" s="12"/>
      <c r="K3992" s="5"/>
    </row>
    <row r="3993" spans="6:11" x14ac:dyDescent="0.25">
      <c r="F3993" s="12"/>
      <c r="K3993" s="5"/>
    </row>
    <row r="3994" spans="6:11" x14ac:dyDescent="0.25">
      <c r="F3994" s="12"/>
      <c r="K3994" s="5"/>
    </row>
    <row r="3995" spans="6:11" x14ac:dyDescent="0.25">
      <c r="F3995" s="12"/>
      <c r="K3995" s="5"/>
    </row>
    <row r="3996" spans="6:11" x14ac:dyDescent="0.25">
      <c r="F3996" s="12"/>
      <c r="K3996" s="5"/>
    </row>
    <row r="3997" spans="6:11" x14ac:dyDescent="0.25">
      <c r="F3997" s="12"/>
      <c r="K3997" s="5"/>
    </row>
    <row r="3998" spans="6:11" x14ac:dyDescent="0.25">
      <c r="F3998" s="12"/>
      <c r="K3998" s="5"/>
    </row>
    <row r="3999" spans="6:11" x14ac:dyDescent="0.25">
      <c r="F3999" s="12"/>
      <c r="K3999" s="5"/>
    </row>
    <row r="4000" spans="6:11" x14ac:dyDescent="0.25">
      <c r="F4000" s="12"/>
      <c r="K4000" s="5"/>
    </row>
    <row r="4001" spans="6:11" x14ac:dyDescent="0.25">
      <c r="F4001" s="12"/>
      <c r="K4001" s="5"/>
    </row>
    <row r="4002" spans="6:11" x14ac:dyDescent="0.25">
      <c r="F4002" s="12"/>
      <c r="K4002" s="5"/>
    </row>
    <row r="4003" spans="6:11" x14ac:dyDescent="0.25">
      <c r="F4003" s="12"/>
      <c r="K4003" s="5"/>
    </row>
    <row r="4004" spans="6:11" x14ac:dyDescent="0.25">
      <c r="F4004" s="12"/>
      <c r="K4004" s="5"/>
    </row>
    <row r="4005" spans="6:11" x14ac:dyDescent="0.25">
      <c r="F4005" s="12"/>
      <c r="K4005" s="5"/>
    </row>
    <row r="4006" spans="6:11" x14ac:dyDescent="0.25">
      <c r="F4006" s="12"/>
      <c r="K4006" s="5"/>
    </row>
    <row r="4007" spans="6:11" x14ac:dyDescent="0.25">
      <c r="F4007" s="12"/>
      <c r="K4007" s="5"/>
    </row>
    <row r="4008" spans="6:11" x14ac:dyDescent="0.25">
      <c r="F4008" s="12"/>
      <c r="K4008" s="5"/>
    </row>
    <row r="4009" spans="6:11" x14ac:dyDescent="0.25">
      <c r="F4009" s="12"/>
      <c r="K4009" s="5"/>
    </row>
    <row r="4010" spans="6:11" x14ac:dyDescent="0.25">
      <c r="F4010" s="12"/>
      <c r="K4010" s="5"/>
    </row>
    <row r="4011" spans="6:11" x14ac:dyDescent="0.25">
      <c r="F4011" s="12"/>
      <c r="K4011" s="5"/>
    </row>
    <row r="4012" spans="6:11" x14ac:dyDescent="0.25">
      <c r="F4012" s="12"/>
      <c r="K4012" s="5"/>
    </row>
    <row r="4013" spans="6:11" x14ac:dyDescent="0.25">
      <c r="F4013" s="12"/>
      <c r="K4013" s="5"/>
    </row>
    <row r="4014" spans="6:11" x14ac:dyDescent="0.25">
      <c r="F4014" s="12"/>
      <c r="K4014" s="5"/>
    </row>
    <row r="4015" spans="6:11" x14ac:dyDescent="0.25">
      <c r="F4015" s="12"/>
      <c r="K4015" s="5"/>
    </row>
    <row r="4016" spans="6:11" x14ac:dyDescent="0.25">
      <c r="F4016" s="12"/>
      <c r="K4016" s="5"/>
    </row>
    <row r="4017" spans="6:11" x14ac:dyDescent="0.25">
      <c r="F4017" s="12"/>
      <c r="K4017" s="5"/>
    </row>
    <row r="4018" spans="6:11" x14ac:dyDescent="0.25">
      <c r="F4018" s="12"/>
      <c r="K4018" s="5"/>
    </row>
    <row r="4019" spans="6:11" x14ac:dyDescent="0.25">
      <c r="F4019" s="12"/>
      <c r="K4019" s="5"/>
    </row>
    <row r="4020" spans="6:11" x14ac:dyDescent="0.25">
      <c r="F4020" s="12"/>
      <c r="K4020" s="5"/>
    </row>
    <row r="4021" spans="6:11" x14ac:dyDescent="0.25">
      <c r="F4021" s="12"/>
      <c r="K4021" s="5"/>
    </row>
    <row r="4022" spans="6:11" x14ac:dyDescent="0.25">
      <c r="F4022" s="12"/>
      <c r="K4022" s="5"/>
    </row>
    <row r="4023" spans="6:11" x14ac:dyDescent="0.25">
      <c r="F4023" s="12"/>
      <c r="K4023" s="5"/>
    </row>
    <row r="4024" spans="6:11" x14ac:dyDescent="0.25">
      <c r="F4024" s="12"/>
      <c r="K4024" s="5"/>
    </row>
    <row r="4025" spans="6:11" x14ac:dyDescent="0.25">
      <c r="F4025" s="12"/>
      <c r="K4025" s="5"/>
    </row>
    <row r="4026" spans="6:11" x14ac:dyDescent="0.25">
      <c r="F4026" s="12"/>
      <c r="K4026" s="5"/>
    </row>
    <row r="4027" spans="6:11" x14ac:dyDescent="0.25">
      <c r="F4027" s="12"/>
      <c r="K4027" s="5"/>
    </row>
    <row r="4028" spans="6:11" x14ac:dyDescent="0.25">
      <c r="F4028" s="12"/>
      <c r="K4028" s="5"/>
    </row>
    <row r="4029" spans="6:11" x14ac:dyDescent="0.25">
      <c r="F4029" s="12"/>
      <c r="K4029" s="5"/>
    </row>
    <row r="4030" spans="6:11" x14ac:dyDescent="0.25">
      <c r="F4030" s="12"/>
      <c r="K4030" s="5"/>
    </row>
    <row r="4031" spans="6:11" x14ac:dyDescent="0.25">
      <c r="F4031" s="12"/>
      <c r="K4031" s="5"/>
    </row>
    <row r="4032" spans="6:11" x14ac:dyDescent="0.25">
      <c r="F4032" s="12"/>
      <c r="K4032" s="5"/>
    </row>
    <row r="4033" spans="6:11" x14ac:dyDescent="0.25">
      <c r="F4033" s="12"/>
      <c r="K4033" s="5"/>
    </row>
    <row r="4034" spans="6:11" x14ac:dyDescent="0.25">
      <c r="F4034" s="12"/>
      <c r="K4034" s="5"/>
    </row>
    <row r="4035" spans="6:11" x14ac:dyDescent="0.25">
      <c r="F4035" s="12"/>
      <c r="K4035" s="5"/>
    </row>
    <row r="4036" spans="6:11" x14ac:dyDescent="0.25">
      <c r="F4036" s="12"/>
      <c r="K4036" s="5"/>
    </row>
    <row r="4037" spans="6:11" x14ac:dyDescent="0.25">
      <c r="F4037" s="12"/>
      <c r="K4037" s="5"/>
    </row>
    <row r="4038" spans="6:11" x14ac:dyDescent="0.25">
      <c r="F4038" s="12"/>
      <c r="K4038" s="5"/>
    </row>
    <row r="4039" spans="6:11" x14ac:dyDescent="0.25">
      <c r="F4039" s="12"/>
      <c r="K4039" s="5"/>
    </row>
    <row r="4040" spans="6:11" x14ac:dyDescent="0.25">
      <c r="F4040" s="12"/>
      <c r="K4040" s="5"/>
    </row>
    <row r="4041" spans="6:11" x14ac:dyDescent="0.25">
      <c r="F4041" s="12"/>
      <c r="K4041" s="5"/>
    </row>
    <row r="4042" spans="6:11" x14ac:dyDescent="0.25">
      <c r="F4042" s="12"/>
      <c r="K4042" s="5"/>
    </row>
    <row r="4043" spans="6:11" x14ac:dyDescent="0.25">
      <c r="F4043" s="12"/>
      <c r="K4043" s="5"/>
    </row>
    <row r="4044" spans="6:11" x14ac:dyDescent="0.25">
      <c r="F4044" s="12"/>
      <c r="K4044" s="5"/>
    </row>
    <row r="4045" spans="6:11" x14ac:dyDescent="0.25">
      <c r="F4045" s="12"/>
      <c r="K4045" s="5"/>
    </row>
    <row r="4046" spans="6:11" x14ac:dyDescent="0.25">
      <c r="F4046" s="12"/>
      <c r="K4046" s="5"/>
    </row>
    <row r="4047" spans="6:11" x14ac:dyDescent="0.25">
      <c r="F4047" s="12"/>
      <c r="K4047" s="5"/>
    </row>
    <row r="4048" spans="6:11" x14ac:dyDescent="0.25">
      <c r="F4048" s="12"/>
      <c r="K4048" s="5"/>
    </row>
    <row r="4049" spans="6:11" x14ac:dyDescent="0.25">
      <c r="F4049" s="12"/>
      <c r="K4049" s="5"/>
    </row>
    <row r="4050" spans="6:11" x14ac:dyDescent="0.25">
      <c r="F4050" s="12"/>
      <c r="K4050" s="5"/>
    </row>
    <row r="4051" spans="6:11" x14ac:dyDescent="0.25">
      <c r="F4051" s="12"/>
      <c r="K4051" s="5"/>
    </row>
    <row r="4052" spans="6:11" x14ac:dyDescent="0.25">
      <c r="F4052" s="12"/>
      <c r="K4052" s="5"/>
    </row>
    <row r="4053" spans="6:11" x14ac:dyDescent="0.25">
      <c r="F4053" s="12"/>
      <c r="K4053" s="5"/>
    </row>
    <row r="4054" spans="6:11" x14ac:dyDescent="0.25">
      <c r="F4054" s="12"/>
      <c r="K4054" s="5"/>
    </row>
    <row r="4055" spans="6:11" x14ac:dyDescent="0.25">
      <c r="F4055" s="12"/>
      <c r="K4055" s="5"/>
    </row>
    <row r="4056" spans="6:11" x14ac:dyDescent="0.25">
      <c r="F4056" s="12"/>
      <c r="K4056" s="5"/>
    </row>
    <row r="4057" spans="6:11" x14ac:dyDescent="0.25">
      <c r="F4057" s="12"/>
      <c r="K4057" s="5"/>
    </row>
    <row r="4058" spans="6:11" x14ac:dyDescent="0.25">
      <c r="F4058" s="12"/>
      <c r="K4058" s="5"/>
    </row>
    <row r="4059" spans="6:11" x14ac:dyDescent="0.25">
      <c r="F4059" s="12"/>
      <c r="K4059" s="5"/>
    </row>
    <row r="4060" spans="6:11" x14ac:dyDescent="0.25">
      <c r="F4060" s="12"/>
      <c r="K4060" s="5"/>
    </row>
    <row r="4061" spans="6:11" x14ac:dyDescent="0.25">
      <c r="F4061" s="12"/>
      <c r="K4061" s="5"/>
    </row>
    <row r="4062" spans="6:11" x14ac:dyDescent="0.25">
      <c r="F4062" s="12"/>
      <c r="K4062" s="5"/>
    </row>
    <row r="4063" spans="6:11" x14ac:dyDescent="0.25">
      <c r="F4063" s="12"/>
      <c r="K4063" s="5"/>
    </row>
    <row r="4064" spans="6:11" x14ac:dyDescent="0.25">
      <c r="F4064" s="12"/>
      <c r="K4064" s="5"/>
    </row>
    <row r="4065" spans="6:11" x14ac:dyDescent="0.25">
      <c r="F4065" s="12"/>
      <c r="K4065" s="5"/>
    </row>
    <row r="4066" spans="6:11" x14ac:dyDescent="0.25">
      <c r="F4066" s="12"/>
      <c r="K4066" s="5"/>
    </row>
    <row r="4067" spans="6:11" x14ac:dyDescent="0.25">
      <c r="F4067" s="12"/>
      <c r="K4067" s="5"/>
    </row>
    <row r="4068" spans="6:11" x14ac:dyDescent="0.25">
      <c r="F4068" s="12"/>
      <c r="K4068" s="5"/>
    </row>
    <row r="4069" spans="6:11" x14ac:dyDescent="0.25">
      <c r="F4069" s="12"/>
      <c r="K4069" s="5"/>
    </row>
    <row r="4070" spans="6:11" x14ac:dyDescent="0.25">
      <c r="F4070" s="12"/>
      <c r="K4070" s="5"/>
    </row>
    <row r="4071" spans="6:11" x14ac:dyDescent="0.25">
      <c r="F4071" s="12"/>
      <c r="K4071" s="5"/>
    </row>
    <row r="4072" spans="6:11" x14ac:dyDescent="0.25">
      <c r="F4072" s="12"/>
      <c r="K4072" s="5"/>
    </row>
    <row r="4073" spans="6:11" x14ac:dyDescent="0.25">
      <c r="F4073" s="12"/>
      <c r="K4073" s="5"/>
    </row>
    <row r="4074" spans="6:11" x14ac:dyDescent="0.25">
      <c r="F4074" s="12"/>
      <c r="K4074" s="5"/>
    </row>
    <row r="4075" spans="6:11" x14ac:dyDescent="0.25">
      <c r="F4075" s="12"/>
      <c r="K4075" s="5"/>
    </row>
    <row r="4076" spans="6:11" x14ac:dyDescent="0.25">
      <c r="F4076" s="12"/>
      <c r="K4076" s="5"/>
    </row>
    <row r="4077" spans="6:11" x14ac:dyDescent="0.25">
      <c r="F4077" s="12"/>
      <c r="K4077" s="5"/>
    </row>
    <row r="4078" spans="6:11" x14ac:dyDescent="0.25">
      <c r="F4078" s="12"/>
      <c r="K4078" s="5"/>
    </row>
    <row r="4079" spans="6:11" x14ac:dyDescent="0.25">
      <c r="F4079" s="12"/>
      <c r="K4079" s="5"/>
    </row>
    <row r="4080" spans="6:11" x14ac:dyDescent="0.25">
      <c r="F4080" s="12"/>
      <c r="K4080" s="5"/>
    </row>
    <row r="4081" spans="6:11" x14ac:dyDescent="0.25">
      <c r="F4081" s="12"/>
      <c r="K4081" s="5"/>
    </row>
    <row r="4082" spans="6:11" x14ac:dyDescent="0.25">
      <c r="F4082" s="12"/>
      <c r="K4082" s="5"/>
    </row>
    <row r="4083" spans="6:11" x14ac:dyDescent="0.25">
      <c r="F4083" s="12"/>
      <c r="K4083" s="5"/>
    </row>
    <row r="4084" spans="6:11" x14ac:dyDescent="0.25">
      <c r="F4084" s="12"/>
      <c r="K4084" s="5"/>
    </row>
    <row r="4085" spans="6:11" x14ac:dyDescent="0.25">
      <c r="F4085" s="12"/>
      <c r="K4085" s="5"/>
    </row>
    <row r="4086" spans="6:11" x14ac:dyDescent="0.25">
      <c r="F4086" s="12"/>
      <c r="K4086" s="5"/>
    </row>
    <row r="4087" spans="6:11" x14ac:dyDescent="0.25">
      <c r="F4087" s="12"/>
      <c r="K4087" s="5"/>
    </row>
    <row r="4088" spans="6:11" x14ac:dyDescent="0.25">
      <c r="F4088" s="12"/>
      <c r="K4088" s="5"/>
    </row>
    <row r="4089" spans="6:11" x14ac:dyDescent="0.25">
      <c r="F4089" s="12"/>
      <c r="K4089" s="5"/>
    </row>
    <row r="4090" spans="6:11" x14ac:dyDescent="0.25">
      <c r="F4090" s="12"/>
      <c r="K4090" s="5"/>
    </row>
    <row r="4091" spans="6:11" x14ac:dyDescent="0.25">
      <c r="F4091" s="12"/>
      <c r="K4091" s="5"/>
    </row>
    <row r="4092" spans="6:11" x14ac:dyDescent="0.25">
      <c r="F4092" s="12"/>
      <c r="K4092" s="5"/>
    </row>
    <row r="4093" spans="6:11" x14ac:dyDescent="0.25">
      <c r="F4093" s="12"/>
      <c r="K4093" s="5"/>
    </row>
    <row r="4094" spans="6:11" x14ac:dyDescent="0.25">
      <c r="F4094" s="12"/>
      <c r="K4094" s="5"/>
    </row>
    <row r="4095" spans="6:11" x14ac:dyDescent="0.25">
      <c r="F4095" s="12"/>
      <c r="K4095" s="5"/>
    </row>
    <row r="4096" spans="6:11" x14ac:dyDescent="0.25">
      <c r="F4096" s="12"/>
      <c r="K4096" s="5"/>
    </row>
    <row r="4097" spans="6:11" x14ac:dyDescent="0.25">
      <c r="F4097" s="12"/>
      <c r="K4097" s="5"/>
    </row>
    <row r="4098" spans="6:11" x14ac:dyDescent="0.25">
      <c r="F4098" s="12"/>
      <c r="K4098" s="5"/>
    </row>
    <row r="4099" spans="6:11" x14ac:dyDescent="0.25">
      <c r="F4099" s="12"/>
      <c r="K4099" s="5"/>
    </row>
    <row r="4100" spans="6:11" x14ac:dyDescent="0.25">
      <c r="F4100" s="12"/>
      <c r="K4100" s="5"/>
    </row>
    <row r="4101" spans="6:11" x14ac:dyDescent="0.25">
      <c r="F4101" s="12"/>
      <c r="K4101" s="5"/>
    </row>
    <row r="4102" spans="6:11" x14ac:dyDescent="0.25">
      <c r="F4102" s="12"/>
      <c r="K4102" s="5"/>
    </row>
    <row r="4103" spans="6:11" x14ac:dyDescent="0.25">
      <c r="F4103" s="12"/>
      <c r="K4103" s="5"/>
    </row>
    <row r="4104" spans="6:11" x14ac:dyDescent="0.25">
      <c r="F4104" s="12"/>
      <c r="K4104" s="5"/>
    </row>
    <row r="4105" spans="6:11" x14ac:dyDescent="0.25">
      <c r="F4105" s="12"/>
      <c r="K4105" s="5"/>
    </row>
    <row r="4106" spans="6:11" x14ac:dyDescent="0.25">
      <c r="F4106" s="12"/>
      <c r="K4106" s="5"/>
    </row>
    <row r="4107" spans="6:11" x14ac:dyDescent="0.25">
      <c r="F4107" s="12"/>
      <c r="K4107" s="5"/>
    </row>
    <row r="4108" spans="6:11" x14ac:dyDescent="0.25">
      <c r="F4108" s="12"/>
      <c r="K4108" s="5"/>
    </row>
    <row r="4109" spans="6:11" x14ac:dyDescent="0.25">
      <c r="F4109" s="12"/>
      <c r="K4109" s="5"/>
    </row>
    <row r="4110" spans="6:11" x14ac:dyDescent="0.25">
      <c r="F4110" s="12"/>
      <c r="K4110" s="5"/>
    </row>
    <row r="4111" spans="6:11" x14ac:dyDescent="0.25">
      <c r="F4111" s="12"/>
      <c r="K4111" s="5"/>
    </row>
    <row r="4112" spans="6:11" x14ac:dyDescent="0.25">
      <c r="F4112" s="12"/>
      <c r="K4112" s="5"/>
    </row>
    <row r="4113" spans="6:11" x14ac:dyDescent="0.25">
      <c r="F4113" s="12"/>
      <c r="K4113" s="5"/>
    </row>
    <row r="4114" spans="6:11" x14ac:dyDescent="0.25">
      <c r="F4114" s="12"/>
      <c r="K4114" s="5"/>
    </row>
    <row r="4115" spans="6:11" x14ac:dyDescent="0.25">
      <c r="F4115" s="12"/>
      <c r="K4115" s="5"/>
    </row>
    <row r="4116" spans="6:11" x14ac:dyDescent="0.25">
      <c r="F4116" s="12"/>
      <c r="K4116" s="5"/>
    </row>
    <row r="4117" spans="6:11" x14ac:dyDescent="0.25">
      <c r="F4117" s="12"/>
      <c r="K4117" s="5"/>
    </row>
    <row r="4118" spans="6:11" x14ac:dyDescent="0.25">
      <c r="F4118" s="12"/>
      <c r="K4118" s="5"/>
    </row>
    <row r="4119" spans="6:11" x14ac:dyDescent="0.25">
      <c r="F4119" s="12"/>
      <c r="K4119" s="5"/>
    </row>
    <row r="4120" spans="6:11" x14ac:dyDescent="0.25">
      <c r="F4120" s="12"/>
      <c r="K4120" s="5"/>
    </row>
    <row r="4121" spans="6:11" x14ac:dyDescent="0.25">
      <c r="F4121" s="12"/>
      <c r="K4121" s="5"/>
    </row>
    <row r="4122" spans="6:11" x14ac:dyDescent="0.25">
      <c r="F4122" s="12"/>
      <c r="K4122" s="5"/>
    </row>
    <row r="4123" spans="6:11" x14ac:dyDescent="0.25">
      <c r="F4123" s="12"/>
      <c r="K4123" s="5"/>
    </row>
    <row r="4124" spans="6:11" x14ac:dyDescent="0.25">
      <c r="F4124" s="12"/>
      <c r="K4124" s="5"/>
    </row>
    <row r="4125" spans="6:11" x14ac:dyDescent="0.25">
      <c r="F4125" s="12"/>
      <c r="K4125" s="5"/>
    </row>
    <row r="4126" spans="6:11" x14ac:dyDescent="0.25">
      <c r="F4126" s="12"/>
      <c r="K4126" s="5"/>
    </row>
    <row r="4127" spans="6:11" x14ac:dyDescent="0.25">
      <c r="F4127" s="12"/>
      <c r="K4127" s="5"/>
    </row>
    <row r="4128" spans="6:11" x14ac:dyDescent="0.25">
      <c r="F4128" s="12"/>
      <c r="K4128" s="5"/>
    </row>
    <row r="4129" spans="6:11" x14ac:dyDescent="0.25">
      <c r="F4129" s="12"/>
      <c r="K4129" s="5"/>
    </row>
    <row r="4130" spans="6:11" x14ac:dyDescent="0.25">
      <c r="F4130" s="12"/>
      <c r="K4130" s="5"/>
    </row>
    <row r="4131" spans="6:11" x14ac:dyDescent="0.25">
      <c r="F4131" s="12"/>
      <c r="K4131" s="5"/>
    </row>
    <row r="4132" spans="6:11" x14ac:dyDescent="0.25">
      <c r="F4132" s="12"/>
      <c r="K4132" s="5"/>
    </row>
    <row r="4133" spans="6:11" x14ac:dyDescent="0.25">
      <c r="F4133" s="12"/>
      <c r="K4133" s="5"/>
    </row>
    <row r="4134" spans="6:11" x14ac:dyDescent="0.25">
      <c r="F4134" s="12"/>
      <c r="K4134" s="5"/>
    </row>
    <row r="4135" spans="6:11" x14ac:dyDescent="0.25">
      <c r="F4135" s="12"/>
      <c r="K4135" s="5"/>
    </row>
    <row r="4136" spans="6:11" x14ac:dyDescent="0.25">
      <c r="F4136" s="12"/>
      <c r="K4136" s="5"/>
    </row>
    <row r="4137" spans="6:11" x14ac:dyDescent="0.25">
      <c r="F4137" s="12"/>
      <c r="K4137" s="5"/>
    </row>
    <row r="4138" spans="6:11" x14ac:dyDescent="0.25">
      <c r="F4138" s="12"/>
      <c r="K4138" s="5"/>
    </row>
    <row r="4139" spans="6:11" x14ac:dyDescent="0.25">
      <c r="F4139" s="12"/>
      <c r="K4139" s="5"/>
    </row>
    <row r="4140" spans="6:11" x14ac:dyDescent="0.25">
      <c r="F4140" s="12"/>
      <c r="K4140" s="5"/>
    </row>
    <row r="4141" spans="6:11" x14ac:dyDescent="0.25">
      <c r="F4141" s="12"/>
      <c r="K4141" s="5"/>
    </row>
    <row r="4142" spans="6:11" x14ac:dyDescent="0.25">
      <c r="F4142" s="12"/>
      <c r="K4142" s="5"/>
    </row>
    <row r="4143" spans="6:11" x14ac:dyDescent="0.25">
      <c r="F4143" s="12"/>
      <c r="K4143" s="5"/>
    </row>
    <row r="4144" spans="6:11" x14ac:dyDescent="0.25">
      <c r="F4144" s="12"/>
      <c r="K4144" s="5"/>
    </row>
    <row r="4145" spans="6:11" x14ac:dyDescent="0.25">
      <c r="F4145" s="12"/>
      <c r="K4145" s="5"/>
    </row>
    <row r="4146" spans="6:11" x14ac:dyDescent="0.25">
      <c r="F4146" s="12"/>
      <c r="K4146" s="5"/>
    </row>
    <row r="4147" spans="6:11" x14ac:dyDescent="0.25">
      <c r="F4147" s="12"/>
      <c r="K4147" s="5"/>
    </row>
    <row r="4148" spans="6:11" x14ac:dyDescent="0.25">
      <c r="F4148" s="12"/>
      <c r="K4148" s="5"/>
    </row>
    <row r="4149" spans="6:11" x14ac:dyDescent="0.25">
      <c r="F4149" s="12"/>
      <c r="K4149" s="5"/>
    </row>
    <row r="4150" spans="6:11" x14ac:dyDescent="0.25">
      <c r="F4150" s="12"/>
      <c r="K4150" s="5"/>
    </row>
    <row r="4151" spans="6:11" x14ac:dyDescent="0.25">
      <c r="F4151" s="12"/>
      <c r="K4151" s="5"/>
    </row>
    <row r="4152" spans="6:11" x14ac:dyDescent="0.25">
      <c r="F4152" s="12"/>
      <c r="K4152" s="5"/>
    </row>
    <row r="4153" spans="6:11" x14ac:dyDescent="0.25">
      <c r="F4153" s="12"/>
      <c r="K4153" s="5"/>
    </row>
    <row r="4154" spans="6:11" x14ac:dyDescent="0.25">
      <c r="F4154" s="12"/>
      <c r="K4154" s="5"/>
    </row>
    <row r="4155" spans="6:11" x14ac:dyDescent="0.25">
      <c r="F4155" s="12"/>
      <c r="K4155" s="5"/>
    </row>
    <row r="4156" spans="6:11" x14ac:dyDescent="0.25">
      <c r="F4156" s="12"/>
      <c r="K4156" s="5"/>
    </row>
    <row r="4157" spans="6:11" x14ac:dyDescent="0.25">
      <c r="F4157" s="12"/>
      <c r="K4157" s="5"/>
    </row>
    <row r="4158" spans="6:11" x14ac:dyDescent="0.25">
      <c r="F4158" s="12"/>
      <c r="K4158" s="5"/>
    </row>
    <row r="4159" spans="6:11" x14ac:dyDescent="0.25">
      <c r="F4159" s="12"/>
      <c r="K4159" s="5"/>
    </row>
    <row r="4160" spans="6:11" x14ac:dyDescent="0.25">
      <c r="F4160" s="12"/>
      <c r="K4160" s="5"/>
    </row>
    <row r="4161" spans="6:11" x14ac:dyDescent="0.25">
      <c r="F4161" s="12"/>
      <c r="K4161" s="5"/>
    </row>
    <row r="4162" spans="6:11" x14ac:dyDescent="0.25">
      <c r="F4162" s="12"/>
      <c r="K4162" s="5"/>
    </row>
    <row r="4163" spans="6:11" x14ac:dyDescent="0.25">
      <c r="F4163" s="12"/>
      <c r="K4163" s="5"/>
    </row>
    <row r="4164" spans="6:11" x14ac:dyDescent="0.25">
      <c r="F4164" s="12"/>
      <c r="K4164" s="5"/>
    </row>
    <row r="4165" spans="6:11" x14ac:dyDescent="0.25">
      <c r="F4165" s="12"/>
      <c r="K4165" s="5"/>
    </row>
    <row r="4166" spans="6:11" x14ac:dyDescent="0.25">
      <c r="F4166" s="12"/>
      <c r="K4166" s="5"/>
    </row>
    <row r="4167" spans="6:11" x14ac:dyDescent="0.25">
      <c r="F4167" s="12"/>
      <c r="K4167" s="5"/>
    </row>
    <row r="4168" spans="6:11" x14ac:dyDescent="0.25">
      <c r="F4168" s="12"/>
      <c r="K4168" s="5"/>
    </row>
    <row r="4169" spans="6:11" x14ac:dyDescent="0.25">
      <c r="F4169" s="12"/>
      <c r="K4169" s="5"/>
    </row>
    <row r="4170" spans="6:11" x14ac:dyDescent="0.25">
      <c r="F4170" s="12"/>
      <c r="K4170" s="5"/>
    </row>
    <row r="4171" spans="6:11" x14ac:dyDescent="0.25">
      <c r="F4171" s="12"/>
      <c r="K4171" s="5"/>
    </row>
    <row r="4172" spans="6:11" x14ac:dyDescent="0.25">
      <c r="F4172" s="12"/>
      <c r="K4172" s="5"/>
    </row>
    <row r="4173" spans="6:11" x14ac:dyDescent="0.25">
      <c r="F4173" s="12"/>
      <c r="K4173" s="5"/>
    </row>
    <row r="4174" spans="6:11" x14ac:dyDescent="0.25">
      <c r="F4174" s="12"/>
      <c r="K4174" s="5"/>
    </row>
    <row r="4175" spans="6:11" x14ac:dyDescent="0.25">
      <c r="F4175" s="12"/>
      <c r="K4175" s="5"/>
    </row>
    <row r="4176" spans="6:11" x14ac:dyDescent="0.25">
      <c r="F4176" s="12"/>
      <c r="K4176" s="5"/>
    </row>
    <row r="4177" spans="6:11" x14ac:dyDescent="0.25">
      <c r="F4177" s="12"/>
      <c r="K4177" s="5"/>
    </row>
    <row r="4178" spans="6:11" x14ac:dyDescent="0.25">
      <c r="F4178" s="12"/>
      <c r="K4178" s="5"/>
    </row>
    <row r="4179" spans="6:11" x14ac:dyDescent="0.25">
      <c r="F4179" s="12"/>
      <c r="K4179" s="5"/>
    </row>
    <row r="4180" spans="6:11" x14ac:dyDescent="0.25">
      <c r="F4180" s="12"/>
      <c r="K4180" s="5"/>
    </row>
    <row r="4181" spans="6:11" x14ac:dyDescent="0.25">
      <c r="F4181" s="12"/>
      <c r="K4181" s="5"/>
    </row>
    <row r="4182" spans="6:11" x14ac:dyDescent="0.25">
      <c r="F4182" s="12"/>
      <c r="K4182" s="5"/>
    </row>
    <row r="4183" spans="6:11" x14ac:dyDescent="0.25">
      <c r="F4183" s="12"/>
      <c r="K4183" s="5"/>
    </row>
    <row r="4184" spans="6:11" x14ac:dyDescent="0.25">
      <c r="F4184" s="12"/>
      <c r="K4184" s="5"/>
    </row>
    <row r="4185" spans="6:11" x14ac:dyDescent="0.25">
      <c r="F4185" s="12"/>
      <c r="K4185" s="5"/>
    </row>
    <row r="4186" spans="6:11" x14ac:dyDescent="0.25">
      <c r="F4186" s="12"/>
      <c r="K4186" s="5"/>
    </row>
    <row r="4187" spans="6:11" x14ac:dyDescent="0.25">
      <c r="F4187" s="12"/>
      <c r="K4187" s="5"/>
    </row>
    <row r="4188" spans="6:11" x14ac:dyDescent="0.25">
      <c r="F4188" s="12"/>
      <c r="K4188" s="5"/>
    </row>
    <row r="4189" spans="6:11" x14ac:dyDescent="0.25">
      <c r="F4189" s="12"/>
      <c r="K4189" s="5"/>
    </row>
    <row r="4190" spans="6:11" x14ac:dyDescent="0.25">
      <c r="F4190" s="12"/>
      <c r="K4190" s="5"/>
    </row>
    <row r="4191" spans="6:11" x14ac:dyDescent="0.25">
      <c r="F4191" s="12"/>
      <c r="K4191" s="5"/>
    </row>
    <row r="4192" spans="6:11" x14ac:dyDescent="0.25">
      <c r="F4192" s="12"/>
      <c r="K4192" s="5"/>
    </row>
    <row r="4193" spans="6:11" x14ac:dyDescent="0.25">
      <c r="F4193" s="12"/>
      <c r="K4193" s="5"/>
    </row>
    <row r="4194" spans="6:11" x14ac:dyDescent="0.25">
      <c r="F4194" s="12"/>
      <c r="K4194" s="5"/>
    </row>
    <row r="4195" spans="6:11" x14ac:dyDescent="0.25">
      <c r="F4195" s="12"/>
      <c r="K4195" s="5"/>
    </row>
    <row r="4196" spans="6:11" x14ac:dyDescent="0.25">
      <c r="F4196" s="12"/>
      <c r="K4196" s="5"/>
    </row>
    <row r="4197" spans="6:11" x14ac:dyDescent="0.25">
      <c r="F4197" s="12"/>
      <c r="K4197" s="5"/>
    </row>
    <row r="4198" spans="6:11" x14ac:dyDescent="0.25">
      <c r="F4198" s="12"/>
      <c r="K4198" s="5"/>
    </row>
    <row r="4199" spans="6:11" x14ac:dyDescent="0.25">
      <c r="F4199" s="12"/>
      <c r="K4199" s="5"/>
    </row>
    <row r="4200" spans="6:11" x14ac:dyDescent="0.25">
      <c r="F4200" s="12"/>
      <c r="K4200" s="5"/>
    </row>
    <row r="4201" spans="6:11" x14ac:dyDescent="0.25">
      <c r="F4201" s="12"/>
      <c r="K4201" s="5"/>
    </row>
    <row r="4202" spans="6:11" x14ac:dyDescent="0.25">
      <c r="F4202" s="12"/>
      <c r="K4202" s="5"/>
    </row>
    <row r="4203" spans="6:11" x14ac:dyDescent="0.25">
      <c r="F4203" s="12"/>
      <c r="K4203" s="5"/>
    </row>
    <row r="4204" spans="6:11" x14ac:dyDescent="0.25">
      <c r="F4204" s="12"/>
      <c r="K4204" s="5"/>
    </row>
    <row r="4205" spans="6:11" x14ac:dyDescent="0.25">
      <c r="F4205" s="12"/>
      <c r="K4205" s="5"/>
    </row>
    <row r="4206" spans="6:11" x14ac:dyDescent="0.25">
      <c r="F4206" s="12"/>
      <c r="K4206" s="5"/>
    </row>
    <row r="4207" spans="6:11" x14ac:dyDescent="0.25">
      <c r="F4207" s="12"/>
      <c r="K4207" s="5"/>
    </row>
    <row r="4208" spans="6:11" x14ac:dyDescent="0.25">
      <c r="F4208" s="12"/>
      <c r="K4208" s="5"/>
    </row>
    <row r="4209" spans="6:11" x14ac:dyDescent="0.25">
      <c r="F4209" s="12"/>
      <c r="K4209" s="5"/>
    </row>
    <row r="4210" spans="6:11" x14ac:dyDescent="0.25">
      <c r="F4210" s="12"/>
      <c r="K4210" s="5"/>
    </row>
    <row r="4211" spans="6:11" x14ac:dyDescent="0.25">
      <c r="F4211" s="12"/>
      <c r="K4211" s="5"/>
    </row>
    <row r="4212" spans="6:11" x14ac:dyDescent="0.25">
      <c r="F4212" s="12"/>
      <c r="K4212" s="5"/>
    </row>
    <row r="4213" spans="6:11" x14ac:dyDescent="0.25">
      <c r="F4213" s="12"/>
      <c r="K4213" s="5"/>
    </row>
    <row r="4214" spans="6:11" x14ac:dyDescent="0.25">
      <c r="F4214" s="12"/>
      <c r="K4214" s="5"/>
    </row>
    <row r="4215" spans="6:11" x14ac:dyDescent="0.25">
      <c r="F4215" s="12"/>
      <c r="K4215" s="5"/>
    </row>
    <row r="4216" spans="6:11" x14ac:dyDescent="0.25">
      <c r="F4216" s="12"/>
      <c r="K4216" s="5"/>
    </row>
    <row r="4217" spans="6:11" x14ac:dyDescent="0.25">
      <c r="F4217" s="12"/>
      <c r="K4217" s="5"/>
    </row>
    <row r="4218" spans="6:11" x14ac:dyDescent="0.25">
      <c r="F4218" s="12"/>
      <c r="K4218" s="5"/>
    </row>
    <row r="4219" spans="6:11" x14ac:dyDescent="0.25">
      <c r="F4219" s="12"/>
      <c r="K4219" s="5"/>
    </row>
    <row r="4220" spans="6:11" x14ac:dyDescent="0.25">
      <c r="F4220" s="12"/>
      <c r="K4220" s="5"/>
    </row>
    <row r="4221" spans="6:11" x14ac:dyDescent="0.25">
      <c r="F4221" s="12"/>
      <c r="K4221" s="5"/>
    </row>
    <row r="4222" spans="6:11" x14ac:dyDescent="0.25">
      <c r="F4222" s="12"/>
      <c r="K4222" s="5"/>
    </row>
    <row r="4223" spans="6:11" x14ac:dyDescent="0.25">
      <c r="F4223" s="12"/>
      <c r="K4223" s="5"/>
    </row>
    <row r="4224" spans="6:11" x14ac:dyDescent="0.25">
      <c r="F4224" s="12"/>
      <c r="K4224" s="5"/>
    </row>
    <row r="4225" spans="6:11" x14ac:dyDescent="0.25">
      <c r="F4225" s="12"/>
      <c r="K4225" s="5"/>
    </row>
    <row r="4226" spans="6:11" x14ac:dyDescent="0.25">
      <c r="F4226" s="12"/>
      <c r="K4226" s="5"/>
    </row>
    <row r="4227" spans="6:11" x14ac:dyDescent="0.25">
      <c r="F4227" s="12"/>
      <c r="K4227" s="5"/>
    </row>
    <row r="4228" spans="6:11" x14ac:dyDescent="0.25">
      <c r="F4228" s="12"/>
      <c r="K4228" s="5"/>
    </row>
    <row r="4229" spans="6:11" x14ac:dyDescent="0.25">
      <c r="F4229" s="12"/>
      <c r="K4229" s="5"/>
    </row>
    <row r="4230" spans="6:11" x14ac:dyDescent="0.25">
      <c r="F4230" s="12"/>
      <c r="K4230" s="5"/>
    </row>
    <row r="4231" spans="6:11" x14ac:dyDescent="0.25">
      <c r="F4231" s="12"/>
      <c r="K4231" s="5"/>
    </row>
    <row r="4232" spans="6:11" x14ac:dyDescent="0.25">
      <c r="F4232" s="12"/>
      <c r="K4232" s="5"/>
    </row>
    <row r="4233" spans="6:11" x14ac:dyDescent="0.25">
      <c r="F4233" s="12"/>
      <c r="K4233" s="5"/>
    </row>
    <row r="4234" spans="6:11" x14ac:dyDescent="0.25">
      <c r="F4234" s="12"/>
      <c r="K4234" s="5"/>
    </row>
    <row r="4235" spans="6:11" x14ac:dyDescent="0.25">
      <c r="F4235" s="12"/>
      <c r="K4235" s="5"/>
    </row>
    <row r="4236" spans="6:11" x14ac:dyDescent="0.25">
      <c r="F4236" s="12"/>
      <c r="K4236" s="5"/>
    </row>
    <row r="4237" spans="6:11" x14ac:dyDescent="0.25">
      <c r="F4237" s="12"/>
      <c r="K4237" s="5"/>
    </row>
    <row r="4238" spans="6:11" x14ac:dyDescent="0.25">
      <c r="F4238" s="12"/>
      <c r="K4238" s="5"/>
    </row>
    <row r="4239" spans="6:11" x14ac:dyDescent="0.25">
      <c r="F4239" s="12"/>
      <c r="K4239" s="5"/>
    </row>
    <row r="4240" spans="6:11" x14ac:dyDescent="0.25">
      <c r="F4240" s="12"/>
      <c r="K4240" s="5"/>
    </row>
    <row r="4241" spans="6:11" x14ac:dyDescent="0.25">
      <c r="F4241" s="12"/>
      <c r="K4241" s="5"/>
    </row>
    <row r="4242" spans="6:11" x14ac:dyDescent="0.25">
      <c r="F4242" s="12"/>
      <c r="K4242" s="5"/>
    </row>
    <row r="4243" spans="6:11" x14ac:dyDescent="0.25">
      <c r="F4243" s="12"/>
      <c r="K4243" s="5"/>
    </row>
    <row r="4244" spans="6:11" x14ac:dyDescent="0.25">
      <c r="F4244" s="12"/>
      <c r="K4244" s="5"/>
    </row>
    <row r="4245" spans="6:11" x14ac:dyDescent="0.25">
      <c r="F4245" s="12"/>
      <c r="K4245" s="5"/>
    </row>
    <row r="4246" spans="6:11" x14ac:dyDescent="0.25">
      <c r="F4246" s="12"/>
      <c r="K4246" s="5"/>
    </row>
    <row r="4247" spans="6:11" x14ac:dyDescent="0.25">
      <c r="F4247" s="12"/>
      <c r="K4247" s="5"/>
    </row>
    <row r="4248" spans="6:11" x14ac:dyDescent="0.25">
      <c r="F4248" s="12"/>
      <c r="K4248" s="5"/>
    </row>
    <row r="4249" spans="6:11" x14ac:dyDescent="0.25">
      <c r="F4249" s="12"/>
      <c r="K4249" s="5"/>
    </row>
    <row r="4250" spans="6:11" x14ac:dyDescent="0.25">
      <c r="F4250" s="12"/>
      <c r="K4250" s="5"/>
    </row>
    <row r="4251" spans="6:11" x14ac:dyDescent="0.25">
      <c r="F4251" s="12"/>
      <c r="K4251" s="5"/>
    </row>
    <row r="4252" spans="6:11" x14ac:dyDescent="0.25">
      <c r="F4252" s="12"/>
      <c r="K4252" s="5"/>
    </row>
    <row r="4253" spans="6:11" x14ac:dyDescent="0.25">
      <c r="F4253" s="12"/>
      <c r="K4253" s="5"/>
    </row>
    <row r="4254" spans="6:11" x14ac:dyDescent="0.25">
      <c r="F4254" s="12"/>
      <c r="K4254" s="5"/>
    </row>
    <row r="4255" spans="6:11" x14ac:dyDescent="0.25">
      <c r="F4255" s="12"/>
      <c r="K4255" s="5"/>
    </row>
    <row r="4256" spans="6:11" x14ac:dyDescent="0.25">
      <c r="F4256" s="12"/>
      <c r="K4256" s="5"/>
    </row>
    <row r="4257" spans="6:11" x14ac:dyDescent="0.25">
      <c r="F4257" s="12"/>
      <c r="K4257" s="5"/>
    </row>
    <row r="4258" spans="6:11" x14ac:dyDescent="0.25">
      <c r="F4258" s="12"/>
      <c r="K4258" s="5"/>
    </row>
    <row r="4259" spans="6:11" x14ac:dyDescent="0.25">
      <c r="F4259" s="12"/>
      <c r="K4259" s="5"/>
    </row>
    <row r="4260" spans="6:11" x14ac:dyDescent="0.25">
      <c r="F4260" s="12"/>
      <c r="K4260" s="5"/>
    </row>
    <row r="4261" spans="6:11" x14ac:dyDescent="0.25">
      <c r="F4261" s="12"/>
      <c r="K4261" s="5"/>
    </row>
    <row r="4262" spans="6:11" x14ac:dyDescent="0.25">
      <c r="F4262" s="12"/>
      <c r="K4262" s="5"/>
    </row>
    <row r="4263" spans="6:11" x14ac:dyDescent="0.25">
      <c r="F4263" s="12"/>
      <c r="K4263" s="5"/>
    </row>
    <row r="4264" spans="6:11" x14ac:dyDescent="0.25">
      <c r="F4264" s="12"/>
      <c r="K4264" s="5"/>
    </row>
    <row r="4265" spans="6:11" x14ac:dyDescent="0.25">
      <c r="F4265" s="12"/>
      <c r="K4265" s="5"/>
    </row>
    <row r="4266" spans="6:11" x14ac:dyDescent="0.25">
      <c r="F4266" s="12"/>
      <c r="K4266" s="5"/>
    </row>
    <row r="4267" spans="6:11" x14ac:dyDescent="0.25">
      <c r="F4267" s="12"/>
      <c r="K4267" s="5"/>
    </row>
    <row r="4268" spans="6:11" x14ac:dyDescent="0.25">
      <c r="F4268" s="12"/>
      <c r="K4268" s="5"/>
    </row>
    <row r="4269" spans="6:11" x14ac:dyDescent="0.25">
      <c r="F4269" s="12"/>
      <c r="K4269" s="5"/>
    </row>
    <row r="4270" spans="6:11" x14ac:dyDescent="0.25">
      <c r="F4270" s="12"/>
      <c r="K4270" s="5"/>
    </row>
    <row r="4271" spans="6:11" x14ac:dyDescent="0.25">
      <c r="F4271" s="12"/>
      <c r="K4271" s="5"/>
    </row>
    <row r="4272" spans="6:11" x14ac:dyDescent="0.25">
      <c r="F4272" s="12"/>
      <c r="K4272" s="5"/>
    </row>
    <row r="4273" spans="6:11" x14ac:dyDescent="0.25">
      <c r="F4273" s="12"/>
      <c r="K4273" s="5"/>
    </row>
    <row r="4274" spans="6:11" x14ac:dyDescent="0.25">
      <c r="F4274" s="12"/>
      <c r="K4274" s="5"/>
    </row>
    <row r="4275" spans="6:11" x14ac:dyDescent="0.25">
      <c r="F4275" s="12"/>
      <c r="K4275" s="5"/>
    </row>
    <row r="4276" spans="6:11" x14ac:dyDescent="0.25">
      <c r="F4276" s="12"/>
      <c r="K4276" s="5"/>
    </row>
    <row r="4277" spans="6:11" x14ac:dyDescent="0.25">
      <c r="F4277" s="12"/>
      <c r="K4277" s="5"/>
    </row>
    <row r="4278" spans="6:11" x14ac:dyDescent="0.25">
      <c r="F4278" s="12"/>
      <c r="K4278" s="5"/>
    </row>
    <row r="4279" spans="6:11" x14ac:dyDescent="0.25">
      <c r="F4279" s="12"/>
      <c r="K4279" s="5"/>
    </row>
    <row r="4280" spans="6:11" x14ac:dyDescent="0.25">
      <c r="F4280" s="12"/>
      <c r="K4280" s="5"/>
    </row>
    <row r="4281" spans="6:11" x14ac:dyDescent="0.25">
      <c r="F4281" s="12"/>
      <c r="K4281" s="5"/>
    </row>
    <row r="4282" spans="6:11" x14ac:dyDescent="0.25">
      <c r="F4282" s="12"/>
      <c r="K4282" s="5"/>
    </row>
    <row r="4283" spans="6:11" x14ac:dyDescent="0.25">
      <c r="F4283" s="12"/>
      <c r="K4283" s="5"/>
    </row>
    <row r="4284" spans="6:11" x14ac:dyDescent="0.25">
      <c r="F4284" s="12"/>
      <c r="K4284" s="5"/>
    </row>
    <row r="4285" spans="6:11" x14ac:dyDescent="0.25">
      <c r="F4285" s="12"/>
      <c r="K4285" s="5"/>
    </row>
    <row r="4286" spans="6:11" x14ac:dyDescent="0.25">
      <c r="F4286" s="12"/>
      <c r="K4286" s="5"/>
    </row>
    <row r="4287" spans="6:11" x14ac:dyDescent="0.25">
      <c r="F4287" s="12"/>
      <c r="K4287" s="5"/>
    </row>
    <row r="4288" spans="6:11" x14ac:dyDescent="0.25">
      <c r="F4288" s="12"/>
      <c r="K4288" s="5"/>
    </row>
    <row r="4289" spans="6:11" x14ac:dyDescent="0.25">
      <c r="F4289" s="12"/>
      <c r="K4289" s="5"/>
    </row>
    <row r="4290" spans="6:11" x14ac:dyDescent="0.25">
      <c r="F4290" s="12"/>
      <c r="K4290" s="5"/>
    </row>
    <row r="4291" spans="6:11" x14ac:dyDescent="0.25">
      <c r="F4291" s="12"/>
      <c r="K4291" s="5"/>
    </row>
    <row r="4292" spans="6:11" x14ac:dyDescent="0.25">
      <c r="F4292" s="12"/>
      <c r="K4292" s="5"/>
    </row>
    <row r="4293" spans="6:11" x14ac:dyDescent="0.25">
      <c r="F4293" s="12"/>
      <c r="K4293" s="5"/>
    </row>
    <row r="4294" spans="6:11" x14ac:dyDescent="0.25">
      <c r="F4294" s="12"/>
      <c r="K4294" s="5"/>
    </row>
    <row r="4295" spans="6:11" x14ac:dyDescent="0.25">
      <c r="F4295" s="12"/>
      <c r="K4295" s="5"/>
    </row>
    <row r="4296" spans="6:11" x14ac:dyDescent="0.25">
      <c r="F4296" s="12"/>
      <c r="K4296" s="5"/>
    </row>
    <row r="4297" spans="6:11" x14ac:dyDescent="0.25">
      <c r="F4297" s="12"/>
      <c r="K4297" s="5"/>
    </row>
    <row r="4298" spans="6:11" x14ac:dyDescent="0.25">
      <c r="F4298" s="12"/>
      <c r="K4298" s="5"/>
    </row>
    <row r="4299" spans="6:11" x14ac:dyDescent="0.25">
      <c r="F4299" s="12"/>
      <c r="K4299" s="5"/>
    </row>
    <row r="4300" spans="6:11" x14ac:dyDescent="0.25">
      <c r="F4300" s="12"/>
      <c r="K4300" s="5"/>
    </row>
    <row r="4301" spans="6:11" x14ac:dyDescent="0.25">
      <c r="F4301" s="12"/>
      <c r="K4301" s="5"/>
    </row>
    <row r="4302" spans="6:11" x14ac:dyDescent="0.25">
      <c r="F4302" s="12"/>
      <c r="K4302" s="5"/>
    </row>
    <row r="4303" spans="6:11" x14ac:dyDescent="0.25">
      <c r="F4303" s="12"/>
      <c r="K4303" s="5"/>
    </row>
    <row r="4304" spans="6:11" x14ac:dyDescent="0.25">
      <c r="F4304" s="12"/>
      <c r="K4304" s="5"/>
    </row>
    <row r="4305" spans="6:11" x14ac:dyDescent="0.25">
      <c r="F4305" s="12"/>
      <c r="K4305" s="5"/>
    </row>
    <row r="4306" spans="6:11" x14ac:dyDescent="0.25">
      <c r="F4306" s="12"/>
      <c r="K4306" s="5"/>
    </row>
    <row r="4307" spans="6:11" x14ac:dyDescent="0.25">
      <c r="F4307" s="12"/>
      <c r="K4307" s="5"/>
    </row>
    <row r="4308" spans="6:11" x14ac:dyDescent="0.25">
      <c r="F4308" s="12"/>
      <c r="K4308" s="5"/>
    </row>
    <row r="4309" spans="6:11" x14ac:dyDescent="0.25">
      <c r="F4309" s="12"/>
      <c r="K4309" s="5"/>
    </row>
    <row r="4310" spans="6:11" x14ac:dyDescent="0.25">
      <c r="F4310" s="12"/>
      <c r="K4310" s="5"/>
    </row>
    <row r="4311" spans="6:11" x14ac:dyDescent="0.25">
      <c r="F4311" s="12"/>
      <c r="K4311" s="5"/>
    </row>
    <row r="4312" spans="6:11" x14ac:dyDescent="0.25">
      <c r="F4312" s="12"/>
      <c r="K4312" s="5"/>
    </row>
    <row r="4313" spans="6:11" x14ac:dyDescent="0.25">
      <c r="F4313" s="12"/>
      <c r="K4313" s="5"/>
    </row>
    <row r="4314" spans="6:11" x14ac:dyDescent="0.25">
      <c r="F4314" s="12"/>
      <c r="K4314" s="5"/>
    </row>
    <row r="4315" spans="6:11" x14ac:dyDescent="0.25">
      <c r="F4315" s="12"/>
      <c r="K4315" s="5"/>
    </row>
    <row r="4316" spans="6:11" x14ac:dyDescent="0.25">
      <c r="F4316" s="12"/>
      <c r="K4316" s="5"/>
    </row>
    <row r="4317" spans="6:11" x14ac:dyDescent="0.25">
      <c r="F4317" s="12"/>
      <c r="K4317" s="5"/>
    </row>
    <row r="4318" spans="6:11" x14ac:dyDescent="0.25">
      <c r="F4318" s="12"/>
      <c r="K4318" s="5"/>
    </row>
    <row r="4319" spans="6:11" x14ac:dyDescent="0.25">
      <c r="F4319" s="12"/>
      <c r="K4319" s="5"/>
    </row>
    <row r="4320" spans="6:11" x14ac:dyDescent="0.25">
      <c r="F4320" s="12"/>
      <c r="K4320" s="5"/>
    </row>
    <row r="4321" spans="6:11" x14ac:dyDescent="0.25">
      <c r="F4321" s="12"/>
      <c r="K4321" s="5"/>
    </row>
    <row r="4322" spans="6:11" x14ac:dyDescent="0.25">
      <c r="F4322" s="12"/>
      <c r="K4322" s="5"/>
    </row>
    <row r="4323" spans="6:11" x14ac:dyDescent="0.25">
      <c r="F4323" s="12"/>
      <c r="K4323" s="5"/>
    </row>
    <row r="4324" spans="6:11" x14ac:dyDescent="0.25">
      <c r="F4324" s="12"/>
      <c r="K4324" s="5"/>
    </row>
    <row r="4325" spans="6:11" x14ac:dyDescent="0.25">
      <c r="F4325" s="12"/>
      <c r="K4325" s="5"/>
    </row>
    <row r="4326" spans="6:11" x14ac:dyDescent="0.25">
      <c r="F4326" s="12"/>
      <c r="K4326" s="5"/>
    </row>
    <row r="4327" spans="6:11" x14ac:dyDescent="0.25">
      <c r="F4327" s="12"/>
      <c r="K4327" s="5"/>
    </row>
    <row r="4328" spans="6:11" x14ac:dyDescent="0.25">
      <c r="F4328" s="12"/>
      <c r="K4328" s="5"/>
    </row>
    <row r="4329" spans="6:11" x14ac:dyDescent="0.25">
      <c r="F4329" s="12"/>
      <c r="K4329" s="5"/>
    </row>
    <row r="4330" spans="6:11" x14ac:dyDescent="0.25">
      <c r="F4330" s="12"/>
      <c r="K4330" s="5"/>
    </row>
    <row r="4331" spans="6:11" x14ac:dyDescent="0.25">
      <c r="F4331" s="12"/>
      <c r="K4331" s="5"/>
    </row>
    <row r="4332" spans="6:11" x14ac:dyDescent="0.25">
      <c r="F4332" s="12"/>
      <c r="K4332" s="5"/>
    </row>
    <row r="4333" spans="6:11" x14ac:dyDescent="0.25">
      <c r="F4333" s="12"/>
      <c r="K4333" s="5"/>
    </row>
    <row r="4334" spans="6:11" x14ac:dyDescent="0.25">
      <c r="F4334" s="12"/>
      <c r="K4334" s="5"/>
    </row>
    <row r="4335" spans="6:11" x14ac:dyDescent="0.25">
      <c r="F4335" s="12"/>
      <c r="K4335" s="5"/>
    </row>
    <row r="4336" spans="6:11" x14ac:dyDescent="0.25">
      <c r="F4336" s="12"/>
      <c r="K4336" s="5"/>
    </row>
    <row r="4337" spans="6:11" x14ac:dyDescent="0.25">
      <c r="F4337" s="12"/>
      <c r="K4337" s="5"/>
    </row>
    <row r="4338" spans="6:11" x14ac:dyDescent="0.25">
      <c r="F4338" s="12"/>
      <c r="K4338" s="5"/>
    </row>
    <row r="4339" spans="6:11" x14ac:dyDescent="0.25">
      <c r="F4339" s="12"/>
      <c r="K4339" s="5"/>
    </row>
    <row r="4340" spans="6:11" x14ac:dyDescent="0.25">
      <c r="F4340" s="12"/>
      <c r="K4340" s="5"/>
    </row>
    <row r="4341" spans="6:11" x14ac:dyDescent="0.25">
      <c r="F4341" s="12"/>
      <c r="K4341" s="5"/>
    </row>
    <row r="4342" spans="6:11" x14ac:dyDescent="0.25">
      <c r="F4342" s="12"/>
      <c r="K4342" s="5"/>
    </row>
    <row r="4343" spans="6:11" x14ac:dyDescent="0.25">
      <c r="F4343" s="12"/>
      <c r="K4343" s="5"/>
    </row>
    <row r="4344" spans="6:11" x14ac:dyDescent="0.25">
      <c r="F4344" s="12"/>
      <c r="K4344" s="5"/>
    </row>
    <row r="4345" spans="6:11" x14ac:dyDescent="0.25">
      <c r="F4345" s="12"/>
      <c r="K4345" s="5"/>
    </row>
    <row r="4346" spans="6:11" x14ac:dyDescent="0.25">
      <c r="F4346" s="12"/>
      <c r="K4346" s="5"/>
    </row>
    <row r="4347" spans="6:11" x14ac:dyDescent="0.25">
      <c r="F4347" s="12"/>
      <c r="K4347" s="5"/>
    </row>
    <row r="4348" spans="6:11" x14ac:dyDescent="0.25">
      <c r="F4348" s="12"/>
      <c r="K4348" s="5"/>
    </row>
    <row r="4349" spans="6:11" x14ac:dyDescent="0.25">
      <c r="F4349" s="12"/>
      <c r="K4349" s="5"/>
    </row>
    <row r="4350" spans="6:11" x14ac:dyDescent="0.25">
      <c r="F4350" s="12"/>
      <c r="K4350" s="5"/>
    </row>
    <row r="4351" spans="6:11" x14ac:dyDescent="0.25">
      <c r="F4351" s="12"/>
      <c r="K4351" s="5"/>
    </row>
    <row r="4352" spans="6:11" x14ac:dyDescent="0.25">
      <c r="F4352" s="12"/>
      <c r="K4352" s="5"/>
    </row>
    <row r="4353" spans="6:11" x14ac:dyDescent="0.25">
      <c r="F4353" s="12"/>
      <c r="K4353" s="5"/>
    </row>
    <row r="4354" spans="6:11" x14ac:dyDescent="0.25">
      <c r="F4354" s="12"/>
      <c r="K4354" s="5"/>
    </row>
    <row r="4355" spans="6:11" x14ac:dyDescent="0.25">
      <c r="F4355" s="12"/>
      <c r="K4355" s="5"/>
    </row>
    <row r="4356" spans="6:11" x14ac:dyDescent="0.25">
      <c r="F4356" s="12"/>
      <c r="K4356" s="5"/>
    </row>
    <row r="4357" spans="6:11" x14ac:dyDescent="0.25">
      <c r="F4357" s="12"/>
      <c r="K4357" s="5"/>
    </row>
    <row r="4358" spans="6:11" x14ac:dyDescent="0.25">
      <c r="F4358" s="12"/>
      <c r="K4358" s="5"/>
    </row>
    <row r="4359" spans="6:11" x14ac:dyDescent="0.25">
      <c r="F4359" s="12"/>
      <c r="K4359" s="5"/>
    </row>
    <row r="4360" spans="6:11" x14ac:dyDescent="0.25">
      <c r="F4360" s="12"/>
      <c r="K4360" s="5"/>
    </row>
    <row r="4361" spans="6:11" x14ac:dyDescent="0.25">
      <c r="F4361" s="12"/>
      <c r="K4361" s="5"/>
    </row>
    <row r="4362" spans="6:11" x14ac:dyDescent="0.25">
      <c r="F4362" s="12"/>
      <c r="K4362" s="5"/>
    </row>
    <row r="4363" spans="6:11" x14ac:dyDescent="0.25">
      <c r="F4363" s="12"/>
      <c r="K4363" s="5"/>
    </row>
    <row r="4364" spans="6:11" x14ac:dyDescent="0.25">
      <c r="F4364" s="12"/>
      <c r="K4364" s="5"/>
    </row>
    <row r="4365" spans="6:11" x14ac:dyDescent="0.25">
      <c r="F4365" s="12"/>
      <c r="K4365" s="5"/>
    </row>
    <row r="4366" spans="6:11" x14ac:dyDescent="0.25">
      <c r="F4366" s="12"/>
      <c r="K4366" s="5"/>
    </row>
    <row r="4367" spans="6:11" x14ac:dyDescent="0.25">
      <c r="F4367" s="12"/>
      <c r="K4367" s="5"/>
    </row>
    <row r="4368" spans="6:11" x14ac:dyDescent="0.25">
      <c r="F4368" s="12"/>
      <c r="K4368" s="5"/>
    </row>
    <row r="4369" spans="6:11" x14ac:dyDescent="0.25">
      <c r="F4369" s="12"/>
      <c r="K4369" s="5"/>
    </row>
    <row r="4370" spans="6:11" x14ac:dyDescent="0.25">
      <c r="F4370" s="12"/>
      <c r="K4370" s="5"/>
    </row>
    <row r="4371" spans="6:11" x14ac:dyDescent="0.25">
      <c r="F4371" s="12"/>
      <c r="K4371" s="5"/>
    </row>
    <row r="4372" spans="6:11" x14ac:dyDescent="0.25">
      <c r="F4372" s="12"/>
      <c r="K4372" s="5"/>
    </row>
    <row r="4373" spans="6:11" x14ac:dyDescent="0.25">
      <c r="F4373" s="12"/>
      <c r="K4373" s="5"/>
    </row>
    <row r="4374" spans="6:11" x14ac:dyDescent="0.25">
      <c r="F4374" s="12"/>
      <c r="K4374" s="5"/>
    </row>
    <row r="4375" spans="6:11" x14ac:dyDescent="0.25">
      <c r="F4375" s="12"/>
      <c r="K4375" s="5"/>
    </row>
    <row r="4376" spans="6:11" x14ac:dyDescent="0.25">
      <c r="F4376" s="12"/>
      <c r="K4376" s="5"/>
    </row>
    <row r="4377" spans="6:11" x14ac:dyDescent="0.25">
      <c r="F4377" s="12"/>
      <c r="K4377" s="5"/>
    </row>
    <row r="4378" spans="6:11" x14ac:dyDescent="0.25">
      <c r="F4378" s="12"/>
      <c r="K4378" s="5"/>
    </row>
    <row r="4379" spans="6:11" x14ac:dyDescent="0.25">
      <c r="F4379" s="12"/>
      <c r="K4379" s="5"/>
    </row>
    <row r="4380" spans="6:11" x14ac:dyDescent="0.25">
      <c r="F4380" s="12"/>
      <c r="K4380" s="5"/>
    </row>
    <row r="4381" spans="6:11" x14ac:dyDescent="0.25">
      <c r="F4381" s="12"/>
      <c r="K4381" s="5"/>
    </row>
    <row r="4382" spans="6:11" x14ac:dyDescent="0.25">
      <c r="F4382" s="12"/>
      <c r="K4382" s="5"/>
    </row>
    <row r="4383" spans="6:11" x14ac:dyDescent="0.25">
      <c r="F4383" s="12"/>
      <c r="K4383" s="5"/>
    </row>
    <row r="4384" spans="6:11" x14ac:dyDescent="0.25">
      <c r="F4384" s="12"/>
      <c r="K4384" s="5"/>
    </row>
    <row r="4385" spans="6:11" x14ac:dyDescent="0.25">
      <c r="F4385" s="12"/>
      <c r="K4385" s="5"/>
    </row>
    <row r="4386" spans="6:11" x14ac:dyDescent="0.25">
      <c r="F4386" s="12"/>
      <c r="K4386" s="5"/>
    </row>
    <row r="4387" spans="6:11" x14ac:dyDescent="0.25">
      <c r="F4387" s="12"/>
      <c r="K4387" s="5"/>
    </row>
    <row r="4388" spans="6:11" x14ac:dyDescent="0.25">
      <c r="F4388" s="12"/>
      <c r="K4388" s="5"/>
    </row>
    <row r="4389" spans="6:11" x14ac:dyDescent="0.25">
      <c r="F4389" s="12"/>
      <c r="K4389" s="5"/>
    </row>
    <row r="4390" spans="6:11" x14ac:dyDescent="0.25">
      <c r="F4390" s="12"/>
      <c r="K4390" s="5"/>
    </row>
    <row r="4391" spans="6:11" x14ac:dyDescent="0.25">
      <c r="F4391" s="12"/>
      <c r="K4391" s="5"/>
    </row>
    <row r="4392" spans="6:11" x14ac:dyDescent="0.25">
      <c r="F4392" s="12"/>
      <c r="K4392" s="5"/>
    </row>
    <row r="4393" spans="6:11" x14ac:dyDescent="0.25">
      <c r="F4393" s="12"/>
      <c r="K4393" s="5"/>
    </row>
    <row r="4394" spans="6:11" x14ac:dyDescent="0.25">
      <c r="F4394" s="12"/>
      <c r="K4394" s="5"/>
    </row>
    <row r="4395" spans="6:11" x14ac:dyDescent="0.25">
      <c r="F4395" s="12"/>
      <c r="K4395" s="5"/>
    </row>
    <row r="4396" spans="6:11" x14ac:dyDescent="0.25">
      <c r="F4396" s="12"/>
      <c r="K4396" s="5"/>
    </row>
    <row r="4397" spans="6:11" x14ac:dyDescent="0.25">
      <c r="F4397" s="12"/>
      <c r="K4397" s="5"/>
    </row>
    <row r="4398" spans="6:11" x14ac:dyDescent="0.25">
      <c r="F4398" s="12"/>
      <c r="K4398" s="5"/>
    </row>
    <row r="4399" spans="6:11" x14ac:dyDescent="0.25">
      <c r="F4399" s="12"/>
      <c r="K4399" s="5"/>
    </row>
    <row r="4400" spans="6:11" x14ac:dyDescent="0.25">
      <c r="F4400" s="12"/>
      <c r="K4400" s="5"/>
    </row>
    <row r="4401" spans="6:11" x14ac:dyDescent="0.25">
      <c r="F4401" s="12"/>
      <c r="K4401" s="5"/>
    </row>
    <row r="4402" spans="6:11" x14ac:dyDescent="0.25">
      <c r="F4402" s="12"/>
      <c r="K4402" s="5"/>
    </row>
    <row r="4403" spans="6:11" x14ac:dyDescent="0.25">
      <c r="F4403" s="12"/>
      <c r="K4403" s="5"/>
    </row>
    <row r="4404" spans="6:11" x14ac:dyDescent="0.25">
      <c r="F4404" s="12"/>
      <c r="K4404" s="5"/>
    </row>
    <row r="4405" spans="6:11" x14ac:dyDescent="0.25">
      <c r="F4405" s="12"/>
      <c r="K4405" s="5"/>
    </row>
    <row r="4406" spans="6:11" x14ac:dyDescent="0.25">
      <c r="F4406" s="12"/>
      <c r="K4406" s="5"/>
    </row>
    <row r="4407" spans="6:11" x14ac:dyDescent="0.25">
      <c r="F4407" s="12"/>
      <c r="K4407" s="5"/>
    </row>
    <row r="4408" spans="6:11" x14ac:dyDescent="0.25">
      <c r="F4408" s="12"/>
      <c r="K4408" s="5"/>
    </row>
    <row r="4409" spans="6:11" x14ac:dyDescent="0.25">
      <c r="F4409" s="12"/>
      <c r="K4409" s="5"/>
    </row>
    <row r="4410" spans="6:11" x14ac:dyDescent="0.25">
      <c r="F4410" s="12"/>
      <c r="K4410" s="5"/>
    </row>
    <row r="4411" spans="6:11" x14ac:dyDescent="0.25">
      <c r="F4411" s="12"/>
      <c r="K4411" s="5"/>
    </row>
    <row r="4412" spans="6:11" x14ac:dyDescent="0.25">
      <c r="F4412" s="12"/>
      <c r="K4412" s="5"/>
    </row>
    <row r="4413" spans="6:11" x14ac:dyDescent="0.25">
      <c r="F4413" s="12"/>
      <c r="K4413" s="5"/>
    </row>
    <row r="4414" spans="6:11" x14ac:dyDescent="0.25">
      <c r="F4414" s="12"/>
      <c r="K4414" s="5"/>
    </row>
    <row r="4415" spans="6:11" x14ac:dyDescent="0.25">
      <c r="F4415" s="12"/>
      <c r="K4415" s="5"/>
    </row>
    <row r="4416" spans="6:11" x14ac:dyDescent="0.25">
      <c r="F4416" s="12"/>
      <c r="K4416" s="5"/>
    </row>
    <row r="4417" spans="6:11" x14ac:dyDescent="0.25">
      <c r="F4417" s="12"/>
      <c r="K4417" s="5"/>
    </row>
    <row r="4418" spans="6:11" x14ac:dyDescent="0.25">
      <c r="F4418" s="12"/>
      <c r="K4418" s="5"/>
    </row>
    <row r="4419" spans="6:11" x14ac:dyDescent="0.25">
      <c r="F4419" s="12"/>
      <c r="K4419" s="5"/>
    </row>
    <row r="4420" spans="6:11" x14ac:dyDescent="0.25">
      <c r="F4420" s="12"/>
      <c r="K4420" s="5"/>
    </row>
    <row r="4421" spans="6:11" x14ac:dyDescent="0.25">
      <c r="F4421" s="12"/>
      <c r="K4421" s="5"/>
    </row>
    <row r="4422" spans="6:11" x14ac:dyDescent="0.25">
      <c r="F4422" s="12"/>
      <c r="K4422" s="5"/>
    </row>
    <row r="4423" spans="6:11" x14ac:dyDescent="0.25">
      <c r="F4423" s="12"/>
      <c r="K4423" s="5"/>
    </row>
    <row r="4424" spans="6:11" x14ac:dyDescent="0.25">
      <c r="F4424" s="12"/>
      <c r="K4424" s="5"/>
    </row>
    <row r="4425" spans="6:11" x14ac:dyDescent="0.25">
      <c r="F4425" s="12"/>
      <c r="K4425" s="5"/>
    </row>
    <row r="4426" spans="6:11" x14ac:dyDescent="0.25">
      <c r="F4426" s="12"/>
      <c r="K4426" s="5"/>
    </row>
    <row r="4427" spans="6:11" x14ac:dyDescent="0.25">
      <c r="F4427" s="12"/>
      <c r="K4427" s="5"/>
    </row>
    <row r="4428" spans="6:11" x14ac:dyDescent="0.25">
      <c r="F4428" s="12"/>
      <c r="K4428" s="5"/>
    </row>
    <row r="4429" spans="6:11" x14ac:dyDescent="0.25">
      <c r="F4429" s="12"/>
      <c r="K4429" s="5"/>
    </row>
    <row r="4430" spans="6:11" x14ac:dyDescent="0.25">
      <c r="F4430" s="12"/>
      <c r="K4430" s="5"/>
    </row>
    <row r="4431" spans="6:11" x14ac:dyDescent="0.25">
      <c r="F4431" s="12"/>
      <c r="K4431" s="5"/>
    </row>
    <row r="4432" spans="6:11" x14ac:dyDescent="0.25">
      <c r="F4432" s="12"/>
      <c r="K4432" s="5"/>
    </row>
    <row r="4433" spans="6:11" x14ac:dyDescent="0.25">
      <c r="F4433" s="12"/>
      <c r="K4433" s="5"/>
    </row>
    <row r="4434" spans="6:11" x14ac:dyDescent="0.25">
      <c r="F4434" s="12"/>
      <c r="K4434" s="5"/>
    </row>
    <row r="4435" spans="6:11" x14ac:dyDescent="0.25">
      <c r="F4435" s="12"/>
      <c r="K4435" s="5"/>
    </row>
    <row r="4436" spans="6:11" x14ac:dyDescent="0.25">
      <c r="F4436" s="12"/>
      <c r="K4436" s="5"/>
    </row>
    <row r="4437" spans="6:11" x14ac:dyDescent="0.25">
      <c r="F4437" s="12"/>
      <c r="K4437" s="5"/>
    </row>
    <row r="4438" spans="6:11" x14ac:dyDescent="0.25">
      <c r="F4438" s="12"/>
      <c r="K4438" s="5"/>
    </row>
    <row r="4439" spans="6:11" x14ac:dyDescent="0.25">
      <c r="F4439" s="12"/>
      <c r="K4439" s="5"/>
    </row>
    <row r="4440" spans="6:11" x14ac:dyDescent="0.25">
      <c r="F4440" s="12"/>
      <c r="K4440" s="5"/>
    </row>
    <row r="4441" spans="6:11" x14ac:dyDescent="0.25">
      <c r="F4441" s="12"/>
      <c r="K4441" s="5"/>
    </row>
    <row r="4442" spans="6:11" x14ac:dyDescent="0.25">
      <c r="F4442" s="12"/>
      <c r="K4442" s="5"/>
    </row>
    <row r="4443" spans="6:11" x14ac:dyDescent="0.25">
      <c r="F4443" s="12"/>
      <c r="K4443" s="5"/>
    </row>
    <row r="4444" spans="6:11" x14ac:dyDescent="0.25">
      <c r="F4444" s="12"/>
      <c r="K4444" s="5"/>
    </row>
    <row r="4445" spans="6:11" x14ac:dyDescent="0.25">
      <c r="F4445" s="12"/>
      <c r="K4445" s="5"/>
    </row>
    <row r="4446" spans="6:11" x14ac:dyDescent="0.25">
      <c r="F4446" s="12"/>
      <c r="K4446" s="5"/>
    </row>
    <row r="4447" spans="6:11" x14ac:dyDescent="0.25">
      <c r="F4447" s="12"/>
      <c r="K4447" s="5"/>
    </row>
    <row r="4448" spans="6:11" x14ac:dyDescent="0.25">
      <c r="F4448" s="12"/>
      <c r="K4448" s="5"/>
    </row>
    <row r="4449" spans="6:11" x14ac:dyDescent="0.25">
      <c r="F4449" s="12"/>
      <c r="K4449" s="5"/>
    </row>
    <row r="4450" spans="6:11" x14ac:dyDescent="0.25">
      <c r="F4450" s="12"/>
      <c r="K4450" s="5"/>
    </row>
    <row r="4451" spans="6:11" x14ac:dyDescent="0.25">
      <c r="F4451" s="12"/>
      <c r="K4451" s="5"/>
    </row>
    <row r="4452" spans="6:11" x14ac:dyDescent="0.25">
      <c r="F4452" s="12"/>
      <c r="K4452" s="5"/>
    </row>
    <row r="4453" spans="6:11" x14ac:dyDescent="0.25">
      <c r="F4453" s="12"/>
      <c r="K4453" s="5"/>
    </row>
    <row r="4454" spans="6:11" x14ac:dyDescent="0.25">
      <c r="F4454" s="12"/>
      <c r="K4454" s="5"/>
    </row>
    <row r="4455" spans="6:11" x14ac:dyDescent="0.25">
      <c r="F4455" s="12"/>
      <c r="K4455" s="5"/>
    </row>
    <row r="4456" spans="6:11" x14ac:dyDescent="0.25">
      <c r="F4456" s="12"/>
      <c r="K4456" s="5"/>
    </row>
    <row r="4457" spans="6:11" x14ac:dyDescent="0.25">
      <c r="F4457" s="12"/>
      <c r="K4457" s="5"/>
    </row>
    <row r="4458" spans="6:11" x14ac:dyDescent="0.25">
      <c r="F4458" s="12"/>
      <c r="K4458" s="5"/>
    </row>
    <row r="4459" spans="6:11" x14ac:dyDescent="0.25">
      <c r="F4459" s="12"/>
      <c r="K4459" s="5"/>
    </row>
    <row r="4460" spans="6:11" x14ac:dyDescent="0.25">
      <c r="F4460" s="12"/>
      <c r="K4460" s="5"/>
    </row>
    <row r="4461" spans="6:11" x14ac:dyDescent="0.25">
      <c r="F4461" s="12"/>
      <c r="K4461" s="5"/>
    </row>
    <row r="4462" spans="6:11" x14ac:dyDescent="0.25">
      <c r="F4462" s="12"/>
      <c r="K4462" s="5"/>
    </row>
    <row r="4463" spans="6:11" x14ac:dyDescent="0.25">
      <c r="F4463" s="12"/>
      <c r="K4463" s="5"/>
    </row>
    <row r="4464" spans="6:11" x14ac:dyDescent="0.25">
      <c r="F4464" s="12"/>
      <c r="K4464" s="5"/>
    </row>
    <row r="4465" spans="6:11" x14ac:dyDescent="0.25">
      <c r="F4465" s="12"/>
      <c r="K4465" s="5"/>
    </row>
    <row r="4466" spans="6:11" x14ac:dyDescent="0.25">
      <c r="F4466" s="12"/>
      <c r="K4466" s="5"/>
    </row>
    <row r="4467" spans="6:11" x14ac:dyDescent="0.25">
      <c r="F4467" s="12"/>
      <c r="K4467" s="5"/>
    </row>
    <row r="4468" spans="6:11" x14ac:dyDescent="0.25">
      <c r="F4468" s="12"/>
      <c r="K4468" s="5"/>
    </row>
    <row r="4469" spans="6:11" x14ac:dyDescent="0.25">
      <c r="F4469" s="12"/>
      <c r="K4469" s="5"/>
    </row>
    <row r="4470" spans="6:11" x14ac:dyDescent="0.25">
      <c r="F4470" s="12"/>
      <c r="K4470" s="5"/>
    </row>
    <row r="4471" spans="6:11" x14ac:dyDescent="0.25">
      <c r="F4471" s="12"/>
      <c r="K4471" s="5"/>
    </row>
    <row r="4472" spans="6:11" x14ac:dyDescent="0.25">
      <c r="F4472" s="12"/>
      <c r="K4472" s="5"/>
    </row>
    <row r="4473" spans="6:11" x14ac:dyDescent="0.25">
      <c r="F4473" s="12"/>
      <c r="K4473" s="5"/>
    </row>
    <row r="4474" spans="6:11" x14ac:dyDescent="0.25">
      <c r="F4474" s="12"/>
      <c r="K4474" s="5"/>
    </row>
    <row r="4475" spans="6:11" x14ac:dyDescent="0.25">
      <c r="F4475" s="12"/>
      <c r="K4475" s="5"/>
    </row>
    <row r="4476" spans="6:11" x14ac:dyDescent="0.25">
      <c r="F4476" s="12"/>
      <c r="K4476" s="5"/>
    </row>
    <row r="4477" spans="6:11" x14ac:dyDescent="0.25">
      <c r="F4477" s="12"/>
      <c r="K4477" s="5"/>
    </row>
    <row r="4478" spans="6:11" x14ac:dyDescent="0.25">
      <c r="F4478" s="12"/>
      <c r="K4478" s="5"/>
    </row>
    <row r="4479" spans="6:11" x14ac:dyDescent="0.25">
      <c r="F4479" s="12"/>
      <c r="K4479" s="5"/>
    </row>
    <row r="4480" spans="6:11" x14ac:dyDescent="0.25">
      <c r="F4480" s="12"/>
      <c r="K4480" s="5"/>
    </row>
    <row r="4481" spans="6:11" x14ac:dyDescent="0.25">
      <c r="F4481" s="12"/>
      <c r="K4481" s="5"/>
    </row>
    <row r="4482" spans="6:11" x14ac:dyDescent="0.25">
      <c r="F4482" s="12"/>
      <c r="K4482" s="5"/>
    </row>
    <row r="4483" spans="6:11" x14ac:dyDescent="0.25">
      <c r="F4483" s="12"/>
      <c r="K4483" s="5"/>
    </row>
    <row r="4484" spans="6:11" x14ac:dyDescent="0.25">
      <c r="F4484" s="12"/>
      <c r="K4484" s="5"/>
    </row>
    <row r="4485" spans="6:11" x14ac:dyDescent="0.25">
      <c r="F4485" s="12"/>
      <c r="K4485" s="5"/>
    </row>
    <row r="4486" spans="6:11" x14ac:dyDescent="0.25">
      <c r="F4486" s="12"/>
      <c r="K4486" s="5"/>
    </row>
    <row r="4487" spans="6:11" x14ac:dyDescent="0.25">
      <c r="F4487" s="12"/>
      <c r="K4487" s="5"/>
    </row>
    <row r="4488" spans="6:11" x14ac:dyDescent="0.25">
      <c r="F4488" s="12"/>
      <c r="K4488" s="5"/>
    </row>
    <row r="4489" spans="6:11" x14ac:dyDescent="0.25">
      <c r="F4489" s="12"/>
      <c r="K4489" s="5"/>
    </row>
    <row r="4490" spans="6:11" x14ac:dyDescent="0.25">
      <c r="F4490" s="12"/>
      <c r="K4490" s="5"/>
    </row>
    <row r="4491" spans="6:11" x14ac:dyDescent="0.25">
      <c r="F4491" s="12"/>
      <c r="K4491" s="5"/>
    </row>
    <row r="4492" spans="6:11" x14ac:dyDescent="0.25">
      <c r="F4492" s="12"/>
      <c r="K4492" s="5"/>
    </row>
    <row r="4493" spans="6:11" x14ac:dyDescent="0.25">
      <c r="F4493" s="12"/>
      <c r="K4493" s="5"/>
    </row>
    <row r="4494" spans="6:11" x14ac:dyDescent="0.25">
      <c r="F4494" s="12"/>
      <c r="K4494" s="5"/>
    </row>
    <row r="4495" spans="6:11" x14ac:dyDescent="0.25">
      <c r="F4495" s="12"/>
      <c r="K4495" s="5"/>
    </row>
    <row r="4496" spans="6:11" x14ac:dyDescent="0.25">
      <c r="F4496" s="12"/>
      <c r="K4496" s="5"/>
    </row>
    <row r="4497" spans="6:11" x14ac:dyDescent="0.25">
      <c r="F4497" s="12"/>
      <c r="K4497" s="5"/>
    </row>
    <row r="4498" spans="6:11" x14ac:dyDescent="0.25">
      <c r="F4498" s="12"/>
      <c r="K4498" s="5"/>
    </row>
    <row r="4499" spans="6:11" x14ac:dyDescent="0.25">
      <c r="F4499" s="12"/>
      <c r="K4499" s="5"/>
    </row>
    <row r="4500" spans="6:11" x14ac:dyDescent="0.25">
      <c r="F4500" s="12"/>
      <c r="K4500" s="5"/>
    </row>
    <row r="4501" spans="6:11" x14ac:dyDescent="0.25">
      <c r="F4501" s="12"/>
      <c r="K4501" s="5"/>
    </row>
    <row r="4502" spans="6:11" x14ac:dyDescent="0.25">
      <c r="F4502" s="12"/>
      <c r="K4502" s="5"/>
    </row>
    <row r="4503" spans="6:11" x14ac:dyDescent="0.25">
      <c r="F4503" s="12"/>
      <c r="K4503" s="5"/>
    </row>
    <row r="4504" spans="6:11" x14ac:dyDescent="0.25">
      <c r="F4504" s="12"/>
      <c r="K4504" s="5"/>
    </row>
    <row r="4505" spans="6:11" x14ac:dyDescent="0.25">
      <c r="F4505" s="12"/>
      <c r="K4505" s="5"/>
    </row>
    <row r="4506" spans="6:11" x14ac:dyDescent="0.25">
      <c r="F4506" s="12"/>
      <c r="K4506" s="5"/>
    </row>
    <row r="4507" spans="6:11" x14ac:dyDescent="0.25">
      <c r="F4507" s="12"/>
      <c r="K4507" s="5"/>
    </row>
    <row r="4508" spans="6:11" x14ac:dyDescent="0.25">
      <c r="F4508" s="12"/>
      <c r="K4508" s="5"/>
    </row>
    <row r="4509" spans="6:11" x14ac:dyDescent="0.25">
      <c r="F4509" s="12"/>
      <c r="K4509" s="5"/>
    </row>
    <row r="4510" spans="6:11" x14ac:dyDescent="0.25">
      <c r="F4510" s="12"/>
      <c r="K4510" s="5"/>
    </row>
    <row r="4511" spans="6:11" x14ac:dyDescent="0.25">
      <c r="F4511" s="12"/>
      <c r="K4511" s="5"/>
    </row>
    <row r="4512" spans="6:11" x14ac:dyDescent="0.25">
      <c r="F4512" s="12"/>
      <c r="K4512" s="5"/>
    </row>
    <row r="4513" spans="6:11" x14ac:dyDescent="0.25">
      <c r="F4513" s="12"/>
      <c r="K4513" s="5"/>
    </row>
    <row r="4514" spans="6:11" x14ac:dyDescent="0.25">
      <c r="F4514" s="12"/>
      <c r="K4514" s="5"/>
    </row>
    <row r="4515" spans="6:11" x14ac:dyDescent="0.25">
      <c r="F4515" s="12"/>
      <c r="K4515" s="5"/>
    </row>
    <row r="4516" spans="6:11" x14ac:dyDescent="0.25">
      <c r="F4516" s="12"/>
      <c r="K4516" s="5"/>
    </row>
    <row r="4517" spans="6:11" x14ac:dyDescent="0.25">
      <c r="F4517" s="12"/>
      <c r="K4517" s="5"/>
    </row>
    <row r="4518" spans="6:11" x14ac:dyDescent="0.25">
      <c r="F4518" s="12"/>
      <c r="K4518" s="5"/>
    </row>
    <row r="4519" spans="6:11" x14ac:dyDescent="0.25">
      <c r="F4519" s="12"/>
      <c r="K4519" s="5"/>
    </row>
    <row r="4520" spans="6:11" x14ac:dyDescent="0.25">
      <c r="F4520" s="12"/>
      <c r="K4520" s="5"/>
    </row>
    <row r="4521" spans="6:11" x14ac:dyDescent="0.25">
      <c r="F4521" s="12"/>
      <c r="K4521" s="5"/>
    </row>
    <row r="4522" spans="6:11" x14ac:dyDescent="0.25">
      <c r="F4522" s="12"/>
      <c r="K4522" s="5"/>
    </row>
    <row r="4523" spans="6:11" x14ac:dyDescent="0.25">
      <c r="F4523" s="12"/>
      <c r="K4523" s="5"/>
    </row>
    <row r="4524" spans="6:11" x14ac:dyDescent="0.25">
      <c r="F4524" s="12"/>
      <c r="K4524" s="5"/>
    </row>
    <row r="4525" spans="6:11" x14ac:dyDescent="0.25">
      <c r="F4525" s="12"/>
      <c r="K4525" s="5"/>
    </row>
    <row r="4526" spans="6:11" x14ac:dyDescent="0.25">
      <c r="F4526" s="12"/>
      <c r="K4526" s="5"/>
    </row>
    <row r="4527" spans="6:11" x14ac:dyDescent="0.25">
      <c r="F4527" s="12"/>
      <c r="K4527" s="5"/>
    </row>
    <row r="4528" spans="6:11" x14ac:dyDescent="0.25">
      <c r="F4528" s="12"/>
      <c r="K4528" s="5"/>
    </row>
    <row r="4529" spans="6:11" x14ac:dyDescent="0.25">
      <c r="F4529" s="12"/>
      <c r="K4529" s="5"/>
    </row>
    <row r="4530" spans="6:11" x14ac:dyDescent="0.25">
      <c r="F4530" s="12"/>
      <c r="K4530" s="5"/>
    </row>
    <row r="4531" spans="6:11" x14ac:dyDescent="0.25">
      <c r="F4531" s="12"/>
      <c r="K4531" s="5"/>
    </row>
    <row r="4532" spans="6:11" x14ac:dyDescent="0.25">
      <c r="F4532" s="12"/>
      <c r="K4532" s="5"/>
    </row>
    <row r="4533" spans="6:11" x14ac:dyDescent="0.25">
      <c r="F4533" s="12"/>
      <c r="K4533" s="5"/>
    </row>
    <row r="4534" spans="6:11" x14ac:dyDescent="0.25">
      <c r="F4534" s="12"/>
      <c r="K4534" s="5"/>
    </row>
    <row r="4535" spans="6:11" x14ac:dyDescent="0.25">
      <c r="F4535" s="12"/>
      <c r="K4535" s="5"/>
    </row>
    <row r="4536" spans="6:11" x14ac:dyDescent="0.25">
      <c r="F4536" s="12"/>
      <c r="K4536" s="5"/>
    </row>
    <row r="4537" spans="6:11" x14ac:dyDescent="0.25">
      <c r="F4537" s="12"/>
      <c r="K4537" s="5"/>
    </row>
    <row r="4538" spans="6:11" x14ac:dyDescent="0.25">
      <c r="F4538" s="12"/>
      <c r="K4538" s="5"/>
    </row>
    <row r="4539" spans="6:11" x14ac:dyDescent="0.25">
      <c r="F4539" s="12"/>
      <c r="K4539" s="5"/>
    </row>
    <row r="4540" spans="6:11" x14ac:dyDescent="0.25">
      <c r="F4540" s="12"/>
      <c r="K4540" s="5"/>
    </row>
    <row r="4541" spans="6:11" x14ac:dyDescent="0.25">
      <c r="F4541" s="12"/>
      <c r="K4541" s="5"/>
    </row>
    <row r="4542" spans="6:11" x14ac:dyDescent="0.25">
      <c r="F4542" s="12"/>
      <c r="K4542" s="5"/>
    </row>
    <row r="4543" spans="6:11" x14ac:dyDescent="0.25">
      <c r="F4543" s="12"/>
      <c r="K4543" s="5"/>
    </row>
    <row r="4544" spans="6:11" x14ac:dyDescent="0.25">
      <c r="F4544" s="12"/>
      <c r="K4544" s="5"/>
    </row>
    <row r="4545" spans="6:11" x14ac:dyDescent="0.25">
      <c r="F4545" s="12"/>
      <c r="K4545" s="5"/>
    </row>
    <row r="4546" spans="6:11" x14ac:dyDescent="0.25">
      <c r="F4546" s="12"/>
      <c r="K4546" s="5"/>
    </row>
    <row r="4547" spans="6:11" x14ac:dyDescent="0.25">
      <c r="F4547" s="12"/>
      <c r="K4547" s="5"/>
    </row>
    <row r="4548" spans="6:11" x14ac:dyDescent="0.25">
      <c r="F4548" s="12"/>
      <c r="K4548" s="5"/>
    </row>
    <row r="4549" spans="6:11" x14ac:dyDescent="0.25">
      <c r="F4549" s="12"/>
      <c r="K4549" s="5"/>
    </row>
    <row r="4550" spans="6:11" x14ac:dyDescent="0.25">
      <c r="F4550" s="12"/>
      <c r="K4550" s="5"/>
    </row>
    <row r="4551" spans="6:11" x14ac:dyDescent="0.25">
      <c r="F4551" s="12"/>
      <c r="K4551" s="5"/>
    </row>
    <row r="4552" spans="6:11" x14ac:dyDescent="0.25">
      <c r="F4552" s="12"/>
      <c r="K4552" s="5"/>
    </row>
    <row r="4553" spans="6:11" x14ac:dyDescent="0.25">
      <c r="F4553" s="12"/>
      <c r="K4553" s="5"/>
    </row>
    <row r="4554" spans="6:11" x14ac:dyDescent="0.25">
      <c r="F4554" s="12"/>
      <c r="K4554" s="5"/>
    </row>
    <row r="4555" spans="6:11" x14ac:dyDescent="0.25">
      <c r="F4555" s="12"/>
      <c r="K4555" s="5"/>
    </row>
    <row r="4556" spans="6:11" x14ac:dyDescent="0.25">
      <c r="F4556" s="12"/>
      <c r="K4556" s="5"/>
    </row>
    <row r="4557" spans="6:11" x14ac:dyDescent="0.25">
      <c r="F4557" s="12"/>
      <c r="K4557" s="5"/>
    </row>
    <row r="4558" spans="6:11" x14ac:dyDescent="0.25">
      <c r="F4558" s="12"/>
      <c r="K4558" s="5"/>
    </row>
    <row r="4559" spans="6:11" x14ac:dyDescent="0.25">
      <c r="F4559" s="12"/>
      <c r="K4559" s="5"/>
    </row>
    <row r="4560" spans="6:11" x14ac:dyDescent="0.25">
      <c r="F4560" s="12"/>
      <c r="K4560" s="5"/>
    </row>
    <row r="4561" spans="6:11" x14ac:dyDescent="0.25">
      <c r="F4561" s="12"/>
      <c r="K4561" s="5"/>
    </row>
    <row r="4562" spans="6:11" x14ac:dyDescent="0.25">
      <c r="F4562" s="12"/>
      <c r="K4562" s="5"/>
    </row>
    <row r="4563" spans="6:11" x14ac:dyDescent="0.25">
      <c r="F4563" s="12"/>
      <c r="K4563" s="5"/>
    </row>
    <row r="4564" spans="6:11" x14ac:dyDescent="0.25">
      <c r="F4564" s="12"/>
      <c r="K4564" s="5"/>
    </row>
    <row r="4565" spans="6:11" x14ac:dyDescent="0.25">
      <c r="F4565" s="12"/>
      <c r="K4565" s="5"/>
    </row>
    <row r="4566" spans="6:11" x14ac:dyDescent="0.25">
      <c r="F4566" s="12"/>
      <c r="K4566" s="5"/>
    </row>
    <row r="4567" spans="6:11" x14ac:dyDescent="0.25">
      <c r="F4567" s="12"/>
      <c r="K4567" s="5"/>
    </row>
    <row r="4568" spans="6:11" x14ac:dyDescent="0.25">
      <c r="F4568" s="12"/>
      <c r="K4568" s="5"/>
    </row>
    <row r="4569" spans="6:11" x14ac:dyDescent="0.25">
      <c r="F4569" s="12"/>
      <c r="K4569" s="5"/>
    </row>
    <row r="4570" spans="6:11" x14ac:dyDescent="0.25">
      <c r="F4570" s="12"/>
      <c r="K4570" s="5"/>
    </row>
    <row r="4571" spans="6:11" x14ac:dyDescent="0.25">
      <c r="F4571" s="12"/>
      <c r="K4571" s="5"/>
    </row>
    <row r="4572" spans="6:11" x14ac:dyDescent="0.25">
      <c r="F4572" s="12"/>
      <c r="K4572" s="5"/>
    </row>
    <row r="4573" spans="6:11" x14ac:dyDescent="0.25">
      <c r="F4573" s="12"/>
      <c r="K4573" s="5"/>
    </row>
    <row r="4574" spans="6:11" x14ac:dyDescent="0.25">
      <c r="F4574" s="12"/>
      <c r="K4574" s="5"/>
    </row>
    <row r="4575" spans="6:11" x14ac:dyDescent="0.25">
      <c r="F4575" s="12"/>
      <c r="K4575" s="5"/>
    </row>
    <row r="4576" spans="6:11" x14ac:dyDescent="0.25">
      <c r="F4576" s="12"/>
      <c r="K4576" s="5"/>
    </row>
    <row r="4577" spans="6:11" x14ac:dyDescent="0.25">
      <c r="F4577" s="12"/>
      <c r="K4577" s="5"/>
    </row>
    <row r="4578" spans="6:11" x14ac:dyDescent="0.25">
      <c r="F4578" s="12"/>
      <c r="K4578" s="5"/>
    </row>
    <row r="4579" spans="6:11" x14ac:dyDescent="0.25">
      <c r="F4579" s="12"/>
      <c r="K4579" s="5"/>
    </row>
    <row r="4580" spans="6:11" x14ac:dyDescent="0.25">
      <c r="F4580" s="12"/>
      <c r="K4580" s="5"/>
    </row>
    <row r="4581" spans="6:11" x14ac:dyDescent="0.25">
      <c r="F4581" s="12"/>
      <c r="K4581" s="5"/>
    </row>
    <row r="4582" spans="6:11" x14ac:dyDescent="0.25">
      <c r="F4582" s="12"/>
      <c r="K4582" s="5"/>
    </row>
    <row r="4583" spans="6:11" x14ac:dyDescent="0.25">
      <c r="F4583" s="12"/>
      <c r="K4583" s="5"/>
    </row>
    <row r="4584" spans="6:11" x14ac:dyDescent="0.25">
      <c r="F4584" s="12"/>
      <c r="K4584" s="5"/>
    </row>
    <row r="4585" spans="6:11" x14ac:dyDescent="0.25">
      <c r="F4585" s="12"/>
      <c r="K4585" s="5"/>
    </row>
    <row r="4586" spans="6:11" x14ac:dyDescent="0.25">
      <c r="F4586" s="12"/>
      <c r="K4586" s="5"/>
    </row>
    <row r="4587" spans="6:11" x14ac:dyDescent="0.25">
      <c r="F4587" s="12"/>
      <c r="K4587" s="5"/>
    </row>
    <row r="4588" spans="6:11" x14ac:dyDescent="0.25">
      <c r="F4588" s="12"/>
      <c r="K4588" s="5"/>
    </row>
    <row r="4589" spans="6:11" x14ac:dyDescent="0.25">
      <c r="F4589" s="12"/>
      <c r="K4589" s="5"/>
    </row>
    <row r="4590" spans="6:11" x14ac:dyDescent="0.25">
      <c r="F4590" s="12"/>
      <c r="K4590" s="5"/>
    </row>
    <row r="4591" spans="6:11" x14ac:dyDescent="0.25">
      <c r="F4591" s="12"/>
      <c r="K4591" s="5"/>
    </row>
    <row r="4592" spans="6:11" x14ac:dyDescent="0.25">
      <c r="F4592" s="12"/>
      <c r="K4592" s="5"/>
    </row>
    <row r="4593" spans="6:11" x14ac:dyDescent="0.25">
      <c r="F4593" s="12"/>
      <c r="K4593" s="5"/>
    </row>
    <row r="4594" spans="6:11" x14ac:dyDescent="0.25">
      <c r="F4594" s="12"/>
      <c r="K4594" s="5"/>
    </row>
    <row r="4595" spans="6:11" x14ac:dyDescent="0.25">
      <c r="F4595" s="12"/>
      <c r="K4595" s="5"/>
    </row>
    <row r="4596" spans="6:11" x14ac:dyDescent="0.25">
      <c r="F4596" s="12"/>
      <c r="K4596" s="5"/>
    </row>
    <row r="4597" spans="6:11" x14ac:dyDescent="0.25">
      <c r="F4597" s="12"/>
      <c r="K4597" s="5"/>
    </row>
    <row r="4598" spans="6:11" x14ac:dyDescent="0.25">
      <c r="F4598" s="12"/>
      <c r="K4598" s="5"/>
    </row>
    <row r="4599" spans="6:11" x14ac:dyDescent="0.25">
      <c r="F4599" s="12"/>
      <c r="K4599" s="5"/>
    </row>
    <row r="4600" spans="6:11" x14ac:dyDescent="0.25">
      <c r="F4600" s="12"/>
      <c r="K4600" s="5"/>
    </row>
    <row r="4601" spans="6:11" x14ac:dyDescent="0.25">
      <c r="F4601" s="12"/>
      <c r="K4601" s="5"/>
    </row>
    <row r="4602" spans="6:11" x14ac:dyDescent="0.25">
      <c r="F4602" s="12"/>
      <c r="K4602" s="5"/>
    </row>
    <row r="4603" spans="6:11" x14ac:dyDescent="0.25">
      <c r="F4603" s="12"/>
      <c r="K4603" s="5"/>
    </row>
    <row r="4604" spans="6:11" x14ac:dyDescent="0.25">
      <c r="F4604" s="12"/>
      <c r="K4604" s="5"/>
    </row>
    <row r="4605" spans="6:11" x14ac:dyDescent="0.25">
      <c r="F4605" s="12"/>
      <c r="K4605" s="5"/>
    </row>
    <row r="4606" spans="6:11" x14ac:dyDescent="0.25">
      <c r="F4606" s="12"/>
      <c r="K4606" s="5"/>
    </row>
    <row r="4607" spans="6:11" x14ac:dyDescent="0.25">
      <c r="F4607" s="12"/>
      <c r="K4607" s="5"/>
    </row>
    <row r="4608" spans="6:11" x14ac:dyDescent="0.25">
      <c r="F4608" s="12"/>
      <c r="K4608" s="5"/>
    </row>
    <row r="4609" spans="6:11" x14ac:dyDescent="0.25">
      <c r="F4609" s="12"/>
      <c r="K4609" s="5"/>
    </row>
    <row r="4610" spans="6:11" x14ac:dyDescent="0.25">
      <c r="F4610" s="12"/>
      <c r="K4610" s="5"/>
    </row>
    <row r="4611" spans="6:11" x14ac:dyDescent="0.25">
      <c r="F4611" s="12"/>
      <c r="K4611" s="5"/>
    </row>
    <row r="4612" spans="6:11" x14ac:dyDescent="0.25">
      <c r="F4612" s="12"/>
      <c r="K4612" s="5"/>
    </row>
    <row r="4613" spans="6:11" x14ac:dyDescent="0.25">
      <c r="F4613" s="12"/>
      <c r="K4613" s="5"/>
    </row>
    <row r="4614" spans="6:11" x14ac:dyDescent="0.25">
      <c r="F4614" s="12"/>
      <c r="K4614" s="5"/>
    </row>
    <row r="4615" spans="6:11" x14ac:dyDescent="0.25">
      <c r="F4615" s="12"/>
      <c r="K4615" s="5"/>
    </row>
    <row r="4616" spans="6:11" x14ac:dyDescent="0.25">
      <c r="F4616" s="12"/>
      <c r="K4616" s="5"/>
    </row>
    <row r="4617" spans="6:11" x14ac:dyDescent="0.25">
      <c r="F4617" s="12"/>
      <c r="K4617" s="5"/>
    </row>
    <row r="4618" spans="6:11" x14ac:dyDescent="0.25">
      <c r="F4618" s="12"/>
      <c r="K4618" s="5"/>
    </row>
    <row r="4619" spans="6:11" x14ac:dyDescent="0.25">
      <c r="F4619" s="12"/>
      <c r="K4619" s="5"/>
    </row>
    <row r="4620" spans="6:11" x14ac:dyDescent="0.25">
      <c r="F4620" s="12"/>
      <c r="K4620" s="5"/>
    </row>
    <row r="4621" spans="6:11" x14ac:dyDescent="0.25">
      <c r="F4621" s="12"/>
      <c r="K4621" s="5"/>
    </row>
    <row r="4622" spans="6:11" x14ac:dyDescent="0.25">
      <c r="F4622" s="12"/>
      <c r="K4622" s="5"/>
    </row>
    <row r="4623" spans="6:11" x14ac:dyDescent="0.25">
      <c r="F4623" s="12"/>
      <c r="K4623" s="5"/>
    </row>
    <row r="4624" spans="6:11" x14ac:dyDescent="0.25">
      <c r="F4624" s="12"/>
      <c r="K4624" s="5"/>
    </row>
    <row r="4625" spans="6:11" x14ac:dyDescent="0.25">
      <c r="F4625" s="12"/>
      <c r="K4625" s="5"/>
    </row>
    <row r="4626" spans="6:11" x14ac:dyDescent="0.25">
      <c r="F4626" s="12"/>
      <c r="K4626" s="5"/>
    </row>
    <row r="4627" spans="6:11" x14ac:dyDescent="0.25">
      <c r="F4627" s="12"/>
      <c r="K4627" s="5"/>
    </row>
    <row r="4628" spans="6:11" x14ac:dyDescent="0.25">
      <c r="F4628" s="12"/>
      <c r="K4628" s="5"/>
    </row>
    <row r="4629" spans="6:11" x14ac:dyDescent="0.25">
      <c r="F4629" s="12"/>
      <c r="K4629" s="5"/>
    </row>
    <row r="4630" spans="6:11" x14ac:dyDescent="0.25">
      <c r="F4630" s="12"/>
      <c r="K4630" s="5"/>
    </row>
    <row r="4631" spans="6:11" x14ac:dyDescent="0.25">
      <c r="F4631" s="12"/>
      <c r="K4631" s="5"/>
    </row>
    <row r="4632" spans="6:11" x14ac:dyDescent="0.25">
      <c r="F4632" s="12"/>
      <c r="K4632" s="5"/>
    </row>
    <row r="4633" spans="6:11" x14ac:dyDescent="0.25">
      <c r="F4633" s="12"/>
      <c r="K4633" s="5"/>
    </row>
    <row r="4634" spans="6:11" x14ac:dyDescent="0.25">
      <c r="F4634" s="12"/>
      <c r="K4634" s="5"/>
    </row>
    <row r="4635" spans="6:11" x14ac:dyDescent="0.25">
      <c r="F4635" s="12"/>
      <c r="K4635" s="5"/>
    </row>
    <row r="4636" spans="6:11" x14ac:dyDescent="0.25">
      <c r="F4636" s="12"/>
      <c r="K4636" s="5"/>
    </row>
    <row r="4637" spans="6:11" x14ac:dyDescent="0.25">
      <c r="F4637" s="12"/>
      <c r="K4637" s="5"/>
    </row>
    <row r="4638" spans="6:11" x14ac:dyDescent="0.25">
      <c r="F4638" s="12"/>
      <c r="K4638" s="5"/>
    </row>
    <row r="4639" spans="6:11" x14ac:dyDescent="0.25">
      <c r="F4639" s="12"/>
      <c r="K4639" s="5"/>
    </row>
    <row r="4640" spans="6:11" x14ac:dyDescent="0.25">
      <c r="F4640" s="12"/>
      <c r="K4640" s="5"/>
    </row>
    <row r="4641" spans="6:11" x14ac:dyDescent="0.25">
      <c r="F4641" s="12"/>
      <c r="K4641" s="5"/>
    </row>
    <row r="4642" spans="6:11" x14ac:dyDescent="0.25">
      <c r="F4642" s="12"/>
      <c r="K4642" s="5"/>
    </row>
    <row r="4643" spans="6:11" x14ac:dyDescent="0.25">
      <c r="F4643" s="12"/>
      <c r="K4643" s="5"/>
    </row>
    <row r="4644" spans="6:11" x14ac:dyDescent="0.25">
      <c r="F4644" s="12"/>
      <c r="K4644" s="5"/>
    </row>
    <row r="4645" spans="6:11" x14ac:dyDescent="0.25">
      <c r="F4645" s="12"/>
      <c r="K4645" s="5"/>
    </row>
    <row r="4646" spans="6:11" x14ac:dyDescent="0.25">
      <c r="F4646" s="12"/>
      <c r="K4646" s="5"/>
    </row>
    <row r="4647" spans="6:11" x14ac:dyDescent="0.25">
      <c r="F4647" s="12"/>
      <c r="K4647" s="5"/>
    </row>
    <row r="4648" spans="6:11" x14ac:dyDescent="0.25">
      <c r="F4648" s="12"/>
      <c r="K4648" s="5"/>
    </row>
    <row r="4649" spans="6:11" x14ac:dyDescent="0.25">
      <c r="F4649" s="12"/>
      <c r="K4649" s="5"/>
    </row>
    <row r="4650" spans="6:11" x14ac:dyDescent="0.25">
      <c r="F4650" s="12"/>
      <c r="K4650" s="5"/>
    </row>
    <row r="4651" spans="6:11" x14ac:dyDescent="0.25">
      <c r="F4651" s="12"/>
      <c r="K4651" s="5"/>
    </row>
    <row r="4652" spans="6:11" x14ac:dyDescent="0.25">
      <c r="F4652" s="12"/>
      <c r="K4652" s="5"/>
    </row>
    <row r="4653" spans="6:11" x14ac:dyDescent="0.25">
      <c r="F4653" s="12"/>
      <c r="K4653" s="5"/>
    </row>
    <row r="4654" spans="6:11" x14ac:dyDescent="0.25">
      <c r="F4654" s="12"/>
      <c r="K4654" s="5"/>
    </row>
    <row r="4655" spans="6:11" x14ac:dyDescent="0.25">
      <c r="F4655" s="12"/>
      <c r="K4655" s="5"/>
    </row>
    <row r="4656" spans="6:11" x14ac:dyDescent="0.25">
      <c r="F4656" s="12"/>
      <c r="K4656" s="5"/>
    </row>
    <row r="4657" spans="6:11" x14ac:dyDescent="0.25">
      <c r="F4657" s="12"/>
      <c r="K4657" s="5"/>
    </row>
    <row r="4658" spans="6:11" x14ac:dyDescent="0.25">
      <c r="F4658" s="12"/>
      <c r="K4658" s="5"/>
    </row>
    <row r="4659" spans="6:11" x14ac:dyDescent="0.25">
      <c r="F4659" s="12"/>
      <c r="K4659" s="5"/>
    </row>
    <row r="4660" spans="6:11" x14ac:dyDescent="0.25">
      <c r="F4660" s="12"/>
      <c r="K4660" s="5"/>
    </row>
    <row r="4661" spans="6:11" x14ac:dyDescent="0.25">
      <c r="F4661" s="12"/>
      <c r="K4661" s="5"/>
    </row>
    <row r="4662" spans="6:11" x14ac:dyDescent="0.25">
      <c r="F4662" s="12"/>
      <c r="K4662" s="5"/>
    </row>
    <row r="4663" spans="6:11" x14ac:dyDescent="0.25">
      <c r="F4663" s="12"/>
      <c r="K4663" s="5"/>
    </row>
    <row r="4664" spans="6:11" x14ac:dyDescent="0.25">
      <c r="F4664" s="12"/>
      <c r="K4664" s="5"/>
    </row>
    <row r="4665" spans="6:11" x14ac:dyDescent="0.25">
      <c r="F4665" s="12"/>
      <c r="K4665" s="5"/>
    </row>
    <row r="4666" spans="6:11" x14ac:dyDescent="0.25">
      <c r="F4666" s="12"/>
      <c r="K4666" s="5"/>
    </row>
    <row r="4667" spans="6:11" x14ac:dyDescent="0.25">
      <c r="F4667" s="12"/>
      <c r="K4667" s="5"/>
    </row>
    <row r="4668" spans="6:11" x14ac:dyDescent="0.25">
      <c r="F4668" s="12"/>
      <c r="K4668" s="5"/>
    </row>
    <row r="4669" spans="6:11" x14ac:dyDescent="0.25">
      <c r="F4669" s="12"/>
      <c r="K4669" s="5"/>
    </row>
    <row r="4670" spans="6:11" x14ac:dyDescent="0.25">
      <c r="F4670" s="12"/>
      <c r="K4670" s="5"/>
    </row>
    <row r="4671" spans="6:11" x14ac:dyDescent="0.25">
      <c r="F4671" s="12"/>
      <c r="K4671" s="5"/>
    </row>
    <row r="4672" spans="6:11" x14ac:dyDescent="0.25">
      <c r="F4672" s="12"/>
      <c r="K4672" s="5"/>
    </row>
    <row r="4673" spans="6:11" x14ac:dyDescent="0.25">
      <c r="F4673" s="12"/>
      <c r="K4673" s="5"/>
    </row>
    <row r="4674" spans="6:11" x14ac:dyDescent="0.25">
      <c r="F4674" s="12"/>
      <c r="K4674" s="5"/>
    </row>
    <row r="4675" spans="6:11" x14ac:dyDescent="0.25">
      <c r="F4675" s="12"/>
      <c r="K4675" s="5"/>
    </row>
    <row r="4676" spans="6:11" x14ac:dyDescent="0.25">
      <c r="F4676" s="12"/>
      <c r="K4676" s="5"/>
    </row>
    <row r="4677" spans="6:11" x14ac:dyDescent="0.25">
      <c r="F4677" s="12"/>
      <c r="K4677" s="5"/>
    </row>
    <row r="4678" spans="6:11" x14ac:dyDescent="0.25">
      <c r="F4678" s="12"/>
      <c r="K4678" s="5"/>
    </row>
    <row r="4679" spans="6:11" x14ac:dyDescent="0.25">
      <c r="F4679" s="12"/>
      <c r="K4679" s="5"/>
    </row>
    <row r="4680" spans="6:11" x14ac:dyDescent="0.25">
      <c r="F4680" s="12"/>
      <c r="K4680" s="5"/>
    </row>
    <row r="4681" spans="6:11" x14ac:dyDescent="0.25">
      <c r="F4681" s="12"/>
      <c r="K4681" s="5"/>
    </row>
    <row r="4682" spans="6:11" x14ac:dyDescent="0.25">
      <c r="F4682" s="12"/>
      <c r="K4682" s="5"/>
    </row>
    <row r="4683" spans="6:11" x14ac:dyDescent="0.25">
      <c r="F4683" s="12"/>
      <c r="K4683" s="5"/>
    </row>
    <row r="4684" spans="6:11" x14ac:dyDescent="0.25">
      <c r="F4684" s="12"/>
      <c r="K4684" s="5"/>
    </row>
    <row r="4685" spans="6:11" x14ac:dyDescent="0.25">
      <c r="F4685" s="12"/>
      <c r="K4685" s="5"/>
    </row>
    <row r="4686" spans="6:11" x14ac:dyDescent="0.25">
      <c r="F4686" s="12"/>
      <c r="K4686" s="5"/>
    </row>
    <row r="4687" spans="6:11" x14ac:dyDescent="0.25">
      <c r="F4687" s="12"/>
      <c r="K4687" s="5"/>
    </row>
    <row r="4688" spans="6:11" x14ac:dyDescent="0.25">
      <c r="F4688" s="12"/>
      <c r="K4688" s="5"/>
    </row>
    <row r="4689" spans="6:11" x14ac:dyDescent="0.25">
      <c r="F4689" s="12"/>
      <c r="K4689" s="5"/>
    </row>
    <row r="4690" spans="6:11" x14ac:dyDescent="0.25">
      <c r="F4690" s="12"/>
      <c r="K4690" s="5"/>
    </row>
    <row r="4691" spans="6:11" x14ac:dyDescent="0.25">
      <c r="F4691" s="12"/>
      <c r="K4691" s="5"/>
    </row>
    <row r="4692" spans="6:11" x14ac:dyDescent="0.25">
      <c r="F4692" s="12"/>
      <c r="K4692" s="5"/>
    </row>
    <row r="4693" spans="6:11" x14ac:dyDescent="0.25">
      <c r="F4693" s="12"/>
      <c r="K4693" s="5"/>
    </row>
    <row r="4694" spans="6:11" x14ac:dyDescent="0.25">
      <c r="F4694" s="12"/>
      <c r="K4694" s="5"/>
    </row>
    <row r="4695" spans="6:11" x14ac:dyDescent="0.25">
      <c r="F4695" s="12"/>
      <c r="K4695" s="5"/>
    </row>
    <row r="4696" spans="6:11" x14ac:dyDescent="0.25">
      <c r="F4696" s="12"/>
      <c r="K4696" s="5"/>
    </row>
    <row r="4697" spans="6:11" x14ac:dyDescent="0.25">
      <c r="F4697" s="12"/>
      <c r="K4697" s="5"/>
    </row>
    <row r="4698" spans="6:11" x14ac:dyDescent="0.25">
      <c r="F4698" s="12"/>
      <c r="K4698" s="5"/>
    </row>
    <row r="4699" spans="6:11" x14ac:dyDescent="0.25">
      <c r="F4699" s="12"/>
      <c r="K4699" s="5"/>
    </row>
    <row r="4700" spans="6:11" x14ac:dyDescent="0.25">
      <c r="F4700" s="12"/>
      <c r="K4700" s="5"/>
    </row>
    <row r="4701" spans="6:11" x14ac:dyDescent="0.25">
      <c r="F4701" s="12"/>
      <c r="K4701" s="5"/>
    </row>
    <row r="4702" spans="6:11" x14ac:dyDescent="0.25">
      <c r="F4702" s="12"/>
      <c r="K4702" s="5"/>
    </row>
    <row r="4703" spans="6:11" x14ac:dyDescent="0.25">
      <c r="F4703" s="12"/>
      <c r="K4703" s="5"/>
    </row>
    <row r="4704" spans="6:11" x14ac:dyDescent="0.25">
      <c r="F4704" s="12"/>
      <c r="K4704" s="5"/>
    </row>
    <row r="4705" spans="6:11" x14ac:dyDescent="0.25">
      <c r="F4705" s="12"/>
      <c r="K4705" s="5"/>
    </row>
    <row r="4706" spans="6:11" x14ac:dyDescent="0.25">
      <c r="F4706" s="12"/>
      <c r="K4706" s="5"/>
    </row>
    <row r="4707" spans="6:11" x14ac:dyDescent="0.25">
      <c r="F4707" s="12"/>
      <c r="K4707" s="5"/>
    </row>
    <row r="4708" spans="6:11" x14ac:dyDescent="0.25">
      <c r="F4708" s="12"/>
      <c r="K4708" s="5"/>
    </row>
    <row r="4709" spans="6:11" x14ac:dyDescent="0.25">
      <c r="F4709" s="12"/>
      <c r="K4709" s="5"/>
    </row>
    <row r="4710" spans="6:11" x14ac:dyDescent="0.25">
      <c r="F4710" s="12"/>
      <c r="K4710" s="5"/>
    </row>
    <row r="4711" spans="6:11" x14ac:dyDescent="0.25">
      <c r="F4711" s="12"/>
      <c r="K4711" s="5"/>
    </row>
    <row r="4712" spans="6:11" x14ac:dyDescent="0.25">
      <c r="F4712" s="12"/>
      <c r="K4712" s="5"/>
    </row>
    <row r="4713" spans="6:11" x14ac:dyDescent="0.25">
      <c r="F4713" s="12"/>
      <c r="K4713" s="5"/>
    </row>
    <row r="4714" spans="6:11" x14ac:dyDescent="0.25">
      <c r="F4714" s="12"/>
      <c r="K4714" s="5"/>
    </row>
    <row r="4715" spans="6:11" x14ac:dyDescent="0.25">
      <c r="F4715" s="12"/>
      <c r="K4715" s="5"/>
    </row>
    <row r="4716" spans="6:11" x14ac:dyDescent="0.25">
      <c r="F4716" s="12"/>
      <c r="K4716" s="5"/>
    </row>
    <row r="4717" spans="6:11" x14ac:dyDescent="0.25">
      <c r="F4717" s="12"/>
      <c r="K4717" s="5"/>
    </row>
    <row r="4718" spans="6:11" x14ac:dyDescent="0.25">
      <c r="F4718" s="12"/>
      <c r="K4718" s="5"/>
    </row>
    <row r="4719" spans="6:11" x14ac:dyDescent="0.25">
      <c r="F4719" s="12"/>
      <c r="K4719" s="5"/>
    </row>
    <row r="4720" spans="6:11" x14ac:dyDescent="0.25">
      <c r="F4720" s="12"/>
      <c r="K4720" s="5"/>
    </row>
    <row r="4721" spans="6:11" x14ac:dyDescent="0.25">
      <c r="F4721" s="12"/>
      <c r="K4721" s="5"/>
    </row>
    <row r="4722" spans="6:11" x14ac:dyDescent="0.25">
      <c r="F4722" s="12"/>
      <c r="K4722" s="5"/>
    </row>
    <row r="4723" spans="6:11" x14ac:dyDescent="0.25">
      <c r="F4723" s="12"/>
      <c r="K4723" s="5"/>
    </row>
    <row r="4724" spans="6:11" x14ac:dyDescent="0.25">
      <c r="F4724" s="12"/>
      <c r="K4724" s="5"/>
    </row>
    <row r="4725" spans="6:11" x14ac:dyDescent="0.25">
      <c r="F4725" s="12"/>
      <c r="K4725" s="5"/>
    </row>
    <row r="4726" spans="6:11" x14ac:dyDescent="0.25">
      <c r="F4726" s="12"/>
      <c r="K4726" s="5"/>
    </row>
    <row r="4727" spans="6:11" x14ac:dyDescent="0.25">
      <c r="F4727" s="12"/>
      <c r="K4727" s="5"/>
    </row>
    <row r="4728" spans="6:11" x14ac:dyDescent="0.25">
      <c r="F4728" s="12"/>
      <c r="K4728" s="5"/>
    </row>
    <row r="4729" spans="6:11" x14ac:dyDescent="0.25">
      <c r="F4729" s="12"/>
      <c r="K4729" s="5"/>
    </row>
    <row r="4730" spans="6:11" x14ac:dyDescent="0.25">
      <c r="F4730" s="12"/>
      <c r="K4730" s="5"/>
    </row>
    <row r="4731" spans="6:11" x14ac:dyDescent="0.25">
      <c r="F4731" s="12"/>
      <c r="K4731" s="5"/>
    </row>
    <row r="4732" spans="6:11" x14ac:dyDescent="0.25">
      <c r="F4732" s="12"/>
      <c r="K4732" s="5"/>
    </row>
    <row r="4733" spans="6:11" x14ac:dyDescent="0.25">
      <c r="F4733" s="12"/>
      <c r="K4733" s="5"/>
    </row>
    <row r="4734" spans="6:11" x14ac:dyDescent="0.25">
      <c r="F4734" s="12"/>
      <c r="K4734" s="5"/>
    </row>
    <row r="4735" spans="6:11" x14ac:dyDescent="0.25">
      <c r="F4735" s="12"/>
      <c r="K4735" s="5"/>
    </row>
    <row r="4736" spans="6:11" x14ac:dyDescent="0.25">
      <c r="F4736" s="12"/>
      <c r="K4736" s="5"/>
    </row>
    <row r="4737" spans="6:11" x14ac:dyDescent="0.25">
      <c r="F4737" s="12"/>
      <c r="K4737" s="5"/>
    </row>
    <row r="4738" spans="6:11" x14ac:dyDescent="0.25">
      <c r="F4738" s="12"/>
      <c r="K4738" s="5"/>
    </row>
    <row r="4739" spans="6:11" x14ac:dyDescent="0.25">
      <c r="F4739" s="12"/>
      <c r="K4739" s="5"/>
    </row>
    <row r="4740" spans="6:11" x14ac:dyDescent="0.25">
      <c r="F4740" s="12"/>
      <c r="K4740" s="5"/>
    </row>
    <row r="4741" spans="6:11" x14ac:dyDescent="0.25">
      <c r="F4741" s="12"/>
      <c r="K4741" s="5"/>
    </row>
    <row r="4742" spans="6:11" x14ac:dyDescent="0.25">
      <c r="F4742" s="12"/>
      <c r="K4742" s="5"/>
    </row>
    <row r="4743" spans="6:11" x14ac:dyDescent="0.25">
      <c r="F4743" s="12"/>
      <c r="K4743" s="5"/>
    </row>
    <row r="4744" spans="6:11" x14ac:dyDescent="0.25">
      <c r="F4744" s="12"/>
      <c r="K4744" s="5"/>
    </row>
    <row r="4745" spans="6:11" x14ac:dyDescent="0.25">
      <c r="F4745" s="12"/>
      <c r="K4745" s="5"/>
    </row>
    <row r="4746" spans="6:11" x14ac:dyDescent="0.25">
      <c r="F4746" s="12"/>
      <c r="K4746" s="5"/>
    </row>
    <row r="4747" spans="6:11" x14ac:dyDescent="0.25">
      <c r="F4747" s="12"/>
      <c r="K4747" s="5"/>
    </row>
    <row r="4748" spans="6:11" x14ac:dyDescent="0.25">
      <c r="F4748" s="12"/>
      <c r="K4748" s="5"/>
    </row>
    <row r="4749" spans="6:11" x14ac:dyDescent="0.25">
      <c r="F4749" s="12"/>
      <c r="K4749" s="5"/>
    </row>
    <row r="4750" spans="6:11" x14ac:dyDescent="0.25">
      <c r="F4750" s="12"/>
      <c r="K4750" s="5"/>
    </row>
    <row r="4751" spans="6:11" x14ac:dyDescent="0.25">
      <c r="F4751" s="12"/>
      <c r="K4751" s="5"/>
    </row>
    <row r="4752" spans="6:11" x14ac:dyDescent="0.25">
      <c r="F4752" s="12"/>
      <c r="K4752" s="5"/>
    </row>
    <row r="4753" spans="6:11" x14ac:dyDescent="0.25">
      <c r="F4753" s="12"/>
      <c r="K4753" s="5"/>
    </row>
    <row r="4754" spans="6:11" x14ac:dyDescent="0.25">
      <c r="F4754" s="12"/>
      <c r="K4754" s="5"/>
    </row>
    <row r="4755" spans="6:11" x14ac:dyDescent="0.25">
      <c r="F4755" s="12"/>
      <c r="K4755" s="5"/>
    </row>
    <row r="4756" spans="6:11" x14ac:dyDescent="0.25">
      <c r="F4756" s="12"/>
      <c r="K4756" s="5"/>
    </row>
    <row r="4757" spans="6:11" x14ac:dyDescent="0.25">
      <c r="F4757" s="12"/>
      <c r="K4757" s="5"/>
    </row>
    <row r="4758" spans="6:11" x14ac:dyDescent="0.25">
      <c r="F4758" s="12"/>
      <c r="K4758" s="5"/>
    </row>
    <row r="4759" spans="6:11" x14ac:dyDescent="0.25">
      <c r="F4759" s="12"/>
      <c r="K4759" s="5"/>
    </row>
    <row r="4760" spans="6:11" x14ac:dyDescent="0.25">
      <c r="F4760" s="12"/>
      <c r="K4760" s="5"/>
    </row>
    <row r="4761" spans="6:11" x14ac:dyDescent="0.25">
      <c r="F4761" s="12"/>
      <c r="K4761" s="5"/>
    </row>
    <row r="4762" spans="6:11" x14ac:dyDescent="0.25">
      <c r="F4762" s="12"/>
      <c r="K4762" s="5"/>
    </row>
    <row r="4763" spans="6:11" x14ac:dyDescent="0.25">
      <c r="F4763" s="12"/>
      <c r="K4763" s="5"/>
    </row>
    <row r="4764" spans="6:11" x14ac:dyDescent="0.25">
      <c r="F4764" s="12"/>
      <c r="K4764" s="5"/>
    </row>
    <row r="4765" spans="6:11" x14ac:dyDescent="0.25">
      <c r="F4765" s="12"/>
      <c r="K4765" s="5"/>
    </row>
    <row r="4766" spans="6:11" x14ac:dyDescent="0.25">
      <c r="F4766" s="12"/>
      <c r="K4766" s="5"/>
    </row>
    <row r="4767" spans="6:11" x14ac:dyDescent="0.25">
      <c r="F4767" s="12"/>
      <c r="K4767" s="5"/>
    </row>
    <row r="4768" spans="6:11" x14ac:dyDescent="0.25">
      <c r="F4768" s="12"/>
      <c r="K4768" s="5"/>
    </row>
    <row r="4769" spans="6:11" x14ac:dyDescent="0.25">
      <c r="F4769" s="12"/>
      <c r="K4769" s="5"/>
    </row>
    <row r="4770" spans="6:11" x14ac:dyDescent="0.25">
      <c r="F4770" s="12"/>
      <c r="K4770" s="5"/>
    </row>
    <row r="4771" spans="6:11" x14ac:dyDescent="0.25">
      <c r="F4771" s="12"/>
      <c r="K4771" s="5"/>
    </row>
    <row r="4772" spans="6:11" x14ac:dyDescent="0.25">
      <c r="F4772" s="12"/>
      <c r="K4772" s="5"/>
    </row>
    <row r="4773" spans="6:11" x14ac:dyDescent="0.25">
      <c r="F4773" s="12"/>
      <c r="K4773" s="5"/>
    </row>
    <row r="4774" spans="6:11" x14ac:dyDescent="0.25">
      <c r="F4774" s="12"/>
      <c r="K4774" s="5"/>
    </row>
    <row r="4775" spans="6:11" x14ac:dyDescent="0.25">
      <c r="F4775" s="12"/>
      <c r="K4775" s="5"/>
    </row>
    <row r="4776" spans="6:11" x14ac:dyDescent="0.25">
      <c r="F4776" s="12"/>
      <c r="K4776" s="5"/>
    </row>
    <row r="4777" spans="6:11" x14ac:dyDescent="0.25">
      <c r="F4777" s="12"/>
      <c r="K4777" s="5"/>
    </row>
    <row r="4778" spans="6:11" x14ac:dyDescent="0.25">
      <c r="F4778" s="12"/>
      <c r="K4778" s="5"/>
    </row>
    <row r="4779" spans="6:11" x14ac:dyDescent="0.25">
      <c r="F4779" s="12"/>
      <c r="K4779" s="5"/>
    </row>
    <row r="4780" spans="6:11" x14ac:dyDescent="0.25">
      <c r="F4780" s="12"/>
      <c r="K4780" s="5"/>
    </row>
    <row r="4781" spans="6:11" x14ac:dyDescent="0.25">
      <c r="F4781" s="12"/>
      <c r="K4781" s="5"/>
    </row>
    <row r="4782" spans="6:11" x14ac:dyDescent="0.25">
      <c r="F4782" s="12"/>
      <c r="K4782" s="5"/>
    </row>
    <row r="4783" spans="6:11" x14ac:dyDescent="0.25">
      <c r="F4783" s="12"/>
      <c r="K4783" s="5"/>
    </row>
    <row r="4784" spans="6:11" x14ac:dyDescent="0.25">
      <c r="F4784" s="12"/>
      <c r="K4784" s="5"/>
    </row>
    <row r="4785" spans="6:11" x14ac:dyDescent="0.25">
      <c r="F4785" s="12"/>
      <c r="K4785" s="5"/>
    </row>
    <row r="4786" spans="6:11" x14ac:dyDescent="0.25">
      <c r="F4786" s="12"/>
      <c r="K4786" s="5"/>
    </row>
    <row r="4787" spans="6:11" x14ac:dyDescent="0.25">
      <c r="F4787" s="12"/>
      <c r="K4787" s="5"/>
    </row>
    <row r="4788" spans="6:11" x14ac:dyDescent="0.25">
      <c r="F4788" s="12"/>
      <c r="K4788" s="5"/>
    </row>
    <row r="4789" spans="6:11" x14ac:dyDescent="0.25">
      <c r="F4789" s="12"/>
      <c r="K4789" s="5"/>
    </row>
    <row r="4790" spans="6:11" x14ac:dyDescent="0.25">
      <c r="F4790" s="12"/>
      <c r="K4790" s="5"/>
    </row>
    <row r="4791" spans="6:11" x14ac:dyDescent="0.25">
      <c r="F4791" s="12"/>
      <c r="K4791" s="5"/>
    </row>
    <row r="4792" spans="6:11" x14ac:dyDescent="0.25">
      <c r="F4792" s="12"/>
      <c r="K4792" s="5"/>
    </row>
    <row r="4793" spans="6:11" x14ac:dyDescent="0.25">
      <c r="F4793" s="12"/>
      <c r="K4793" s="5"/>
    </row>
    <row r="4794" spans="6:11" x14ac:dyDescent="0.25">
      <c r="F4794" s="12"/>
      <c r="K4794" s="5"/>
    </row>
    <row r="4795" spans="6:11" x14ac:dyDescent="0.25">
      <c r="F4795" s="12"/>
      <c r="K4795" s="5"/>
    </row>
    <row r="4796" spans="6:11" x14ac:dyDescent="0.25">
      <c r="F4796" s="12"/>
      <c r="K4796" s="5"/>
    </row>
    <row r="4797" spans="6:11" x14ac:dyDescent="0.25">
      <c r="F4797" s="12"/>
      <c r="K4797" s="5"/>
    </row>
    <row r="4798" spans="6:11" x14ac:dyDescent="0.25">
      <c r="F4798" s="12"/>
      <c r="K4798" s="5"/>
    </row>
    <row r="4799" spans="6:11" x14ac:dyDescent="0.25">
      <c r="F4799" s="12"/>
      <c r="K4799" s="5"/>
    </row>
    <row r="4800" spans="6:11" x14ac:dyDescent="0.25">
      <c r="F4800" s="12"/>
      <c r="K4800" s="5"/>
    </row>
    <row r="4801" spans="6:11" x14ac:dyDescent="0.25">
      <c r="F4801" s="12"/>
      <c r="K4801" s="5"/>
    </row>
    <row r="4802" spans="6:11" x14ac:dyDescent="0.25">
      <c r="F4802" s="12"/>
      <c r="K4802" s="5"/>
    </row>
    <row r="4803" spans="6:11" x14ac:dyDescent="0.25">
      <c r="F4803" s="12"/>
      <c r="K4803" s="5"/>
    </row>
    <row r="4804" spans="6:11" x14ac:dyDescent="0.25">
      <c r="F4804" s="12"/>
      <c r="K4804" s="5"/>
    </row>
    <row r="4805" spans="6:11" x14ac:dyDescent="0.25">
      <c r="F4805" s="12"/>
      <c r="K4805" s="5"/>
    </row>
    <row r="4806" spans="6:11" x14ac:dyDescent="0.25">
      <c r="F4806" s="12"/>
      <c r="K4806" s="5"/>
    </row>
    <row r="4807" spans="6:11" x14ac:dyDescent="0.25">
      <c r="F4807" s="12"/>
      <c r="K4807" s="5"/>
    </row>
    <row r="4808" spans="6:11" x14ac:dyDescent="0.25">
      <c r="F4808" s="12"/>
      <c r="K4808" s="5"/>
    </row>
    <row r="4809" spans="6:11" x14ac:dyDescent="0.25">
      <c r="F4809" s="12"/>
      <c r="K4809" s="5"/>
    </row>
    <row r="4810" spans="6:11" x14ac:dyDescent="0.25">
      <c r="F4810" s="12"/>
      <c r="K4810" s="5"/>
    </row>
    <row r="4811" spans="6:11" x14ac:dyDescent="0.25">
      <c r="F4811" s="12"/>
      <c r="K4811" s="5"/>
    </row>
    <row r="4812" spans="6:11" x14ac:dyDescent="0.25">
      <c r="F4812" s="12"/>
      <c r="K4812" s="5"/>
    </row>
    <row r="4813" spans="6:11" x14ac:dyDescent="0.25">
      <c r="F4813" s="12"/>
      <c r="K4813" s="5"/>
    </row>
    <row r="4814" spans="6:11" x14ac:dyDescent="0.25">
      <c r="F4814" s="12"/>
      <c r="K4814" s="5"/>
    </row>
    <row r="4815" spans="6:11" x14ac:dyDescent="0.25">
      <c r="F4815" s="12"/>
      <c r="K4815" s="5"/>
    </row>
    <row r="4816" spans="6:11" x14ac:dyDescent="0.25">
      <c r="F4816" s="12"/>
      <c r="K4816" s="5"/>
    </row>
    <row r="4817" spans="6:11" x14ac:dyDescent="0.25">
      <c r="F4817" s="12"/>
      <c r="K4817" s="5"/>
    </row>
    <row r="4818" spans="6:11" x14ac:dyDescent="0.25">
      <c r="F4818" s="12"/>
      <c r="K4818" s="5"/>
    </row>
    <row r="4819" spans="6:11" x14ac:dyDescent="0.25">
      <c r="F4819" s="12"/>
      <c r="K4819" s="5"/>
    </row>
    <row r="4820" spans="6:11" x14ac:dyDescent="0.25">
      <c r="F4820" s="12"/>
      <c r="K4820" s="5"/>
    </row>
    <row r="4821" spans="6:11" x14ac:dyDescent="0.25">
      <c r="F4821" s="12"/>
      <c r="K4821" s="5"/>
    </row>
    <row r="4822" spans="6:11" x14ac:dyDescent="0.25">
      <c r="F4822" s="12"/>
      <c r="K4822" s="5"/>
    </row>
    <row r="4823" spans="6:11" x14ac:dyDescent="0.25">
      <c r="F4823" s="12"/>
      <c r="K4823" s="5"/>
    </row>
    <row r="4824" spans="6:11" x14ac:dyDescent="0.25">
      <c r="F4824" s="12"/>
      <c r="K4824" s="5"/>
    </row>
    <row r="4825" spans="6:11" x14ac:dyDescent="0.25">
      <c r="F4825" s="12"/>
      <c r="K4825" s="5"/>
    </row>
    <row r="4826" spans="6:11" x14ac:dyDescent="0.25">
      <c r="F4826" s="12"/>
      <c r="K4826" s="5"/>
    </row>
    <row r="4827" spans="6:11" x14ac:dyDescent="0.25">
      <c r="F4827" s="12"/>
      <c r="K4827" s="5"/>
    </row>
    <row r="4828" spans="6:11" x14ac:dyDescent="0.25">
      <c r="F4828" s="12"/>
      <c r="K4828" s="5"/>
    </row>
    <row r="4829" spans="6:11" x14ac:dyDescent="0.25">
      <c r="F4829" s="12"/>
      <c r="K4829" s="5"/>
    </row>
    <row r="4830" spans="6:11" x14ac:dyDescent="0.25">
      <c r="F4830" s="12"/>
      <c r="K4830" s="5"/>
    </row>
    <row r="4831" spans="6:11" x14ac:dyDescent="0.25">
      <c r="F4831" s="12"/>
      <c r="K4831" s="5"/>
    </row>
    <row r="4832" spans="6:11" x14ac:dyDescent="0.25">
      <c r="F4832" s="12"/>
      <c r="K4832" s="5"/>
    </row>
    <row r="4833" spans="6:11" x14ac:dyDescent="0.25">
      <c r="F4833" s="12"/>
      <c r="K4833" s="5"/>
    </row>
    <row r="4834" spans="6:11" x14ac:dyDescent="0.25">
      <c r="F4834" s="12"/>
      <c r="K4834" s="5"/>
    </row>
    <row r="4835" spans="6:11" x14ac:dyDescent="0.25">
      <c r="F4835" s="12"/>
      <c r="K4835" s="5"/>
    </row>
    <row r="4836" spans="6:11" x14ac:dyDescent="0.25">
      <c r="F4836" s="12"/>
      <c r="K4836" s="5"/>
    </row>
    <row r="4837" spans="6:11" x14ac:dyDescent="0.25">
      <c r="F4837" s="12"/>
      <c r="K4837" s="5"/>
    </row>
    <row r="4838" spans="6:11" x14ac:dyDescent="0.25">
      <c r="F4838" s="12"/>
      <c r="K4838" s="5"/>
    </row>
    <row r="4839" spans="6:11" x14ac:dyDescent="0.25">
      <c r="F4839" s="12"/>
      <c r="K4839" s="5"/>
    </row>
    <row r="4840" spans="6:11" x14ac:dyDescent="0.25">
      <c r="F4840" s="12"/>
      <c r="K4840" s="5"/>
    </row>
    <row r="4841" spans="6:11" x14ac:dyDescent="0.25">
      <c r="F4841" s="12"/>
      <c r="K4841" s="5"/>
    </row>
    <row r="4842" spans="6:11" x14ac:dyDescent="0.25">
      <c r="F4842" s="12"/>
      <c r="K4842" s="5"/>
    </row>
    <row r="4843" spans="6:11" x14ac:dyDescent="0.25">
      <c r="F4843" s="12"/>
      <c r="K4843" s="5"/>
    </row>
    <row r="4844" spans="6:11" x14ac:dyDescent="0.25">
      <c r="F4844" s="12"/>
      <c r="K4844" s="5"/>
    </row>
    <row r="4845" spans="6:11" x14ac:dyDescent="0.25">
      <c r="F4845" s="12"/>
      <c r="K4845" s="5"/>
    </row>
    <row r="4846" spans="6:11" x14ac:dyDescent="0.25">
      <c r="F4846" s="12"/>
      <c r="K4846" s="5"/>
    </row>
    <row r="4847" spans="6:11" x14ac:dyDescent="0.25">
      <c r="F4847" s="12"/>
      <c r="K4847" s="5"/>
    </row>
    <row r="4848" spans="6:11" x14ac:dyDescent="0.25">
      <c r="F4848" s="12"/>
      <c r="K4848" s="5"/>
    </row>
    <row r="4849" spans="6:11" x14ac:dyDescent="0.25">
      <c r="F4849" s="12"/>
      <c r="K4849" s="5"/>
    </row>
    <row r="4850" spans="6:11" x14ac:dyDescent="0.25">
      <c r="F4850" s="12"/>
      <c r="K4850" s="5"/>
    </row>
    <row r="4851" spans="6:11" x14ac:dyDescent="0.25">
      <c r="F4851" s="12"/>
      <c r="K4851" s="5"/>
    </row>
    <row r="4852" spans="6:11" x14ac:dyDescent="0.25">
      <c r="F4852" s="12"/>
      <c r="K4852" s="5"/>
    </row>
    <row r="4853" spans="6:11" x14ac:dyDescent="0.25">
      <c r="F4853" s="12"/>
      <c r="K4853" s="5"/>
    </row>
    <row r="4854" spans="6:11" x14ac:dyDescent="0.25">
      <c r="F4854" s="12"/>
      <c r="K4854" s="5"/>
    </row>
    <row r="4855" spans="6:11" x14ac:dyDescent="0.25">
      <c r="F4855" s="12"/>
      <c r="K4855" s="5"/>
    </row>
    <row r="4856" spans="6:11" x14ac:dyDescent="0.25">
      <c r="F4856" s="12"/>
      <c r="K4856" s="5"/>
    </row>
    <row r="4857" spans="6:11" x14ac:dyDescent="0.25">
      <c r="F4857" s="12"/>
      <c r="K4857" s="5"/>
    </row>
    <row r="4858" spans="6:11" x14ac:dyDescent="0.25">
      <c r="F4858" s="12"/>
      <c r="K4858" s="5"/>
    </row>
    <row r="4859" spans="6:11" x14ac:dyDescent="0.25">
      <c r="F4859" s="12"/>
      <c r="K4859" s="5"/>
    </row>
    <row r="4860" spans="6:11" x14ac:dyDescent="0.25">
      <c r="F4860" s="12"/>
      <c r="K4860" s="5"/>
    </row>
    <row r="4861" spans="6:11" x14ac:dyDescent="0.25">
      <c r="F4861" s="12"/>
      <c r="K4861" s="5"/>
    </row>
    <row r="4862" spans="6:11" x14ac:dyDescent="0.25">
      <c r="F4862" s="12"/>
      <c r="K4862" s="5"/>
    </row>
    <row r="4863" spans="6:11" x14ac:dyDescent="0.25">
      <c r="F4863" s="12"/>
      <c r="K4863" s="5"/>
    </row>
    <row r="4864" spans="6:11" x14ac:dyDescent="0.25">
      <c r="F4864" s="12"/>
      <c r="K4864" s="5"/>
    </row>
    <row r="4865" spans="6:11" x14ac:dyDescent="0.25">
      <c r="F4865" s="12"/>
      <c r="K4865" s="5"/>
    </row>
    <row r="4866" spans="6:11" x14ac:dyDescent="0.25">
      <c r="F4866" s="12"/>
      <c r="K4866" s="5"/>
    </row>
    <row r="4867" spans="6:11" x14ac:dyDescent="0.25">
      <c r="F4867" s="12"/>
      <c r="K4867" s="5"/>
    </row>
    <row r="4868" spans="6:11" x14ac:dyDescent="0.25">
      <c r="F4868" s="12"/>
      <c r="K4868" s="5"/>
    </row>
    <row r="4869" spans="6:11" x14ac:dyDescent="0.25">
      <c r="F4869" s="12"/>
      <c r="K4869" s="5"/>
    </row>
    <row r="4870" spans="6:11" x14ac:dyDescent="0.25">
      <c r="F4870" s="12"/>
      <c r="K4870" s="5"/>
    </row>
    <row r="4871" spans="6:11" x14ac:dyDescent="0.25">
      <c r="F4871" s="12"/>
      <c r="K4871" s="5"/>
    </row>
    <row r="4872" spans="6:11" x14ac:dyDescent="0.25">
      <c r="F4872" s="12"/>
      <c r="K4872" s="5"/>
    </row>
    <row r="4873" spans="6:11" x14ac:dyDescent="0.25">
      <c r="F4873" s="12"/>
      <c r="K4873" s="5"/>
    </row>
    <row r="4874" spans="6:11" x14ac:dyDescent="0.25">
      <c r="F4874" s="12"/>
      <c r="K4874" s="5"/>
    </row>
    <row r="4875" spans="6:11" x14ac:dyDescent="0.25">
      <c r="F4875" s="12"/>
      <c r="K4875" s="5"/>
    </row>
    <row r="4876" spans="6:11" x14ac:dyDescent="0.25">
      <c r="F4876" s="12"/>
      <c r="K4876" s="5"/>
    </row>
    <row r="4877" spans="6:11" x14ac:dyDescent="0.25">
      <c r="F4877" s="12"/>
      <c r="K4877" s="5"/>
    </row>
    <row r="4878" spans="6:11" x14ac:dyDescent="0.25">
      <c r="F4878" s="12"/>
      <c r="K4878" s="5"/>
    </row>
    <row r="4879" spans="6:11" x14ac:dyDescent="0.25">
      <c r="F4879" s="12"/>
      <c r="K4879" s="5"/>
    </row>
    <row r="4880" spans="6:11" x14ac:dyDescent="0.25">
      <c r="F4880" s="12"/>
      <c r="K4880" s="5"/>
    </row>
    <row r="4881" spans="6:11" x14ac:dyDescent="0.25">
      <c r="F4881" s="12"/>
      <c r="K4881" s="5"/>
    </row>
    <row r="4882" spans="6:11" x14ac:dyDescent="0.25">
      <c r="F4882" s="12"/>
      <c r="K4882" s="5"/>
    </row>
    <row r="4883" spans="6:11" x14ac:dyDescent="0.25">
      <c r="F4883" s="12"/>
      <c r="K4883" s="5"/>
    </row>
    <row r="4884" spans="6:11" x14ac:dyDescent="0.25">
      <c r="F4884" s="12"/>
      <c r="K4884" s="5"/>
    </row>
    <row r="4885" spans="6:11" x14ac:dyDescent="0.25">
      <c r="F4885" s="12"/>
      <c r="K4885" s="5"/>
    </row>
    <row r="4886" spans="6:11" x14ac:dyDescent="0.25">
      <c r="F4886" s="12"/>
      <c r="K4886" s="5"/>
    </row>
    <row r="4887" spans="6:11" x14ac:dyDescent="0.25">
      <c r="F4887" s="12"/>
      <c r="K4887" s="5"/>
    </row>
    <row r="4888" spans="6:11" x14ac:dyDescent="0.25">
      <c r="F4888" s="12"/>
      <c r="K4888" s="5"/>
    </row>
    <row r="4889" spans="6:11" x14ac:dyDescent="0.25">
      <c r="F4889" s="12"/>
      <c r="K4889" s="5"/>
    </row>
    <row r="4890" spans="6:11" x14ac:dyDescent="0.25">
      <c r="F4890" s="12"/>
      <c r="K4890" s="5"/>
    </row>
    <row r="4891" spans="6:11" x14ac:dyDescent="0.25">
      <c r="F4891" s="12"/>
      <c r="K4891" s="5"/>
    </row>
    <row r="4892" spans="6:11" x14ac:dyDescent="0.25">
      <c r="F4892" s="12"/>
      <c r="K4892" s="5"/>
    </row>
    <row r="4893" spans="6:11" x14ac:dyDescent="0.25">
      <c r="F4893" s="12"/>
      <c r="K4893" s="5"/>
    </row>
    <row r="4894" spans="6:11" x14ac:dyDescent="0.25">
      <c r="F4894" s="12"/>
      <c r="K4894" s="5"/>
    </row>
    <row r="4895" spans="6:11" x14ac:dyDescent="0.25">
      <c r="F4895" s="12"/>
      <c r="K4895" s="5"/>
    </row>
    <row r="4896" spans="6:11" x14ac:dyDescent="0.25">
      <c r="F4896" s="12"/>
      <c r="K4896" s="5"/>
    </row>
    <row r="4897" spans="6:11" x14ac:dyDescent="0.25">
      <c r="F4897" s="12"/>
      <c r="K4897" s="5"/>
    </row>
    <row r="4898" spans="6:11" x14ac:dyDescent="0.25">
      <c r="F4898" s="12"/>
      <c r="K4898" s="5"/>
    </row>
    <row r="4899" spans="6:11" x14ac:dyDescent="0.25">
      <c r="F4899" s="12"/>
      <c r="K4899" s="5"/>
    </row>
    <row r="4900" spans="6:11" x14ac:dyDescent="0.25">
      <c r="F4900" s="12"/>
      <c r="K4900" s="5"/>
    </row>
    <row r="4901" spans="6:11" x14ac:dyDescent="0.25">
      <c r="F4901" s="12"/>
      <c r="K4901" s="5"/>
    </row>
    <row r="4902" spans="6:11" x14ac:dyDescent="0.25">
      <c r="F4902" s="12"/>
      <c r="K4902" s="5"/>
    </row>
    <row r="4903" spans="6:11" x14ac:dyDescent="0.25">
      <c r="F4903" s="12"/>
      <c r="K4903" s="5"/>
    </row>
    <row r="4904" spans="6:11" x14ac:dyDescent="0.25">
      <c r="F4904" s="12"/>
      <c r="K4904" s="5"/>
    </row>
    <row r="4905" spans="6:11" x14ac:dyDescent="0.25">
      <c r="F4905" s="12"/>
      <c r="K4905" s="5"/>
    </row>
    <row r="4906" spans="6:11" x14ac:dyDescent="0.25">
      <c r="F4906" s="12"/>
      <c r="K4906" s="5"/>
    </row>
    <row r="4907" spans="6:11" x14ac:dyDescent="0.25">
      <c r="F4907" s="12"/>
      <c r="K4907" s="5"/>
    </row>
    <row r="4908" spans="6:11" x14ac:dyDescent="0.25">
      <c r="F4908" s="12"/>
      <c r="K4908" s="5"/>
    </row>
    <row r="4909" spans="6:11" x14ac:dyDescent="0.25">
      <c r="F4909" s="12"/>
      <c r="K4909" s="5"/>
    </row>
    <row r="4910" spans="6:11" x14ac:dyDescent="0.25">
      <c r="F4910" s="12"/>
      <c r="K4910" s="5"/>
    </row>
    <row r="4911" spans="6:11" x14ac:dyDescent="0.25">
      <c r="F4911" s="12"/>
      <c r="K4911" s="5"/>
    </row>
    <row r="4912" spans="6:11" x14ac:dyDescent="0.25">
      <c r="F4912" s="12"/>
      <c r="K4912" s="5"/>
    </row>
    <row r="4913" spans="6:11" x14ac:dyDescent="0.25">
      <c r="F4913" s="12"/>
      <c r="K4913" s="5"/>
    </row>
    <row r="4914" spans="6:11" x14ac:dyDescent="0.25">
      <c r="F4914" s="12"/>
      <c r="K4914" s="5"/>
    </row>
    <row r="4915" spans="6:11" x14ac:dyDescent="0.25">
      <c r="F4915" s="12"/>
      <c r="K4915" s="5"/>
    </row>
    <row r="4916" spans="6:11" x14ac:dyDescent="0.25">
      <c r="F4916" s="12"/>
      <c r="K4916" s="5"/>
    </row>
    <row r="4917" spans="6:11" x14ac:dyDescent="0.25">
      <c r="F4917" s="12"/>
      <c r="K4917" s="5"/>
    </row>
    <row r="4918" spans="6:11" x14ac:dyDescent="0.25">
      <c r="F4918" s="12"/>
      <c r="K4918" s="5"/>
    </row>
    <row r="4919" spans="6:11" x14ac:dyDescent="0.25">
      <c r="F4919" s="12"/>
      <c r="K4919" s="5"/>
    </row>
    <row r="4920" spans="6:11" x14ac:dyDescent="0.25">
      <c r="F4920" s="12"/>
      <c r="K4920" s="5"/>
    </row>
    <row r="4921" spans="6:11" x14ac:dyDescent="0.25">
      <c r="F4921" s="12"/>
      <c r="K4921" s="5"/>
    </row>
    <row r="4922" spans="6:11" x14ac:dyDescent="0.25">
      <c r="F4922" s="12"/>
      <c r="K4922" s="5"/>
    </row>
    <row r="4923" spans="6:11" x14ac:dyDescent="0.25">
      <c r="F4923" s="12"/>
      <c r="K4923" s="5"/>
    </row>
    <row r="4924" spans="6:11" x14ac:dyDescent="0.25">
      <c r="F4924" s="12"/>
      <c r="K4924" s="5"/>
    </row>
    <row r="4925" spans="6:11" x14ac:dyDescent="0.25">
      <c r="F4925" s="12"/>
      <c r="K4925" s="5"/>
    </row>
    <row r="4926" spans="6:11" x14ac:dyDescent="0.25">
      <c r="F4926" s="12"/>
      <c r="K4926" s="5"/>
    </row>
    <row r="4927" spans="6:11" x14ac:dyDescent="0.25">
      <c r="F4927" s="12"/>
      <c r="K4927" s="5"/>
    </row>
    <row r="4928" spans="6:11" x14ac:dyDescent="0.25">
      <c r="F4928" s="12"/>
      <c r="K4928" s="5"/>
    </row>
    <row r="4929" spans="6:11" x14ac:dyDescent="0.25">
      <c r="F4929" s="12"/>
      <c r="K4929" s="5"/>
    </row>
    <row r="4930" spans="6:11" x14ac:dyDescent="0.25">
      <c r="F4930" s="12"/>
      <c r="K4930" s="5"/>
    </row>
    <row r="4931" spans="6:11" x14ac:dyDescent="0.25">
      <c r="F4931" s="12"/>
      <c r="K4931" s="5"/>
    </row>
    <row r="4932" spans="6:11" x14ac:dyDescent="0.25">
      <c r="F4932" s="12"/>
      <c r="K4932" s="5"/>
    </row>
    <row r="4933" spans="6:11" x14ac:dyDescent="0.25">
      <c r="F4933" s="12"/>
      <c r="K4933" s="5"/>
    </row>
    <row r="4934" spans="6:11" x14ac:dyDescent="0.25">
      <c r="F4934" s="12"/>
      <c r="K4934" s="5"/>
    </row>
    <row r="4935" spans="6:11" x14ac:dyDescent="0.25">
      <c r="F4935" s="12"/>
      <c r="K4935" s="5"/>
    </row>
    <row r="4936" spans="6:11" x14ac:dyDescent="0.25">
      <c r="F4936" s="12"/>
      <c r="K4936" s="5"/>
    </row>
    <row r="4937" spans="6:11" x14ac:dyDescent="0.25">
      <c r="F4937" s="12"/>
      <c r="K4937" s="5"/>
    </row>
    <row r="4938" spans="6:11" x14ac:dyDescent="0.25">
      <c r="F4938" s="12"/>
      <c r="K4938" s="5"/>
    </row>
    <row r="4939" spans="6:11" x14ac:dyDescent="0.25">
      <c r="F4939" s="12"/>
      <c r="K4939" s="5"/>
    </row>
    <row r="4940" spans="6:11" x14ac:dyDescent="0.25">
      <c r="F4940" s="12"/>
      <c r="K4940" s="5"/>
    </row>
    <row r="4941" spans="6:11" x14ac:dyDescent="0.25">
      <c r="F4941" s="12"/>
      <c r="K4941" s="5"/>
    </row>
    <row r="4942" spans="6:11" x14ac:dyDescent="0.25">
      <c r="F4942" s="12"/>
      <c r="K4942" s="5"/>
    </row>
    <row r="4943" spans="6:11" x14ac:dyDescent="0.25">
      <c r="F4943" s="12"/>
      <c r="K4943" s="5"/>
    </row>
    <row r="4944" spans="6:11" x14ac:dyDescent="0.25">
      <c r="F4944" s="12"/>
      <c r="K4944" s="5"/>
    </row>
    <row r="4945" spans="6:11" x14ac:dyDescent="0.25">
      <c r="F4945" s="12"/>
      <c r="K4945" s="5"/>
    </row>
    <row r="4946" spans="6:11" x14ac:dyDescent="0.25">
      <c r="F4946" s="12"/>
      <c r="K4946" s="5"/>
    </row>
    <row r="4947" spans="6:11" x14ac:dyDescent="0.25">
      <c r="F4947" s="12"/>
      <c r="K4947" s="5"/>
    </row>
    <row r="4948" spans="6:11" x14ac:dyDescent="0.25">
      <c r="F4948" s="12"/>
      <c r="K4948" s="5"/>
    </row>
    <row r="4949" spans="6:11" x14ac:dyDescent="0.25">
      <c r="F4949" s="12"/>
      <c r="K4949" s="5"/>
    </row>
    <row r="4950" spans="6:11" x14ac:dyDescent="0.25">
      <c r="F4950" s="12"/>
      <c r="K4950" s="5"/>
    </row>
    <row r="4951" spans="6:11" x14ac:dyDescent="0.25">
      <c r="F4951" s="12"/>
      <c r="K4951" s="5"/>
    </row>
    <row r="4952" spans="6:11" x14ac:dyDescent="0.25">
      <c r="F4952" s="12"/>
      <c r="K4952" s="5"/>
    </row>
    <row r="4953" spans="6:11" x14ac:dyDescent="0.25">
      <c r="F4953" s="12"/>
      <c r="K4953" s="5"/>
    </row>
    <row r="4954" spans="6:11" x14ac:dyDescent="0.25">
      <c r="F4954" s="12"/>
      <c r="K4954" s="5"/>
    </row>
    <row r="4955" spans="6:11" x14ac:dyDescent="0.25">
      <c r="F4955" s="12"/>
      <c r="K4955" s="5"/>
    </row>
    <row r="4956" spans="6:11" x14ac:dyDescent="0.25">
      <c r="F4956" s="12"/>
      <c r="K4956" s="5"/>
    </row>
    <row r="4957" spans="6:11" x14ac:dyDescent="0.25">
      <c r="F4957" s="12"/>
      <c r="K4957" s="5"/>
    </row>
    <row r="4958" spans="6:11" x14ac:dyDescent="0.25">
      <c r="F4958" s="12"/>
      <c r="K4958" s="5"/>
    </row>
    <row r="4959" spans="6:11" x14ac:dyDescent="0.25">
      <c r="F4959" s="12"/>
      <c r="K4959" s="5"/>
    </row>
    <row r="4960" spans="6:11" x14ac:dyDescent="0.25">
      <c r="F4960" s="12"/>
      <c r="K4960" s="5"/>
    </row>
    <row r="4961" spans="6:11" x14ac:dyDescent="0.25">
      <c r="F4961" s="12"/>
      <c r="K4961" s="5"/>
    </row>
    <row r="4962" spans="6:11" x14ac:dyDescent="0.25">
      <c r="F4962" s="12"/>
      <c r="K4962" s="5"/>
    </row>
    <row r="4963" spans="6:11" x14ac:dyDescent="0.25">
      <c r="F4963" s="12"/>
      <c r="K4963" s="5"/>
    </row>
    <row r="4964" spans="6:11" x14ac:dyDescent="0.25">
      <c r="F4964" s="12"/>
      <c r="K4964" s="5"/>
    </row>
    <row r="4965" spans="6:11" x14ac:dyDescent="0.25">
      <c r="F4965" s="12"/>
      <c r="K4965" s="5"/>
    </row>
    <row r="4966" spans="6:11" x14ac:dyDescent="0.25">
      <c r="F4966" s="12"/>
      <c r="K4966" s="5"/>
    </row>
    <row r="4967" spans="6:11" x14ac:dyDescent="0.25">
      <c r="F4967" s="12"/>
      <c r="K4967" s="5"/>
    </row>
    <row r="4968" spans="6:11" x14ac:dyDescent="0.25">
      <c r="F4968" s="12"/>
      <c r="K4968" s="5"/>
    </row>
    <row r="4969" spans="6:11" x14ac:dyDescent="0.25">
      <c r="F4969" s="12"/>
      <c r="K4969" s="5"/>
    </row>
    <row r="4970" spans="6:11" x14ac:dyDescent="0.25">
      <c r="F4970" s="12"/>
      <c r="K4970" s="5"/>
    </row>
    <row r="4971" spans="6:11" x14ac:dyDescent="0.25">
      <c r="F4971" s="12"/>
      <c r="K4971" s="5"/>
    </row>
    <row r="4972" spans="6:11" x14ac:dyDescent="0.25">
      <c r="F4972" s="12"/>
      <c r="K4972" s="5"/>
    </row>
    <row r="4973" spans="6:11" x14ac:dyDescent="0.25">
      <c r="F4973" s="12"/>
      <c r="K4973" s="5"/>
    </row>
    <row r="4974" spans="6:11" x14ac:dyDescent="0.25">
      <c r="F4974" s="12"/>
      <c r="K4974" s="5"/>
    </row>
    <row r="4975" spans="6:11" x14ac:dyDescent="0.25">
      <c r="F4975" s="12"/>
      <c r="K4975" s="5"/>
    </row>
    <row r="4976" spans="6:11" x14ac:dyDescent="0.25">
      <c r="F4976" s="12"/>
      <c r="K4976" s="5"/>
    </row>
    <row r="4977" spans="6:11" x14ac:dyDescent="0.25">
      <c r="F4977" s="12"/>
      <c r="K4977" s="5"/>
    </row>
    <row r="4978" spans="6:11" x14ac:dyDescent="0.25">
      <c r="F4978" s="12"/>
      <c r="K4978" s="5"/>
    </row>
    <row r="4979" spans="6:11" x14ac:dyDescent="0.25">
      <c r="F4979" s="12"/>
      <c r="K4979" s="5"/>
    </row>
    <row r="4980" spans="6:11" x14ac:dyDescent="0.25">
      <c r="F4980" s="12"/>
      <c r="K4980" s="5"/>
    </row>
    <row r="4981" spans="6:11" x14ac:dyDescent="0.25">
      <c r="F4981" s="12"/>
      <c r="K4981" s="5"/>
    </row>
    <row r="4982" spans="6:11" x14ac:dyDescent="0.25">
      <c r="F4982" s="12"/>
      <c r="K4982" s="5"/>
    </row>
    <row r="4983" spans="6:11" x14ac:dyDescent="0.25">
      <c r="F4983" s="12"/>
      <c r="K4983" s="5"/>
    </row>
    <row r="4984" spans="6:11" x14ac:dyDescent="0.25">
      <c r="F4984" s="12"/>
      <c r="K4984" s="5"/>
    </row>
    <row r="4985" spans="6:11" x14ac:dyDescent="0.25">
      <c r="F4985" s="12"/>
      <c r="K4985" s="5"/>
    </row>
    <row r="4986" spans="6:11" x14ac:dyDescent="0.25">
      <c r="F4986" s="12"/>
      <c r="K4986" s="5"/>
    </row>
    <row r="4987" spans="6:11" x14ac:dyDescent="0.25">
      <c r="F4987" s="12"/>
      <c r="K4987" s="5"/>
    </row>
    <row r="4988" spans="6:11" x14ac:dyDescent="0.25">
      <c r="F4988" s="12"/>
      <c r="K4988" s="5"/>
    </row>
    <row r="4989" spans="6:11" x14ac:dyDescent="0.25">
      <c r="F4989" s="12"/>
      <c r="K4989" s="5"/>
    </row>
    <row r="4990" spans="6:11" x14ac:dyDescent="0.25">
      <c r="F4990" s="12"/>
      <c r="K4990" s="5"/>
    </row>
    <row r="4991" spans="6:11" x14ac:dyDescent="0.25">
      <c r="F4991" s="12"/>
      <c r="K4991" s="5"/>
    </row>
    <row r="4992" spans="6:11" x14ac:dyDescent="0.25">
      <c r="F4992" s="12"/>
      <c r="K4992" s="5"/>
    </row>
    <row r="4993" spans="6:11" x14ac:dyDescent="0.25">
      <c r="F4993" s="12"/>
      <c r="K4993" s="5"/>
    </row>
    <row r="4994" spans="6:11" x14ac:dyDescent="0.25">
      <c r="F4994" s="12"/>
      <c r="K4994" s="5"/>
    </row>
    <row r="4995" spans="6:11" x14ac:dyDescent="0.25">
      <c r="F4995" s="12"/>
      <c r="K4995" s="5"/>
    </row>
    <row r="4996" spans="6:11" x14ac:dyDescent="0.25">
      <c r="F4996" s="12"/>
      <c r="K4996" s="5"/>
    </row>
    <row r="4997" spans="6:11" x14ac:dyDescent="0.25">
      <c r="F4997" s="12"/>
      <c r="K4997" s="5"/>
    </row>
    <row r="4998" spans="6:11" x14ac:dyDescent="0.25">
      <c r="F4998" s="12"/>
      <c r="K4998" s="5"/>
    </row>
    <row r="4999" spans="6:11" x14ac:dyDescent="0.25">
      <c r="F4999" s="12"/>
      <c r="K4999" s="5"/>
    </row>
    <row r="5000" spans="6:11" x14ac:dyDescent="0.25">
      <c r="F5000" s="12"/>
      <c r="K5000" s="5"/>
    </row>
    <row r="5001" spans="6:11" x14ac:dyDescent="0.25">
      <c r="F5001" s="12"/>
      <c r="K5001" s="5"/>
    </row>
    <row r="5002" spans="6:11" x14ac:dyDescent="0.25">
      <c r="F5002" s="12"/>
      <c r="K5002" s="5"/>
    </row>
    <row r="5003" spans="6:11" x14ac:dyDescent="0.25">
      <c r="F5003" s="12"/>
      <c r="K5003" s="5"/>
    </row>
    <row r="5004" spans="6:11" x14ac:dyDescent="0.25">
      <c r="F5004" s="12"/>
      <c r="K5004" s="5"/>
    </row>
    <row r="5005" spans="6:11" x14ac:dyDescent="0.25">
      <c r="F5005" s="12"/>
      <c r="K5005" s="5"/>
    </row>
    <row r="5006" spans="6:11" x14ac:dyDescent="0.25">
      <c r="F5006" s="12"/>
      <c r="K5006" s="5"/>
    </row>
    <row r="5007" spans="6:11" x14ac:dyDescent="0.25">
      <c r="F5007" s="12"/>
      <c r="K5007" s="5"/>
    </row>
    <row r="5008" spans="6:11" x14ac:dyDescent="0.25">
      <c r="F5008" s="12"/>
      <c r="K5008" s="5"/>
    </row>
    <row r="5009" spans="6:11" x14ac:dyDescent="0.25">
      <c r="F5009" s="12"/>
      <c r="K5009" s="5"/>
    </row>
    <row r="5010" spans="6:11" x14ac:dyDescent="0.25">
      <c r="F5010" s="12"/>
      <c r="K5010" s="5"/>
    </row>
    <row r="5011" spans="6:11" x14ac:dyDescent="0.25">
      <c r="F5011" s="12"/>
      <c r="K5011" s="5"/>
    </row>
    <row r="5012" spans="6:11" x14ac:dyDescent="0.25">
      <c r="F5012" s="12"/>
      <c r="K5012" s="5"/>
    </row>
    <row r="5013" spans="6:11" x14ac:dyDescent="0.25">
      <c r="F5013" s="12"/>
      <c r="K5013" s="5"/>
    </row>
    <row r="5014" spans="6:11" x14ac:dyDescent="0.25">
      <c r="F5014" s="12"/>
      <c r="K5014" s="5"/>
    </row>
    <row r="5015" spans="6:11" x14ac:dyDescent="0.25">
      <c r="F5015" s="12"/>
      <c r="K5015" s="5"/>
    </row>
    <row r="5016" spans="6:11" x14ac:dyDescent="0.25">
      <c r="F5016" s="12"/>
      <c r="K5016" s="5"/>
    </row>
    <row r="5017" spans="6:11" x14ac:dyDescent="0.25">
      <c r="F5017" s="12"/>
      <c r="K5017" s="5"/>
    </row>
    <row r="5018" spans="6:11" x14ac:dyDescent="0.25">
      <c r="F5018" s="12"/>
      <c r="K5018" s="5"/>
    </row>
    <row r="5019" spans="6:11" x14ac:dyDescent="0.25">
      <c r="F5019" s="12"/>
      <c r="K5019" s="5"/>
    </row>
    <row r="5020" spans="6:11" x14ac:dyDescent="0.25">
      <c r="F5020" s="12"/>
      <c r="K5020" s="5"/>
    </row>
    <row r="5021" spans="6:11" x14ac:dyDescent="0.25">
      <c r="F5021" s="12"/>
      <c r="K5021" s="5"/>
    </row>
    <row r="5022" spans="6:11" x14ac:dyDescent="0.25">
      <c r="F5022" s="12"/>
      <c r="K5022" s="5"/>
    </row>
    <row r="5023" spans="6:11" x14ac:dyDescent="0.25">
      <c r="F5023" s="12"/>
      <c r="K5023" s="5"/>
    </row>
    <row r="5024" spans="6:11" x14ac:dyDescent="0.25">
      <c r="F5024" s="12"/>
      <c r="K5024" s="5"/>
    </row>
    <row r="5025" spans="6:11" x14ac:dyDescent="0.25">
      <c r="F5025" s="12"/>
      <c r="K5025" s="5"/>
    </row>
    <row r="5026" spans="6:11" x14ac:dyDescent="0.25">
      <c r="F5026" s="12"/>
      <c r="K5026" s="5"/>
    </row>
    <row r="5027" spans="6:11" x14ac:dyDescent="0.25">
      <c r="F5027" s="12"/>
      <c r="K5027" s="5"/>
    </row>
    <row r="5028" spans="6:11" x14ac:dyDescent="0.25">
      <c r="F5028" s="12"/>
      <c r="K5028" s="5"/>
    </row>
    <row r="5029" spans="6:11" x14ac:dyDescent="0.25">
      <c r="F5029" s="12"/>
      <c r="K5029" s="5"/>
    </row>
    <row r="5030" spans="6:11" x14ac:dyDescent="0.25">
      <c r="F5030" s="12"/>
      <c r="K5030" s="5"/>
    </row>
    <row r="5031" spans="6:11" x14ac:dyDescent="0.25">
      <c r="F5031" s="12"/>
      <c r="K5031" s="5"/>
    </row>
    <row r="5032" spans="6:11" x14ac:dyDescent="0.25">
      <c r="F5032" s="12"/>
      <c r="K5032" s="5"/>
    </row>
    <row r="5033" spans="6:11" x14ac:dyDescent="0.25">
      <c r="F5033" s="12"/>
      <c r="K5033" s="5"/>
    </row>
    <row r="5034" spans="6:11" x14ac:dyDescent="0.25">
      <c r="F5034" s="12"/>
      <c r="K5034" s="5"/>
    </row>
    <row r="5035" spans="6:11" x14ac:dyDescent="0.25">
      <c r="F5035" s="12"/>
      <c r="K5035" s="5"/>
    </row>
    <row r="5036" spans="6:11" x14ac:dyDescent="0.25">
      <c r="F5036" s="12"/>
      <c r="K5036" s="5"/>
    </row>
    <row r="5037" spans="6:11" x14ac:dyDescent="0.25">
      <c r="F5037" s="12"/>
      <c r="K5037" s="5"/>
    </row>
    <row r="5038" spans="6:11" x14ac:dyDescent="0.25">
      <c r="F5038" s="12"/>
      <c r="K5038" s="5"/>
    </row>
    <row r="5039" spans="6:11" x14ac:dyDescent="0.25">
      <c r="F5039" s="12"/>
      <c r="K5039" s="5"/>
    </row>
    <row r="5040" spans="6:11" x14ac:dyDescent="0.25">
      <c r="F5040" s="12"/>
      <c r="K5040" s="5"/>
    </row>
    <row r="5041" spans="6:11" x14ac:dyDescent="0.25">
      <c r="F5041" s="12"/>
      <c r="K5041" s="5"/>
    </row>
    <row r="5042" spans="6:11" x14ac:dyDescent="0.25">
      <c r="F5042" s="12"/>
      <c r="K5042" s="5"/>
    </row>
    <row r="5043" spans="6:11" x14ac:dyDescent="0.25">
      <c r="F5043" s="12"/>
      <c r="K5043" s="5"/>
    </row>
    <row r="5044" spans="6:11" x14ac:dyDescent="0.25">
      <c r="F5044" s="12"/>
      <c r="K5044" s="5"/>
    </row>
    <row r="5045" spans="6:11" x14ac:dyDescent="0.25">
      <c r="F5045" s="12"/>
      <c r="K5045" s="5"/>
    </row>
    <row r="5046" spans="6:11" x14ac:dyDescent="0.25">
      <c r="F5046" s="12"/>
      <c r="K5046" s="5"/>
    </row>
    <row r="5047" spans="6:11" x14ac:dyDescent="0.25">
      <c r="F5047" s="12"/>
      <c r="K5047" s="5"/>
    </row>
    <row r="5048" spans="6:11" x14ac:dyDescent="0.25">
      <c r="F5048" s="12"/>
      <c r="K5048" s="5"/>
    </row>
    <row r="5049" spans="6:11" x14ac:dyDescent="0.25">
      <c r="F5049" s="12"/>
      <c r="K5049" s="5"/>
    </row>
    <row r="5050" spans="6:11" x14ac:dyDescent="0.25">
      <c r="F5050" s="12"/>
      <c r="K5050" s="5"/>
    </row>
    <row r="5051" spans="6:11" x14ac:dyDescent="0.25">
      <c r="F5051" s="12"/>
      <c r="K5051" s="5"/>
    </row>
    <row r="5052" spans="6:11" x14ac:dyDescent="0.25">
      <c r="F5052" s="12"/>
      <c r="K5052" s="5"/>
    </row>
    <row r="5053" spans="6:11" x14ac:dyDescent="0.25">
      <c r="F5053" s="12"/>
      <c r="K5053" s="5"/>
    </row>
    <row r="5054" spans="6:11" x14ac:dyDescent="0.25">
      <c r="F5054" s="12"/>
      <c r="K5054" s="5"/>
    </row>
    <row r="5055" spans="6:11" x14ac:dyDescent="0.25">
      <c r="F5055" s="12"/>
      <c r="K5055" s="5"/>
    </row>
    <row r="5056" spans="6:11" x14ac:dyDescent="0.25">
      <c r="F5056" s="12"/>
      <c r="K5056" s="5"/>
    </row>
    <row r="5057" spans="6:11" x14ac:dyDescent="0.25">
      <c r="F5057" s="12"/>
      <c r="K5057" s="5"/>
    </row>
    <row r="5058" spans="6:11" x14ac:dyDescent="0.25">
      <c r="F5058" s="12"/>
      <c r="K5058" s="5"/>
    </row>
    <row r="5059" spans="6:11" x14ac:dyDescent="0.25">
      <c r="F5059" s="12"/>
      <c r="K5059" s="5"/>
    </row>
    <row r="5060" spans="6:11" x14ac:dyDescent="0.25">
      <c r="F5060" s="12"/>
      <c r="K5060" s="5"/>
    </row>
    <row r="5061" spans="6:11" x14ac:dyDescent="0.25">
      <c r="F5061" s="12"/>
      <c r="K5061" s="5"/>
    </row>
    <row r="5062" spans="6:11" x14ac:dyDescent="0.25">
      <c r="F5062" s="12"/>
      <c r="K5062" s="5"/>
    </row>
    <row r="5063" spans="6:11" x14ac:dyDescent="0.25">
      <c r="F5063" s="12"/>
      <c r="K5063" s="5"/>
    </row>
    <row r="5064" spans="6:11" x14ac:dyDescent="0.25">
      <c r="F5064" s="12"/>
      <c r="K5064" s="5"/>
    </row>
    <row r="5065" spans="6:11" x14ac:dyDescent="0.25">
      <c r="F5065" s="12"/>
      <c r="K5065" s="5"/>
    </row>
    <row r="5066" spans="6:11" x14ac:dyDescent="0.25">
      <c r="F5066" s="12"/>
      <c r="K5066" s="5"/>
    </row>
    <row r="5067" spans="6:11" x14ac:dyDescent="0.25">
      <c r="F5067" s="12"/>
      <c r="K5067" s="5"/>
    </row>
    <row r="5068" spans="6:11" x14ac:dyDescent="0.25">
      <c r="F5068" s="12"/>
      <c r="K5068" s="5"/>
    </row>
    <row r="5069" spans="6:11" x14ac:dyDescent="0.25">
      <c r="F5069" s="12"/>
      <c r="K5069" s="5"/>
    </row>
    <row r="5070" spans="6:11" x14ac:dyDescent="0.25">
      <c r="F5070" s="12"/>
      <c r="K5070" s="5"/>
    </row>
    <row r="5071" spans="6:11" x14ac:dyDescent="0.25">
      <c r="F5071" s="12"/>
      <c r="K5071" s="5"/>
    </row>
    <row r="5072" spans="6:11" x14ac:dyDescent="0.25">
      <c r="F5072" s="12"/>
      <c r="K5072" s="5"/>
    </row>
    <row r="5073" spans="6:11" x14ac:dyDescent="0.25">
      <c r="F5073" s="12"/>
      <c r="K5073" s="5"/>
    </row>
    <row r="5074" spans="6:11" x14ac:dyDescent="0.25">
      <c r="F5074" s="12"/>
      <c r="K5074" s="5"/>
    </row>
    <row r="5075" spans="6:11" x14ac:dyDescent="0.25">
      <c r="F5075" s="12"/>
      <c r="K5075" s="5"/>
    </row>
    <row r="5076" spans="6:11" x14ac:dyDescent="0.25">
      <c r="F5076" s="12"/>
      <c r="K5076" s="5"/>
    </row>
    <row r="5077" spans="6:11" x14ac:dyDescent="0.25">
      <c r="F5077" s="12"/>
      <c r="K5077" s="5"/>
    </row>
    <row r="5078" spans="6:11" x14ac:dyDescent="0.25">
      <c r="F5078" s="12"/>
      <c r="K5078" s="5"/>
    </row>
    <row r="5079" spans="6:11" x14ac:dyDescent="0.25">
      <c r="F5079" s="12"/>
      <c r="K5079" s="5"/>
    </row>
    <row r="5080" spans="6:11" x14ac:dyDescent="0.25">
      <c r="F5080" s="12"/>
      <c r="K5080" s="5"/>
    </row>
    <row r="5081" spans="6:11" x14ac:dyDescent="0.25">
      <c r="F5081" s="12"/>
      <c r="K5081" s="5"/>
    </row>
    <row r="5082" spans="6:11" x14ac:dyDescent="0.25">
      <c r="F5082" s="12"/>
      <c r="K5082" s="5"/>
    </row>
    <row r="5083" spans="6:11" x14ac:dyDescent="0.25">
      <c r="F5083" s="12"/>
      <c r="K5083" s="5"/>
    </row>
    <row r="5084" spans="6:11" x14ac:dyDescent="0.25">
      <c r="F5084" s="12"/>
      <c r="K5084" s="5"/>
    </row>
    <row r="5085" spans="6:11" x14ac:dyDescent="0.25">
      <c r="F5085" s="12"/>
      <c r="K5085" s="5"/>
    </row>
    <row r="5086" spans="6:11" x14ac:dyDescent="0.25">
      <c r="F5086" s="12"/>
      <c r="K5086" s="5"/>
    </row>
    <row r="5087" spans="6:11" x14ac:dyDescent="0.25">
      <c r="F5087" s="12"/>
      <c r="K5087" s="5"/>
    </row>
    <row r="5088" spans="6:11" x14ac:dyDescent="0.25">
      <c r="F5088" s="12"/>
      <c r="K5088" s="5"/>
    </row>
    <row r="5089" spans="6:11" x14ac:dyDescent="0.25">
      <c r="F5089" s="12"/>
      <c r="K5089" s="5"/>
    </row>
    <row r="5090" spans="6:11" x14ac:dyDescent="0.25">
      <c r="F5090" s="12"/>
      <c r="K5090" s="5"/>
    </row>
    <row r="5091" spans="6:11" x14ac:dyDescent="0.25">
      <c r="F5091" s="12"/>
      <c r="K5091" s="5"/>
    </row>
    <row r="5092" spans="6:11" x14ac:dyDescent="0.25">
      <c r="F5092" s="12"/>
      <c r="K5092" s="5"/>
    </row>
    <row r="5093" spans="6:11" x14ac:dyDescent="0.25">
      <c r="F5093" s="12"/>
      <c r="K5093" s="5"/>
    </row>
    <row r="5094" spans="6:11" x14ac:dyDescent="0.25">
      <c r="F5094" s="12"/>
      <c r="K5094" s="5"/>
    </row>
    <row r="5095" spans="6:11" x14ac:dyDescent="0.25">
      <c r="F5095" s="12"/>
      <c r="K5095" s="5"/>
    </row>
    <row r="5096" spans="6:11" x14ac:dyDescent="0.25">
      <c r="F5096" s="12"/>
      <c r="K5096" s="5"/>
    </row>
    <row r="5097" spans="6:11" x14ac:dyDescent="0.25">
      <c r="F5097" s="12"/>
      <c r="K5097" s="5"/>
    </row>
    <row r="5098" spans="6:11" x14ac:dyDescent="0.25">
      <c r="F5098" s="12"/>
      <c r="K5098" s="5"/>
    </row>
    <row r="5099" spans="6:11" x14ac:dyDescent="0.25">
      <c r="F5099" s="12"/>
      <c r="K5099" s="5"/>
    </row>
    <row r="5100" spans="6:11" x14ac:dyDescent="0.25">
      <c r="F5100" s="12"/>
      <c r="K5100" s="5"/>
    </row>
    <row r="5101" spans="6:11" x14ac:dyDescent="0.25">
      <c r="F5101" s="12"/>
      <c r="K5101" s="5"/>
    </row>
    <row r="5102" spans="6:11" x14ac:dyDescent="0.25">
      <c r="F5102" s="12"/>
      <c r="K5102" s="5"/>
    </row>
    <row r="5103" spans="6:11" x14ac:dyDescent="0.25">
      <c r="F5103" s="12"/>
      <c r="K5103" s="5"/>
    </row>
    <row r="5104" spans="6:11" x14ac:dyDescent="0.25">
      <c r="F5104" s="12"/>
      <c r="K5104" s="5"/>
    </row>
    <row r="5105" spans="6:11" x14ac:dyDescent="0.25">
      <c r="F5105" s="12"/>
      <c r="K5105" s="5"/>
    </row>
    <row r="5106" spans="6:11" x14ac:dyDescent="0.25">
      <c r="F5106" s="12"/>
      <c r="K5106" s="5"/>
    </row>
    <row r="5107" spans="6:11" x14ac:dyDescent="0.25">
      <c r="F5107" s="12"/>
      <c r="K5107" s="5"/>
    </row>
    <row r="5108" spans="6:11" x14ac:dyDescent="0.25">
      <c r="F5108" s="12"/>
      <c r="K5108" s="5"/>
    </row>
    <row r="5109" spans="6:11" x14ac:dyDescent="0.25">
      <c r="F5109" s="12"/>
      <c r="K5109" s="5"/>
    </row>
    <row r="5110" spans="6:11" x14ac:dyDescent="0.25">
      <c r="F5110" s="12"/>
      <c r="K5110" s="5"/>
    </row>
    <row r="5111" spans="6:11" x14ac:dyDescent="0.25">
      <c r="F5111" s="12"/>
      <c r="K5111" s="5"/>
    </row>
    <row r="5112" spans="6:11" x14ac:dyDescent="0.25">
      <c r="F5112" s="12"/>
      <c r="K5112" s="5"/>
    </row>
    <row r="5113" spans="6:11" x14ac:dyDescent="0.25">
      <c r="F5113" s="12"/>
      <c r="K5113" s="5"/>
    </row>
    <row r="5114" spans="6:11" x14ac:dyDescent="0.25">
      <c r="F5114" s="12"/>
      <c r="K5114" s="5"/>
    </row>
    <row r="5115" spans="6:11" x14ac:dyDescent="0.25">
      <c r="F5115" s="12"/>
      <c r="K5115" s="5"/>
    </row>
    <row r="5116" spans="6:11" x14ac:dyDescent="0.25">
      <c r="F5116" s="12"/>
      <c r="K5116" s="5"/>
    </row>
    <row r="5117" spans="6:11" x14ac:dyDescent="0.25">
      <c r="F5117" s="12"/>
      <c r="K5117" s="5"/>
    </row>
    <row r="5118" spans="6:11" x14ac:dyDescent="0.25">
      <c r="F5118" s="12"/>
      <c r="K5118" s="5"/>
    </row>
    <row r="5119" spans="6:11" x14ac:dyDescent="0.25">
      <c r="F5119" s="12"/>
      <c r="K5119" s="5"/>
    </row>
    <row r="5120" spans="6:11" x14ac:dyDescent="0.25">
      <c r="F5120" s="12"/>
      <c r="K5120" s="5"/>
    </row>
    <row r="5121" spans="6:11" x14ac:dyDescent="0.25">
      <c r="F5121" s="12"/>
      <c r="K5121" s="5"/>
    </row>
    <row r="5122" spans="6:11" x14ac:dyDescent="0.25">
      <c r="F5122" s="12"/>
      <c r="K5122" s="5"/>
    </row>
    <row r="5123" spans="6:11" x14ac:dyDescent="0.25">
      <c r="F5123" s="12"/>
      <c r="K5123" s="5"/>
    </row>
    <row r="5124" spans="6:11" x14ac:dyDescent="0.25">
      <c r="F5124" s="12"/>
      <c r="K5124" s="5"/>
    </row>
    <row r="5125" spans="6:11" x14ac:dyDescent="0.25">
      <c r="F5125" s="12"/>
      <c r="K5125" s="5"/>
    </row>
    <row r="5126" spans="6:11" x14ac:dyDescent="0.25">
      <c r="F5126" s="12"/>
      <c r="K5126" s="5"/>
    </row>
    <row r="5127" spans="6:11" x14ac:dyDescent="0.25">
      <c r="F5127" s="12"/>
      <c r="K5127" s="5"/>
    </row>
    <row r="5128" spans="6:11" x14ac:dyDescent="0.25">
      <c r="F5128" s="12"/>
      <c r="K5128" s="5"/>
    </row>
    <row r="5129" spans="6:11" x14ac:dyDescent="0.25">
      <c r="F5129" s="12"/>
      <c r="K5129" s="5"/>
    </row>
    <row r="5130" spans="6:11" x14ac:dyDescent="0.25">
      <c r="F5130" s="12"/>
      <c r="K5130" s="5"/>
    </row>
    <row r="5131" spans="6:11" x14ac:dyDescent="0.25">
      <c r="F5131" s="12"/>
      <c r="K5131" s="5"/>
    </row>
    <row r="5132" spans="6:11" x14ac:dyDescent="0.25">
      <c r="F5132" s="12"/>
      <c r="K5132" s="5"/>
    </row>
    <row r="5133" spans="6:11" x14ac:dyDescent="0.25">
      <c r="F5133" s="12"/>
      <c r="K5133" s="5"/>
    </row>
    <row r="5134" spans="6:11" x14ac:dyDescent="0.25">
      <c r="F5134" s="12"/>
      <c r="K5134" s="5"/>
    </row>
    <row r="5135" spans="6:11" x14ac:dyDescent="0.25">
      <c r="F5135" s="12"/>
      <c r="K5135" s="5"/>
    </row>
    <row r="5136" spans="6:11" x14ac:dyDescent="0.25">
      <c r="F5136" s="12"/>
      <c r="K5136" s="5"/>
    </row>
    <row r="5137" spans="6:11" x14ac:dyDescent="0.25">
      <c r="F5137" s="12"/>
      <c r="K5137" s="5"/>
    </row>
    <row r="5138" spans="6:11" x14ac:dyDescent="0.25">
      <c r="F5138" s="12"/>
      <c r="K5138" s="5"/>
    </row>
    <row r="5139" spans="6:11" x14ac:dyDescent="0.25">
      <c r="F5139" s="12"/>
      <c r="K5139" s="5"/>
    </row>
    <row r="5140" spans="6:11" x14ac:dyDescent="0.25">
      <c r="F5140" s="12"/>
      <c r="K5140" s="5"/>
    </row>
    <row r="5141" spans="6:11" x14ac:dyDescent="0.25">
      <c r="F5141" s="12"/>
      <c r="K5141" s="5"/>
    </row>
    <row r="5142" spans="6:11" x14ac:dyDescent="0.25">
      <c r="F5142" s="12"/>
      <c r="K5142" s="5"/>
    </row>
    <row r="5143" spans="6:11" x14ac:dyDescent="0.25">
      <c r="F5143" s="12"/>
      <c r="K5143" s="5"/>
    </row>
    <row r="5144" spans="6:11" x14ac:dyDescent="0.25">
      <c r="F5144" s="12"/>
      <c r="K5144" s="5"/>
    </row>
    <row r="5145" spans="6:11" x14ac:dyDescent="0.25">
      <c r="F5145" s="12"/>
      <c r="K5145" s="5"/>
    </row>
    <row r="5146" spans="6:11" x14ac:dyDescent="0.25">
      <c r="F5146" s="12"/>
      <c r="K5146" s="5"/>
    </row>
    <row r="5147" spans="6:11" x14ac:dyDescent="0.25">
      <c r="F5147" s="12"/>
      <c r="K5147" s="5"/>
    </row>
    <row r="5148" spans="6:11" x14ac:dyDescent="0.25">
      <c r="F5148" s="12"/>
      <c r="K5148" s="5"/>
    </row>
    <row r="5149" spans="6:11" x14ac:dyDescent="0.25">
      <c r="F5149" s="12"/>
      <c r="K5149" s="5"/>
    </row>
    <row r="5150" spans="6:11" x14ac:dyDescent="0.25">
      <c r="F5150" s="12"/>
      <c r="K5150" s="5"/>
    </row>
    <row r="5151" spans="6:11" x14ac:dyDescent="0.25">
      <c r="F5151" s="12"/>
      <c r="K5151" s="5"/>
    </row>
    <row r="5152" spans="6:11" x14ac:dyDescent="0.25">
      <c r="F5152" s="12"/>
      <c r="K5152" s="5"/>
    </row>
    <row r="5153" spans="6:11" x14ac:dyDescent="0.25">
      <c r="F5153" s="12"/>
      <c r="K5153" s="5"/>
    </row>
    <row r="5154" spans="6:11" x14ac:dyDescent="0.25">
      <c r="F5154" s="12"/>
      <c r="K5154" s="5"/>
    </row>
    <row r="5155" spans="6:11" x14ac:dyDescent="0.25">
      <c r="F5155" s="12"/>
      <c r="K5155" s="5"/>
    </row>
    <row r="5156" spans="6:11" x14ac:dyDescent="0.25">
      <c r="F5156" s="12"/>
      <c r="K5156" s="5"/>
    </row>
    <row r="5157" spans="6:11" x14ac:dyDescent="0.25">
      <c r="F5157" s="12"/>
      <c r="K5157" s="5"/>
    </row>
    <row r="5158" spans="6:11" x14ac:dyDescent="0.25">
      <c r="F5158" s="12"/>
      <c r="K5158" s="5"/>
    </row>
    <row r="5159" spans="6:11" x14ac:dyDescent="0.25">
      <c r="F5159" s="12"/>
      <c r="K5159" s="5"/>
    </row>
    <row r="5160" spans="6:11" x14ac:dyDescent="0.25">
      <c r="F5160" s="12"/>
      <c r="K5160" s="5"/>
    </row>
    <row r="5161" spans="6:11" x14ac:dyDescent="0.25">
      <c r="F5161" s="12"/>
      <c r="K5161" s="5"/>
    </row>
    <row r="5162" spans="6:11" x14ac:dyDescent="0.25">
      <c r="F5162" s="12"/>
      <c r="K5162" s="5"/>
    </row>
    <row r="5163" spans="6:11" x14ac:dyDescent="0.25">
      <c r="F5163" s="12"/>
      <c r="K5163" s="5"/>
    </row>
    <row r="5164" spans="6:11" x14ac:dyDescent="0.25">
      <c r="F5164" s="12"/>
      <c r="K5164" s="5"/>
    </row>
    <row r="5165" spans="6:11" x14ac:dyDescent="0.25">
      <c r="F5165" s="12"/>
      <c r="K5165" s="5"/>
    </row>
    <row r="5166" spans="6:11" x14ac:dyDescent="0.25">
      <c r="F5166" s="12"/>
      <c r="K5166" s="5"/>
    </row>
    <row r="5167" spans="6:11" x14ac:dyDescent="0.25">
      <c r="F5167" s="12"/>
      <c r="K5167" s="5"/>
    </row>
    <row r="5168" spans="6:11" x14ac:dyDescent="0.25">
      <c r="F5168" s="12"/>
      <c r="K5168" s="5"/>
    </row>
    <row r="5169" spans="6:11" x14ac:dyDescent="0.25">
      <c r="F5169" s="12"/>
      <c r="K5169" s="5"/>
    </row>
    <row r="5170" spans="6:11" x14ac:dyDescent="0.25">
      <c r="F5170" s="12"/>
      <c r="K5170" s="5"/>
    </row>
    <row r="5171" spans="6:11" x14ac:dyDescent="0.25">
      <c r="F5171" s="12"/>
      <c r="K5171" s="5"/>
    </row>
    <row r="5172" spans="6:11" x14ac:dyDescent="0.25">
      <c r="F5172" s="12"/>
      <c r="K5172" s="5"/>
    </row>
    <row r="5173" spans="6:11" x14ac:dyDescent="0.25">
      <c r="F5173" s="12"/>
      <c r="K5173" s="5"/>
    </row>
    <row r="5174" spans="6:11" x14ac:dyDescent="0.25">
      <c r="F5174" s="12"/>
      <c r="K5174" s="5"/>
    </row>
    <row r="5175" spans="6:11" x14ac:dyDescent="0.25">
      <c r="F5175" s="12"/>
      <c r="K5175" s="5"/>
    </row>
    <row r="5176" spans="6:11" x14ac:dyDescent="0.25">
      <c r="F5176" s="12"/>
      <c r="K5176" s="5"/>
    </row>
    <row r="5177" spans="6:11" x14ac:dyDescent="0.25">
      <c r="F5177" s="12"/>
      <c r="K5177" s="5"/>
    </row>
    <row r="5178" spans="6:11" x14ac:dyDescent="0.25">
      <c r="F5178" s="12"/>
      <c r="K5178" s="5"/>
    </row>
    <row r="5179" spans="6:11" x14ac:dyDescent="0.25">
      <c r="F5179" s="12"/>
      <c r="K5179" s="5"/>
    </row>
    <row r="5180" spans="6:11" x14ac:dyDescent="0.25">
      <c r="F5180" s="12"/>
      <c r="K5180" s="5"/>
    </row>
    <row r="5181" spans="6:11" x14ac:dyDescent="0.25">
      <c r="F5181" s="12"/>
      <c r="K5181" s="5"/>
    </row>
    <row r="5182" spans="6:11" x14ac:dyDescent="0.25">
      <c r="F5182" s="12"/>
      <c r="K5182" s="5"/>
    </row>
    <row r="5183" spans="6:11" x14ac:dyDescent="0.25">
      <c r="F5183" s="12"/>
      <c r="K5183" s="5"/>
    </row>
    <row r="5184" spans="6:11" x14ac:dyDescent="0.25">
      <c r="F5184" s="12"/>
      <c r="K5184" s="5"/>
    </row>
    <row r="5185" spans="6:11" x14ac:dyDescent="0.25">
      <c r="F5185" s="12"/>
      <c r="K5185" s="5"/>
    </row>
    <row r="5186" spans="6:11" x14ac:dyDescent="0.25">
      <c r="F5186" s="12"/>
      <c r="K5186" s="5"/>
    </row>
    <row r="5187" spans="6:11" x14ac:dyDescent="0.25">
      <c r="F5187" s="12"/>
      <c r="K5187" s="5"/>
    </row>
    <row r="5188" spans="6:11" x14ac:dyDescent="0.25">
      <c r="F5188" s="12"/>
      <c r="K5188" s="5"/>
    </row>
    <row r="5189" spans="6:11" x14ac:dyDescent="0.25">
      <c r="F5189" s="12"/>
      <c r="K5189" s="5"/>
    </row>
    <row r="5190" spans="6:11" x14ac:dyDescent="0.25">
      <c r="F5190" s="12"/>
      <c r="K5190" s="5"/>
    </row>
    <row r="5191" spans="6:11" x14ac:dyDescent="0.25">
      <c r="F5191" s="12"/>
      <c r="K5191" s="5"/>
    </row>
    <row r="5192" spans="6:11" x14ac:dyDescent="0.25">
      <c r="F5192" s="12"/>
      <c r="K5192" s="5"/>
    </row>
    <row r="5193" spans="6:11" x14ac:dyDescent="0.25">
      <c r="F5193" s="12"/>
      <c r="K5193" s="5"/>
    </row>
    <row r="5194" spans="6:11" x14ac:dyDescent="0.25">
      <c r="F5194" s="12"/>
      <c r="K5194" s="5"/>
    </row>
    <row r="5195" spans="6:11" x14ac:dyDescent="0.25">
      <c r="F5195" s="12"/>
      <c r="K5195" s="5"/>
    </row>
    <row r="5196" spans="6:11" x14ac:dyDescent="0.25">
      <c r="F5196" s="12"/>
      <c r="K5196" s="5"/>
    </row>
    <row r="5197" spans="6:11" x14ac:dyDescent="0.25">
      <c r="F5197" s="12"/>
      <c r="K5197" s="5"/>
    </row>
    <row r="5198" spans="6:11" x14ac:dyDescent="0.25">
      <c r="F5198" s="12"/>
      <c r="K5198" s="5"/>
    </row>
    <row r="5199" spans="6:11" x14ac:dyDescent="0.25">
      <c r="F5199" s="12"/>
      <c r="K5199" s="5"/>
    </row>
    <row r="5200" spans="6:11" x14ac:dyDescent="0.25">
      <c r="F5200" s="12"/>
      <c r="K5200" s="5"/>
    </row>
    <row r="5201" spans="6:11" x14ac:dyDescent="0.25">
      <c r="F5201" s="12"/>
      <c r="K5201" s="5"/>
    </row>
    <row r="5202" spans="6:11" x14ac:dyDescent="0.25">
      <c r="F5202" s="12"/>
      <c r="K5202" s="5"/>
    </row>
    <row r="5203" spans="6:11" x14ac:dyDescent="0.25">
      <c r="F5203" s="12"/>
      <c r="K5203" s="5"/>
    </row>
    <row r="5204" spans="6:11" x14ac:dyDescent="0.25">
      <c r="F5204" s="12"/>
      <c r="K5204" s="5"/>
    </row>
    <row r="5205" spans="6:11" x14ac:dyDescent="0.25">
      <c r="F5205" s="12"/>
      <c r="K5205" s="5"/>
    </row>
    <row r="5206" spans="6:11" x14ac:dyDescent="0.25">
      <c r="F5206" s="12"/>
      <c r="K5206" s="5"/>
    </row>
    <row r="5207" spans="6:11" x14ac:dyDescent="0.25">
      <c r="F5207" s="12"/>
      <c r="K5207" s="5"/>
    </row>
    <row r="5208" spans="6:11" x14ac:dyDescent="0.25">
      <c r="F5208" s="12"/>
      <c r="K5208" s="5"/>
    </row>
    <row r="5209" spans="6:11" x14ac:dyDescent="0.25">
      <c r="F5209" s="12"/>
      <c r="K5209" s="5"/>
    </row>
    <row r="5210" spans="6:11" x14ac:dyDescent="0.25">
      <c r="F5210" s="12"/>
      <c r="K5210" s="5"/>
    </row>
    <row r="5211" spans="6:11" x14ac:dyDescent="0.25">
      <c r="F5211" s="12"/>
      <c r="K5211" s="5"/>
    </row>
    <row r="5212" spans="6:11" x14ac:dyDescent="0.25">
      <c r="F5212" s="12"/>
      <c r="K5212" s="5"/>
    </row>
    <row r="5213" spans="6:11" x14ac:dyDescent="0.25">
      <c r="F5213" s="12"/>
      <c r="K5213" s="5"/>
    </row>
    <row r="5214" spans="6:11" x14ac:dyDescent="0.25">
      <c r="F5214" s="12"/>
      <c r="K5214" s="5"/>
    </row>
    <row r="5215" spans="6:11" x14ac:dyDescent="0.25">
      <c r="F5215" s="12"/>
      <c r="K5215" s="5"/>
    </row>
    <row r="5216" spans="6:11" x14ac:dyDescent="0.25">
      <c r="F5216" s="12"/>
      <c r="K5216" s="5"/>
    </row>
    <row r="5217" spans="6:11" x14ac:dyDescent="0.25">
      <c r="F5217" s="12"/>
      <c r="K5217" s="5"/>
    </row>
    <row r="5218" spans="6:11" x14ac:dyDescent="0.25">
      <c r="F5218" s="12"/>
      <c r="K5218" s="5"/>
    </row>
    <row r="5219" spans="6:11" x14ac:dyDescent="0.25">
      <c r="F5219" s="12"/>
      <c r="K5219" s="5"/>
    </row>
    <row r="5220" spans="6:11" x14ac:dyDescent="0.25">
      <c r="F5220" s="12"/>
      <c r="K5220" s="5"/>
    </row>
    <row r="5221" spans="6:11" x14ac:dyDescent="0.25">
      <c r="F5221" s="12"/>
      <c r="K5221" s="5"/>
    </row>
    <row r="5222" spans="6:11" x14ac:dyDescent="0.25">
      <c r="F5222" s="12"/>
      <c r="K5222" s="5"/>
    </row>
    <row r="5223" spans="6:11" x14ac:dyDescent="0.25">
      <c r="F5223" s="12"/>
      <c r="K5223" s="5"/>
    </row>
    <row r="5224" spans="6:11" x14ac:dyDescent="0.25">
      <c r="F5224" s="12"/>
      <c r="K5224" s="5"/>
    </row>
    <row r="5225" spans="6:11" x14ac:dyDescent="0.25">
      <c r="F5225" s="12"/>
      <c r="K5225" s="5"/>
    </row>
    <row r="5226" spans="6:11" x14ac:dyDescent="0.25">
      <c r="F5226" s="12"/>
      <c r="K5226" s="5"/>
    </row>
    <row r="5227" spans="6:11" x14ac:dyDescent="0.25">
      <c r="F5227" s="12"/>
      <c r="K5227" s="5"/>
    </row>
    <row r="5228" spans="6:11" x14ac:dyDescent="0.25">
      <c r="F5228" s="12"/>
      <c r="K5228" s="5"/>
    </row>
    <row r="5229" spans="6:11" x14ac:dyDescent="0.25">
      <c r="F5229" s="12"/>
      <c r="K5229" s="5"/>
    </row>
    <row r="5230" spans="6:11" x14ac:dyDescent="0.25">
      <c r="F5230" s="12"/>
      <c r="K5230" s="5"/>
    </row>
    <row r="5231" spans="6:11" x14ac:dyDescent="0.25">
      <c r="F5231" s="12"/>
      <c r="K5231" s="5"/>
    </row>
    <row r="5232" spans="6:11" x14ac:dyDescent="0.25">
      <c r="F5232" s="12"/>
      <c r="K5232" s="5"/>
    </row>
    <row r="5233" spans="6:11" x14ac:dyDescent="0.25">
      <c r="F5233" s="12"/>
      <c r="K5233" s="5"/>
    </row>
    <row r="5234" spans="6:11" x14ac:dyDescent="0.25">
      <c r="F5234" s="12"/>
      <c r="K5234" s="5"/>
    </row>
    <row r="5235" spans="6:11" x14ac:dyDescent="0.25">
      <c r="F5235" s="12"/>
      <c r="K5235" s="5"/>
    </row>
    <row r="5236" spans="6:11" x14ac:dyDescent="0.25">
      <c r="F5236" s="12"/>
      <c r="K5236" s="5"/>
    </row>
    <row r="5237" spans="6:11" x14ac:dyDescent="0.25">
      <c r="F5237" s="12"/>
      <c r="K5237" s="5"/>
    </row>
    <row r="5238" spans="6:11" x14ac:dyDescent="0.25">
      <c r="F5238" s="12"/>
      <c r="K5238" s="5"/>
    </row>
    <row r="5239" spans="6:11" x14ac:dyDescent="0.25">
      <c r="F5239" s="12"/>
      <c r="K5239" s="5"/>
    </row>
    <row r="5240" spans="6:11" x14ac:dyDescent="0.25">
      <c r="F5240" s="12"/>
      <c r="K5240" s="5"/>
    </row>
    <row r="5241" spans="6:11" x14ac:dyDescent="0.25">
      <c r="F5241" s="12"/>
      <c r="K5241" s="5"/>
    </row>
    <row r="5242" spans="6:11" x14ac:dyDescent="0.25">
      <c r="F5242" s="12"/>
      <c r="K5242" s="5"/>
    </row>
    <row r="5243" spans="6:11" x14ac:dyDescent="0.25">
      <c r="F5243" s="12"/>
      <c r="K5243" s="5"/>
    </row>
    <row r="5244" spans="6:11" x14ac:dyDescent="0.25">
      <c r="F5244" s="12"/>
      <c r="K5244" s="5"/>
    </row>
    <row r="5245" spans="6:11" x14ac:dyDescent="0.25">
      <c r="F5245" s="12"/>
      <c r="K5245" s="5"/>
    </row>
    <row r="5246" spans="6:11" x14ac:dyDescent="0.25">
      <c r="F5246" s="12"/>
      <c r="K5246" s="5"/>
    </row>
    <row r="5247" spans="6:11" x14ac:dyDescent="0.25">
      <c r="F5247" s="12"/>
      <c r="K5247" s="5"/>
    </row>
    <row r="5248" spans="6:11" x14ac:dyDescent="0.25">
      <c r="F5248" s="12"/>
      <c r="K5248" s="5"/>
    </row>
    <row r="5249" spans="6:11" x14ac:dyDescent="0.25">
      <c r="F5249" s="12"/>
      <c r="K5249" s="5"/>
    </row>
    <row r="5250" spans="6:11" x14ac:dyDescent="0.25">
      <c r="F5250" s="12"/>
      <c r="K5250" s="5"/>
    </row>
    <row r="5251" spans="6:11" x14ac:dyDescent="0.25">
      <c r="F5251" s="12"/>
      <c r="K5251" s="5"/>
    </row>
    <row r="5252" spans="6:11" x14ac:dyDescent="0.25">
      <c r="F5252" s="12"/>
      <c r="K5252" s="5"/>
    </row>
    <row r="5253" spans="6:11" x14ac:dyDescent="0.25">
      <c r="F5253" s="12"/>
      <c r="K5253" s="5"/>
    </row>
    <row r="5254" spans="6:11" x14ac:dyDescent="0.25">
      <c r="F5254" s="12"/>
      <c r="K5254" s="5"/>
    </row>
    <row r="5255" spans="6:11" x14ac:dyDescent="0.25">
      <c r="F5255" s="12"/>
      <c r="K5255" s="5"/>
    </row>
    <row r="5256" spans="6:11" x14ac:dyDescent="0.25">
      <c r="F5256" s="12"/>
      <c r="K5256" s="5"/>
    </row>
    <row r="5257" spans="6:11" x14ac:dyDescent="0.25">
      <c r="F5257" s="12"/>
      <c r="K5257" s="5"/>
    </row>
    <row r="5258" spans="6:11" x14ac:dyDescent="0.25">
      <c r="F5258" s="12"/>
      <c r="K5258" s="5"/>
    </row>
    <row r="5259" spans="6:11" x14ac:dyDescent="0.25">
      <c r="F5259" s="12"/>
      <c r="K5259" s="5"/>
    </row>
    <row r="5260" spans="6:11" x14ac:dyDescent="0.25">
      <c r="F5260" s="12"/>
      <c r="K5260" s="5"/>
    </row>
    <row r="5261" spans="6:11" x14ac:dyDescent="0.25">
      <c r="F5261" s="12"/>
      <c r="K5261" s="5"/>
    </row>
    <row r="5262" spans="6:11" x14ac:dyDescent="0.25">
      <c r="F5262" s="12"/>
      <c r="K5262" s="5"/>
    </row>
    <row r="5263" spans="6:11" x14ac:dyDescent="0.25">
      <c r="F5263" s="12"/>
      <c r="K5263" s="5"/>
    </row>
    <row r="5264" spans="6:11" x14ac:dyDescent="0.25">
      <c r="F5264" s="12"/>
      <c r="K5264" s="5"/>
    </row>
    <row r="5265" spans="6:11" x14ac:dyDescent="0.25">
      <c r="F5265" s="12"/>
      <c r="K5265" s="5"/>
    </row>
    <row r="5266" spans="6:11" x14ac:dyDescent="0.25">
      <c r="F5266" s="12"/>
      <c r="K5266" s="5"/>
    </row>
    <row r="5267" spans="6:11" x14ac:dyDescent="0.25">
      <c r="F5267" s="12"/>
      <c r="K5267" s="5"/>
    </row>
    <row r="5268" spans="6:11" x14ac:dyDescent="0.25">
      <c r="F5268" s="12"/>
      <c r="K5268" s="5"/>
    </row>
    <row r="5269" spans="6:11" x14ac:dyDescent="0.25">
      <c r="F5269" s="12"/>
      <c r="K5269" s="5"/>
    </row>
    <row r="5270" spans="6:11" x14ac:dyDescent="0.25">
      <c r="F5270" s="12"/>
      <c r="K5270" s="5"/>
    </row>
    <row r="5271" spans="6:11" x14ac:dyDescent="0.25">
      <c r="F5271" s="12"/>
      <c r="K5271" s="5"/>
    </row>
    <row r="5272" spans="6:11" x14ac:dyDescent="0.25">
      <c r="F5272" s="12"/>
      <c r="K5272" s="5"/>
    </row>
    <row r="5273" spans="6:11" x14ac:dyDescent="0.25">
      <c r="F5273" s="12"/>
      <c r="K5273" s="5"/>
    </row>
    <row r="5274" spans="6:11" x14ac:dyDescent="0.25">
      <c r="F5274" s="12"/>
      <c r="K5274" s="5"/>
    </row>
    <row r="5275" spans="6:11" x14ac:dyDescent="0.25">
      <c r="F5275" s="12"/>
      <c r="K5275" s="5"/>
    </row>
    <row r="5276" spans="6:11" x14ac:dyDescent="0.25">
      <c r="F5276" s="12"/>
      <c r="K5276" s="5"/>
    </row>
    <row r="5277" spans="6:11" x14ac:dyDescent="0.25">
      <c r="F5277" s="12"/>
      <c r="K5277" s="5"/>
    </row>
    <row r="5278" spans="6:11" x14ac:dyDescent="0.25">
      <c r="F5278" s="12"/>
      <c r="K5278" s="5"/>
    </row>
    <row r="5279" spans="6:11" x14ac:dyDescent="0.25">
      <c r="F5279" s="12"/>
      <c r="K5279" s="5"/>
    </row>
    <row r="5280" spans="6:11" x14ac:dyDescent="0.25">
      <c r="F5280" s="12"/>
      <c r="K5280" s="5"/>
    </row>
    <row r="5281" spans="6:11" x14ac:dyDescent="0.25">
      <c r="F5281" s="12"/>
      <c r="K5281" s="5"/>
    </row>
    <row r="5282" spans="6:11" x14ac:dyDescent="0.25">
      <c r="F5282" s="12"/>
      <c r="K5282" s="5"/>
    </row>
    <row r="5283" spans="6:11" x14ac:dyDescent="0.25">
      <c r="F5283" s="12"/>
      <c r="K5283" s="5"/>
    </row>
    <row r="5284" spans="6:11" x14ac:dyDescent="0.25">
      <c r="F5284" s="12"/>
      <c r="K5284" s="5"/>
    </row>
    <row r="5285" spans="6:11" x14ac:dyDescent="0.25">
      <c r="F5285" s="12"/>
      <c r="K5285" s="5"/>
    </row>
    <row r="5286" spans="6:11" x14ac:dyDescent="0.25">
      <c r="F5286" s="12"/>
      <c r="K5286" s="5"/>
    </row>
    <row r="5287" spans="6:11" x14ac:dyDescent="0.25">
      <c r="F5287" s="12"/>
      <c r="K5287" s="5"/>
    </row>
    <row r="5288" spans="6:11" x14ac:dyDescent="0.25">
      <c r="F5288" s="12"/>
      <c r="K5288" s="5"/>
    </row>
    <row r="5289" spans="6:11" x14ac:dyDescent="0.25">
      <c r="F5289" s="12"/>
      <c r="K5289" s="5"/>
    </row>
    <row r="5290" spans="6:11" x14ac:dyDescent="0.25">
      <c r="F5290" s="12"/>
      <c r="K5290" s="5"/>
    </row>
    <row r="5291" spans="6:11" x14ac:dyDescent="0.25">
      <c r="F5291" s="12"/>
      <c r="K5291" s="5"/>
    </row>
    <row r="5292" spans="6:11" x14ac:dyDescent="0.25">
      <c r="F5292" s="12"/>
      <c r="K5292" s="5"/>
    </row>
    <row r="5293" spans="6:11" x14ac:dyDescent="0.25">
      <c r="F5293" s="12"/>
      <c r="K5293" s="5"/>
    </row>
    <row r="5294" spans="6:11" x14ac:dyDescent="0.25">
      <c r="F5294" s="12"/>
      <c r="K5294" s="5"/>
    </row>
    <row r="5295" spans="6:11" x14ac:dyDescent="0.25">
      <c r="F5295" s="12"/>
      <c r="K5295" s="5"/>
    </row>
    <row r="5296" spans="6:11" x14ac:dyDescent="0.25">
      <c r="F5296" s="12"/>
      <c r="K5296" s="5"/>
    </row>
    <row r="5297" spans="6:11" x14ac:dyDescent="0.25">
      <c r="F5297" s="12"/>
      <c r="K5297" s="5"/>
    </row>
    <row r="5298" spans="6:11" x14ac:dyDescent="0.25">
      <c r="F5298" s="12"/>
      <c r="K5298" s="5"/>
    </row>
    <row r="5299" spans="6:11" x14ac:dyDescent="0.25">
      <c r="F5299" s="12"/>
      <c r="K5299" s="5"/>
    </row>
    <row r="5300" spans="6:11" x14ac:dyDescent="0.25">
      <c r="F5300" s="12"/>
      <c r="K5300" s="5"/>
    </row>
    <row r="5301" spans="6:11" x14ac:dyDescent="0.25">
      <c r="F5301" s="12"/>
      <c r="K5301" s="5"/>
    </row>
    <row r="5302" spans="6:11" x14ac:dyDescent="0.25">
      <c r="F5302" s="12"/>
      <c r="K5302" s="5"/>
    </row>
    <row r="5303" spans="6:11" x14ac:dyDescent="0.25">
      <c r="F5303" s="12"/>
      <c r="K5303" s="5"/>
    </row>
    <row r="5304" spans="6:11" x14ac:dyDescent="0.25">
      <c r="F5304" s="12"/>
      <c r="K5304" s="5"/>
    </row>
    <row r="5305" spans="6:11" x14ac:dyDescent="0.25">
      <c r="F5305" s="12"/>
      <c r="K5305" s="5"/>
    </row>
    <row r="5306" spans="6:11" x14ac:dyDescent="0.25">
      <c r="F5306" s="12"/>
      <c r="K5306" s="5"/>
    </row>
    <row r="5307" spans="6:11" x14ac:dyDescent="0.25">
      <c r="F5307" s="12"/>
      <c r="K5307" s="5"/>
    </row>
    <row r="5308" spans="6:11" x14ac:dyDescent="0.25">
      <c r="F5308" s="12"/>
      <c r="K5308" s="5"/>
    </row>
    <row r="5309" spans="6:11" x14ac:dyDescent="0.25">
      <c r="F5309" s="12"/>
      <c r="K5309" s="5"/>
    </row>
    <row r="5310" spans="6:11" x14ac:dyDescent="0.25">
      <c r="F5310" s="12"/>
      <c r="K5310" s="5"/>
    </row>
    <row r="5311" spans="6:11" x14ac:dyDescent="0.25">
      <c r="F5311" s="12"/>
      <c r="K5311" s="5"/>
    </row>
    <row r="5312" spans="6:11" x14ac:dyDescent="0.25">
      <c r="F5312" s="12"/>
      <c r="K5312" s="5"/>
    </row>
    <row r="5313" spans="6:11" x14ac:dyDescent="0.25">
      <c r="F5313" s="12"/>
      <c r="K5313" s="5"/>
    </row>
    <row r="5314" spans="6:11" x14ac:dyDescent="0.25">
      <c r="F5314" s="12"/>
      <c r="K5314" s="5"/>
    </row>
    <row r="5315" spans="6:11" x14ac:dyDescent="0.25">
      <c r="F5315" s="12"/>
      <c r="K5315" s="5"/>
    </row>
    <row r="5316" spans="6:11" x14ac:dyDescent="0.25">
      <c r="F5316" s="12"/>
      <c r="K5316" s="5"/>
    </row>
    <row r="5317" spans="6:11" x14ac:dyDescent="0.25">
      <c r="F5317" s="12"/>
      <c r="K5317" s="5"/>
    </row>
    <row r="5318" spans="6:11" x14ac:dyDescent="0.25">
      <c r="F5318" s="12"/>
      <c r="K5318" s="5"/>
    </row>
    <row r="5319" spans="6:11" x14ac:dyDescent="0.25">
      <c r="F5319" s="12"/>
      <c r="K5319" s="5"/>
    </row>
    <row r="5320" spans="6:11" x14ac:dyDescent="0.25">
      <c r="F5320" s="12"/>
      <c r="K5320" s="5"/>
    </row>
    <row r="5321" spans="6:11" x14ac:dyDescent="0.25">
      <c r="F5321" s="12"/>
      <c r="K5321" s="5"/>
    </row>
    <row r="5322" spans="6:11" x14ac:dyDescent="0.25">
      <c r="F5322" s="12"/>
      <c r="K5322" s="5"/>
    </row>
    <row r="5323" spans="6:11" x14ac:dyDescent="0.25">
      <c r="F5323" s="12"/>
      <c r="K5323" s="5"/>
    </row>
    <row r="5324" spans="6:11" x14ac:dyDescent="0.25">
      <c r="F5324" s="12"/>
      <c r="K5324" s="5"/>
    </row>
    <row r="5325" spans="6:11" x14ac:dyDescent="0.25">
      <c r="F5325" s="12"/>
      <c r="K5325" s="5"/>
    </row>
    <row r="5326" spans="6:11" x14ac:dyDescent="0.25">
      <c r="F5326" s="12"/>
      <c r="K5326" s="5"/>
    </row>
    <row r="5327" spans="6:11" x14ac:dyDescent="0.25">
      <c r="F5327" s="12"/>
      <c r="K5327" s="5"/>
    </row>
    <row r="5328" spans="6:11" x14ac:dyDescent="0.25">
      <c r="F5328" s="12"/>
      <c r="K5328" s="5"/>
    </row>
    <row r="5329" spans="6:11" x14ac:dyDescent="0.25">
      <c r="F5329" s="12"/>
      <c r="K5329" s="5"/>
    </row>
    <row r="5330" spans="6:11" x14ac:dyDescent="0.25">
      <c r="F5330" s="12"/>
      <c r="K5330" s="5"/>
    </row>
    <row r="5331" spans="6:11" x14ac:dyDescent="0.25">
      <c r="F5331" s="12"/>
      <c r="K5331" s="5"/>
    </row>
    <row r="5332" spans="6:11" x14ac:dyDescent="0.25">
      <c r="F5332" s="12"/>
      <c r="K5332" s="5"/>
    </row>
    <row r="5333" spans="6:11" x14ac:dyDescent="0.25">
      <c r="F5333" s="12"/>
      <c r="K5333" s="5"/>
    </row>
    <row r="5334" spans="6:11" x14ac:dyDescent="0.25">
      <c r="F5334" s="12"/>
      <c r="K5334" s="5"/>
    </row>
    <row r="5335" spans="6:11" x14ac:dyDescent="0.25">
      <c r="F5335" s="12"/>
      <c r="K5335" s="5"/>
    </row>
    <row r="5336" spans="6:11" x14ac:dyDescent="0.25">
      <c r="F5336" s="12"/>
      <c r="K5336" s="5"/>
    </row>
    <row r="5337" spans="6:11" x14ac:dyDescent="0.25">
      <c r="F5337" s="12"/>
      <c r="K5337" s="5"/>
    </row>
    <row r="5338" spans="6:11" x14ac:dyDescent="0.25">
      <c r="F5338" s="12"/>
      <c r="K5338" s="5"/>
    </row>
    <row r="5339" spans="6:11" x14ac:dyDescent="0.25">
      <c r="F5339" s="12"/>
      <c r="K5339" s="5"/>
    </row>
    <row r="5340" spans="6:11" x14ac:dyDescent="0.25">
      <c r="F5340" s="12"/>
      <c r="K5340" s="5"/>
    </row>
    <row r="5341" spans="6:11" x14ac:dyDescent="0.25">
      <c r="F5341" s="12"/>
      <c r="K5341" s="5"/>
    </row>
    <row r="5342" spans="6:11" x14ac:dyDescent="0.25">
      <c r="F5342" s="12"/>
      <c r="K5342" s="5"/>
    </row>
    <row r="5343" spans="6:11" x14ac:dyDescent="0.25">
      <c r="F5343" s="12"/>
      <c r="K5343" s="5"/>
    </row>
    <row r="5344" spans="6:11" x14ac:dyDescent="0.25">
      <c r="F5344" s="12"/>
      <c r="K5344" s="5"/>
    </row>
    <row r="5345" spans="6:11" x14ac:dyDescent="0.25">
      <c r="F5345" s="12"/>
      <c r="K5345" s="5"/>
    </row>
    <row r="5346" spans="6:11" x14ac:dyDescent="0.25">
      <c r="F5346" s="12"/>
      <c r="K5346" s="5"/>
    </row>
    <row r="5347" spans="6:11" x14ac:dyDescent="0.25">
      <c r="F5347" s="12"/>
      <c r="K5347" s="5"/>
    </row>
    <row r="5348" spans="6:11" x14ac:dyDescent="0.25">
      <c r="F5348" s="12"/>
      <c r="K5348" s="5"/>
    </row>
    <row r="5349" spans="6:11" x14ac:dyDescent="0.25">
      <c r="F5349" s="12"/>
      <c r="K5349" s="5"/>
    </row>
    <row r="5350" spans="6:11" x14ac:dyDescent="0.25">
      <c r="F5350" s="12"/>
      <c r="K5350" s="5"/>
    </row>
    <row r="5351" spans="6:11" x14ac:dyDescent="0.25">
      <c r="F5351" s="12"/>
      <c r="K5351" s="5"/>
    </row>
    <row r="5352" spans="6:11" x14ac:dyDescent="0.25">
      <c r="F5352" s="12"/>
      <c r="K5352" s="5"/>
    </row>
    <row r="5353" spans="6:11" x14ac:dyDescent="0.25">
      <c r="F5353" s="12"/>
      <c r="K5353" s="5"/>
    </row>
    <row r="5354" spans="6:11" x14ac:dyDescent="0.25">
      <c r="F5354" s="12"/>
      <c r="K5354" s="5"/>
    </row>
    <row r="5355" spans="6:11" x14ac:dyDescent="0.25">
      <c r="F5355" s="12"/>
      <c r="K5355" s="5"/>
    </row>
    <row r="5356" spans="6:11" x14ac:dyDescent="0.25">
      <c r="F5356" s="12"/>
      <c r="K5356" s="5"/>
    </row>
    <row r="5357" spans="6:11" x14ac:dyDescent="0.25">
      <c r="F5357" s="12"/>
      <c r="K5357" s="5"/>
    </row>
    <row r="5358" spans="6:11" x14ac:dyDescent="0.25">
      <c r="F5358" s="12"/>
      <c r="K5358" s="5"/>
    </row>
    <row r="5359" spans="6:11" x14ac:dyDescent="0.25">
      <c r="F5359" s="12"/>
      <c r="K5359" s="5"/>
    </row>
    <row r="5360" spans="6:11" x14ac:dyDescent="0.25">
      <c r="F5360" s="12"/>
      <c r="K5360" s="5"/>
    </row>
    <row r="5361" spans="6:11" x14ac:dyDescent="0.25">
      <c r="F5361" s="12"/>
      <c r="K5361" s="5"/>
    </row>
    <row r="5362" spans="6:11" x14ac:dyDescent="0.25">
      <c r="F5362" s="12"/>
      <c r="K5362" s="5"/>
    </row>
    <row r="5363" spans="6:11" x14ac:dyDescent="0.25">
      <c r="F5363" s="12"/>
      <c r="K5363" s="5"/>
    </row>
    <row r="5364" spans="6:11" x14ac:dyDescent="0.25">
      <c r="F5364" s="12"/>
      <c r="K5364" s="5"/>
    </row>
    <row r="5365" spans="6:11" x14ac:dyDescent="0.25">
      <c r="F5365" s="12"/>
      <c r="K5365" s="5"/>
    </row>
    <row r="5366" spans="6:11" x14ac:dyDescent="0.25">
      <c r="F5366" s="12"/>
      <c r="K5366" s="5"/>
    </row>
    <row r="5367" spans="6:11" x14ac:dyDescent="0.25">
      <c r="F5367" s="12"/>
      <c r="K5367" s="5"/>
    </row>
    <row r="5368" spans="6:11" x14ac:dyDescent="0.25">
      <c r="F5368" s="12"/>
      <c r="K5368" s="5"/>
    </row>
    <row r="5369" spans="6:11" x14ac:dyDescent="0.25">
      <c r="F5369" s="12"/>
      <c r="K5369" s="5"/>
    </row>
    <row r="5370" spans="6:11" x14ac:dyDescent="0.25">
      <c r="F5370" s="12"/>
      <c r="K5370" s="5"/>
    </row>
    <row r="5371" spans="6:11" x14ac:dyDescent="0.25">
      <c r="F5371" s="12"/>
      <c r="K5371" s="5"/>
    </row>
    <row r="5372" spans="6:11" x14ac:dyDescent="0.25">
      <c r="F5372" s="12"/>
      <c r="K5372" s="5"/>
    </row>
    <row r="5373" spans="6:11" x14ac:dyDescent="0.25">
      <c r="F5373" s="12"/>
      <c r="K5373" s="5"/>
    </row>
    <row r="5374" spans="6:11" x14ac:dyDescent="0.25">
      <c r="F5374" s="12"/>
      <c r="K5374" s="5"/>
    </row>
    <row r="5375" spans="6:11" x14ac:dyDescent="0.25">
      <c r="F5375" s="12"/>
      <c r="K5375" s="5"/>
    </row>
    <row r="5376" spans="6:11" x14ac:dyDescent="0.25">
      <c r="F5376" s="12"/>
      <c r="K5376" s="5"/>
    </row>
    <row r="5377" spans="6:11" x14ac:dyDescent="0.25">
      <c r="F5377" s="12"/>
      <c r="K5377" s="5"/>
    </row>
    <row r="5378" spans="6:11" x14ac:dyDescent="0.25">
      <c r="F5378" s="12"/>
      <c r="K5378" s="5"/>
    </row>
    <row r="5379" spans="6:11" x14ac:dyDescent="0.25">
      <c r="F5379" s="12"/>
      <c r="K5379" s="5"/>
    </row>
    <row r="5380" spans="6:11" x14ac:dyDescent="0.25">
      <c r="F5380" s="12"/>
      <c r="K5380" s="5"/>
    </row>
    <row r="5381" spans="6:11" x14ac:dyDescent="0.25">
      <c r="F5381" s="12"/>
      <c r="K5381" s="5"/>
    </row>
    <row r="5382" spans="6:11" x14ac:dyDescent="0.25">
      <c r="F5382" s="12"/>
      <c r="K5382" s="5"/>
    </row>
    <row r="5383" spans="6:11" x14ac:dyDescent="0.25">
      <c r="F5383" s="12"/>
      <c r="K5383" s="5"/>
    </row>
    <row r="5384" spans="6:11" x14ac:dyDescent="0.25">
      <c r="F5384" s="12"/>
      <c r="K5384" s="5"/>
    </row>
    <row r="5385" spans="6:11" x14ac:dyDescent="0.25">
      <c r="F5385" s="12"/>
      <c r="K5385" s="5"/>
    </row>
    <row r="5386" spans="6:11" x14ac:dyDescent="0.25">
      <c r="F5386" s="12"/>
      <c r="K5386" s="5"/>
    </row>
    <row r="5387" spans="6:11" x14ac:dyDescent="0.25">
      <c r="F5387" s="12"/>
      <c r="K5387" s="5"/>
    </row>
    <row r="5388" spans="6:11" x14ac:dyDescent="0.25">
      <c r="F5388" s="12"/>
      <c r="K5388" s="5"/>
    </row>
    <row r="5389" spans="6:11" x14ac:dyDescent="0.25">
      <c r="F5389" s="12"/>
      <c r="K5389" s="5"/>
    </row>
    <row r="5390" spans="6:11" x14ac:dyDescent="0.25">
      <c r="F5390" s="12"/>
      <c r="K5390" s="5"/>
    </row>
    <row r="5391" spans="6:11" x14ac:dyDescent="0.25">
      <c r="F5391" s="12"/>
      <c r="K5391" s="5"/>
    </row>
    <row r="5392" spans="6:11" x14ac:dyDescent="0.25">
      <c r="F5392" s="12"/>
      <c r="K5392" s="5"/>
    </row>
    <row r="5393" spans="6:11" x14ac:dyDescent="0.25">
      <c r="F5393" s="12"/>
      <c r="K5393" s="5"/>
    </row>
    <row r="5394" spans="6:11" x14ac:dyDescent="0.25">
      <c r="F5394" s="12"/>
      <c r="K5394" s="5"/>
    </row>
    <row r="5395" spans="6:11" x14ac:dyDescent="0.25">
      <c r="F5395" s="12"/>
      <c r="K5395" s="5"/>
    </row>
    <row r="5396" spans="6:11" x14ac:dyDescent="0.25">
      <c r="F5396" s="12"/>
      <c r="K5396" s="5"/>
    </row>
    <row r="5397" spans="6:11" x14ac:dyDescent="0.25">
      <c r="F5397" s="12"/>
      <c r="K5397" s="5"/>
    </row>
    <row r="5398" spans="6:11" x14ac:dyDescent="0.25">
      <c r="F5398" s="12"/>
      <c r="K5398" s="5"/>
    </row>
    <row r="5399" spans="6:11" x14ac:dyDescent="0.25">
      <c r="F5399" s="12"/>
      <c r="K5399" s="5"/>
    </row>
    <row r="5400" spans="6:11" x14ac:dyDescent="0.25">
      <c r="F5400" s="12"/>
      <c r="K5400" s="5"/>
    </row>
    <row r="5401" spans="6:11" x14ac:dyDescent="0.25">
      <c r="F5401" s="12"/>
      <c r="K5401" s="5"/>
    </row>
    <row r="5402" spans="6:11" x14ac:dyDescent="0.25">
      <c r="F5402" s="12"/>
      <c r="K5402" s="5"/>
    </row>
    <row r="5403" spans="6:11" x14ac:dyDescent="0.25">
      <c r="F5403" s="12"/>
      <c r="K5403" s="5"/>
    </row>
    <row r="5404" spans="6:11" x14ac:dyDescent="0.25">
      <c r="F5404" s="12"/>
      <c r="K5404" s="5"/>
    </row>
    <row r="5405" spans="6:11" x14ac:dyDescent="0.25">
      <c r="F5405" s="12"/>
      <c r="K5405" s="5"/>
    </row>
    <row r="5406" spans="6:11" x14ac:dyDescent="0.25">
      <c r="F5406" s="12"/>
      <c r="K5406" s="5"/>
    </row>
    <row r="5407" spans="6:11" x14ac:dyDescent="0.25">
      <c r="F5407" s="12"/>
      <c r="K5407" s="5"/>
    </row>
    <row r="5408" spans="6:11" x14ac:dyDescent="0.25">
      <c r="F5408" s="12"/>
      <c r="K5408" s="5"/>
    </row>
    <row r="5409" spans="6:11" x14ac:dyDescent="0.25">
      <c r="F5409" s="12"/>
      <c r="K5409" s="5"/>
    </row>
    <row r="5410" spans="6:11" x14ac:dyDescent="0.25">
      <c r="F5410" s="12"/>
      <c r="K5410" s="5"/>
    </row>
    <row r="5411" spans="6:11" x14ac:dyDescent="0.25">
      <c r="F5411" s="12"/>
      <c r="K5411" s="5"/>
    </row>
    <row r="5412" spans="6:11" x14ac:dyDescent="0.25">
      <c r="F5412" s="12"/>
      <c r="K5412" s="5"/>
    </row>
    <row r="5413" spans="6:11" x14ac:dyDescent="0.25">
      <c r="F5413" s="12"/>
      <c r="K5413" s="5"/>
    </row>
    <row r="5414" spans="6:11" x14ac:dyDescent="0.25">
      <c r="F5414" s="12"/>
      <c r="K5414" s="5"/>
    </row>
    <row r="5415" spans="6:11" x14ac:dyDescent="0.25">
      <c r="F5415" s="12"/>
      <c r="K5415" s="5"/>
    </row>
    <row r="5416" spans="6:11" x14ac:dyDescent="0.25">
      <c r="F5416" s="12"/>
      <c r="K5416" s="5"/>
    </row>
    <row r="5417" spans="6:11" x14ac:dyDescent="0.25">
      <c r="F5417" s="12"/>
      <c r="K5417" s="5"/>
    </row>
    <row r="5418" spans="6:11" x14ac:dyDescent="0.25">
      <c r="F5418" s="12"/>
      <c r="K5418" s="5"/>
    </row>
    <row r="5419" spans="6:11" x14ac:dyDescent="0.25">
      <c r="F5419" s="12"/>
      <c r="K5419" s="5"/>
    </row>
    <row r="5420" spans="6:11" x14ac:dyDescent="0.25">
      <c r="F5420" s="12"/>
      <c r="K5420" s="5"/>
    </row>
    <row r="5421" spans="6:11" x14ac:dyDescent="0.25">
      <c r="F5421" s="12"/>
      <c r="K5421" s="5"/>
    </row>
    <row r="5422" spans="6:11" x14ac:dyDescent="0.25">
      <c r="F5422" s="12"/>
      <c r="K5422" s="5"/>
    </row>
    <row r="5423" spans="6:11" x14ac:dyDescent="0.25">
      <c r="F5423" s="12"/>
      <c r="K5423" s="5"/>
    </row>
    <row r="5424" spans="6:11" x14ac:dyDescent="0.25">
      <c r="F5424" s="12"/>
      <c r="K5424" s="5"/>
    </row>
    <row r="5425" spans="6:11" x14ac:dyDescent="0.25">
      <c r="F5425" s="12"/>
      <c r="K5425" s="5"/>
    </row>
    <row r="5426" spans="6:11" x14ac:dyDescent="0.25">
      <c r="F5426" s="12"/>
      <c r="K5426" s="5"/>
    </row>
    <row r="5427" spans="6:11" x14ac:dyDescent="0.25">
      <c r="F5427" s="12"/>
      <c r="K5427" s="5"/>
    </row>
    <row r="5428" spans="6:11" x14ac:dyDescent="0.25">
      <c r="F5428" s="12"/>
      <c r="K5428" s="5"/>
    </row>
    <row r="5429" spans="6:11" x14ac:dyDescent="0.25">
      <c r="F5429" s="12"/>
      <c r="K5429" s="5"/>
    </row>
    <row r="5430" spans="6:11" x14ac:dyDescent="0.25">
      <c r="F5430" s="12"/>
      <c r="K5430" s="5"/>
    </row>
    <row r="5431" spans="6:11" x14ac:dyDescent="0.25">
      <c r="F5431" s="12"/>
      <c r="K5431" s="5"/>
    </row>
    <row r="5432" spans="6:11" x14ac:dyDescent="0.25">
      <c r="F5432" s="12"/>
      <c r="K5432" s="5"/>
    </row>
    <row r="5433" spans="6:11" x14ac:dyDescent="0.25">
      <c r="F5433" s="12"/>
      <c r="K5433" s="5"/>
    </row>
    <row r="5434" spans="6:11" x14ac:dyDescent="0.25">
      <c r="F5434" s="12"/>
      <c r="K5434" s="5"/>
    </row>
    <row r="5435" spans="6:11" x14ac:dyDescent="0.25">
      <c r="F5435" s="12"/>
      <c r="K5435" s="5"/>
    </row>
    <row r="5436" spans="6:11" x14ac:dyDescent="0.25">
      <c r="F5436" s="12"/>
      <c r="K5436" s="5"/>
    </row>
    <row r="5437" spans="6:11" x14ac:dyDescent="0.25">
      <c r="F5437" s="12"/>
      <c r="K5437" s="5"/>
    </row>
    <row r="5438" spans="6:11" x14ac:dyDescent="0.25">
      <c r="F5438" s="12"/>
      <c r="K5438" s="5"/>
    </row>
    <row r="5439" spans="6:11" x14ac:dyDescent="0.25">
      <c r="F5439" s="12"/>
      <c r="K5439" s="5"/>
    </row>
    <row r="5440" spans="6:11" x14ac:dyDescent="0.25">
      <c r="F5440" s="12"/>
      <c r="K5440" s="5"/>
    </row>
    <row r="5441" spans="6:11" x14ac:dyDescent="0.25">
      <c r="F5441" s="12"/>
      <c r="K5441" s="5"/>
    </row>
    <row r="5442" spans="6:11" x14ac:dyDescent="0.25">
      <c r="F5442" s="12"/>
      <c r="K5442" s="5"/>
    </row>
    <row r="5443" spans="6:11" x14ac:dyDescent="0.25">
      <c r="F5443" s="12"/>
      <c r="K5443" s="5"/>
    </row>
    <row r="5444" spans="6:11" x14ac:dyDescent="0.25">
      <c r="F5444" s="12"/>
      <c r="K5444" s="5"/>
    </row>
    <row r="5445" spans="6:11" x14ac:dyDescent="0.25">
      <c r="F5445" s="12"/>
      <c r="K5445" s="5"/>
    </row>
    <row r="5446" spans="6:11" x14ac:dyDescent="0.25">
      <c r="F5446" s="12"/>
      <c r="K5446" s="5"/>
    </row>
    <row r="5447" spans="6:11" x14ac:dyDescent="0.25">
      <c r="F5447" s="12"/>
      <c r="K5447" s="5"/>
    </row>
    <row r="5448" spans="6:11" x14ac:dyDescent="0.25">
      <c r="F5448" s="12"/>
      <c r="K5448" s="5"/>
    </row>
    <row r="5449" spans="6:11" x14ac:dyDescent="0.25">
      <c r="F5449" s="12"/>
      <c r="K5449" s="5"/>
    </row>
    <row r="5450" spans="6:11" x14ac:dyDescent="0.25">
      <c r="F5450" s="12"/>
      <c r="K5450" s="5"/>
    </row>
    <row r="5451" spans="6:11" x14ac:dyDescent="0.25">
      <c r="F5451" s="12"/>
      <c r="K5451" s="5"/>
    </row>
    <row r="5452" spans="6:11" x14ac:dyDescent="0.25">
      <c r="F5452" s="12"/>
      <c r="K5452" s="5"/>
    </row>
    <row r="5453" spans="6:11" x14ac:dyDescent="0.25">
      <c r="F5453" s="12"/>
      <c r="K5453" s="5"/>
    </row>
    <row r="5454" spans="6:11" x14ac:dyDescent="0.25">
      <c r="F5454" s="12"/>
      <c r="K5454" s="5"/>
    </row>
    <row r="5455" spans="6:11" x14ac:dyDescent="0.25">
      <c r="F5455" s="12"/>
      <c r="K5455" s="5"/>
    </row>
    <row r="5456" spans="6:11" x14ac:dyDescent="0.25">
      <c r="F5456" s="12"/>
      <c r="K5456" s="5"/>
    </row>
    <row r="5457" spans="6:11" x14ac:dyDescent="0.25">
      <c r="F5457" s="12"/>
      <c r="K5457" s="5"/>
    </row>
    <row r="5458" spans="6:11" x14ac:dyDescent="0.25">
      <c r="F5458" s="12"/>
      <c r="K5458" s="5"/>
    </row>
    <row r="5459" spans="6:11" x14ac:dyDescent="0.25">
      <c r="F5459" s="12"/>
      <c r="K5459" s="5"/>
    </row>
    <row r="5460" spans="6:11" x14ac:dyDescent="0.25">
      <c r="F5460" s="12"/>
      <c r="K5460" s="5"/>
    </row>
    <row r="5461" spans="6:11" x14ac:dyDescent="0.25">
      <c r="F5461" s="12"/>
      <c r="K5461" s="5"/>
    </row>
    <row r="5462" spans="6:11" x14ac:dyDescent="0.25">
      <c r="F5462" s="12"/>
      <c r="K5462" s="5"/>
    </row>
    <row r="5463" spans="6:11" x14ac:dyDescent="0.25">
      <c r="F5463" s="12"/>
      <c r="K5463" s="5"/>
    </row>
    <row r="5464" spans="6:11" x14ac:dyDescent="0.25">
      <c r="F5464" s="12"/>
      <c r="K5464" s="5"/>
    </row>
    <row r="5465" spans="6:11" x14ac:dyDescent="0.25">
      <c r="F5465" s="12"/>
      <c r="K5465" s="5"/>
    </row>
    <row r="5466" spans="6:11" x14ac:dyDescent="0.25">
      <c r="F5466" s="12"/>
      <c r="K5466" s="5"/>
    </row>
    <row r="5467" spans="6:11" x14ac:dyDescent="0.25">
      <c r="F5467" s="12"/>
      <c r="K5467" s="5"/>
    </row>
    <row r="5468" spans="6:11" x14ac:dyDescent="0.25">
      <c r="F5468" s="12"/>
      <c r="K5468" s="5"/>
    </row>
    <row r="5469" spans="6:11" x14ac:dyDescent="0.25">
      <c r="F5469" s="12"/>
      <c r="K5469" s="5"/>
    </row>
    <row r="5470" spans="6:11" x14ac:dyDescent="0.25">
      <c r="F5470" s="12"/>
      <c r="K5470" s="5"/>
    </row>
    <row r="5471" spans="6:11" x14ac:dyDescent="0.25">
      <c r="F5471" s="12"/>
      <c r="K5471" s="5"/>
    </row>
    <row r="5472" spans="6:11" x14ac:dyDescent="0.25">
      <c r="F5472" s="12"/>
      <c r="K5472" s="5"/>
    </row>
    <row r="5473" spans="6:11" x14ac:dyDescent="0.25">
      <c r="F5473" s="12"/>
      <c r="K5473" s="5"/>
    </row>
    <row r="5474" spans="6:11" x14ac:dyDescent="0.25">
      <c r="F5474" s="12"/>
      <c r="K5474" s="5"/>
    </row>
    <row r="5475" spans="6:11" x14ac:dyDescent="0.25">
      <c r="F5475" s="12"/>
      <c r="K5475" s="5"/>
    </row>
    <row r="5476" spans="6:11" x14ac:dyDescent="0.25">
      <c r="F5476" s="12"/>
      <c r="K5476" s="5"/>
    </row>
    <row r="5477" spans="6:11" x14ac:dyDescent="0.25">
      <c r="F5477" s="12"/>
      <c r="K5477" s="5"/>
    </row>
    <row r="5478" spans="6:11" x14ac:dyDescent="0.25">
      <c r="F5478" s="12"/>
      <c r="K5478" s="5"/>
    </row>
    <row r="5479" spans="6:11" x14ac:dyDescent="0.25">
      <c r="F5479" s="12"/>
      <c r="K5479" s="5"/>
    </row>
    <row r="5480" spans="6:11" x14ac:dyDescent="0.25">
      <c r="F5480" s="12"/>
      <c r="K5480" s="5"/>
    </row>
    <row r="5481" spans="6:11" x14ac:dyDescent="0.25">
      <c r="F5481" s="12"/>
      <c r="K5481" s="5"/>
    </row>
    <row r="5482" spans="6:11" x14ac:dyDescent="0.25">
      <c r="F5482" s="12"/>
      <c r="K5482" s="5"/>
    </row>
    <row r="5483" spans="6:11" x14ac:dyDescent="0.25">
      <c r="F5483" s="12"/>
      <c r="K5483" s="5"/>
    </row>
    <row r="5484" spans="6:11" x14ac:dyDescent="0.25">
      <c r="F5484" s="12"/>
      <c r="K5484" s="5"/>
    </row>
    <row r="5485" spans="6:11" x14ac:dyDescent="0.25">
      <c r="F5485" s="12"/>
      <c r="K5485" s="5"/>
    </row>
    <row r="5486" spans="6:11" x14ac:dyDescent="0.25">
      <c r="F5486" s="12"/>
      <c r="K5486" s="5"/>
    </row>
    <row r="5487" spans="6:11" x14ac:dyDescent="0.25">
      <c r="F5487" s="12"/>
      <c r="K5487" s="5"/>
    </row>
    <row r="5488" spans="6:11" x14ac:dyDescent="0.25">
      <c r="F5488" s="12"/>
      <c r="K5488" s="5"/>
    </row>
    <row r="5489" spans="6:11" x14ac:dyDescent="0.25">
      <c r="F5489" s="12"/>
      <c r="K5489" s="5"/>
    </row>
    <row r="5490" spans="6:11" x14ac:dyDescent="0.25">
      <c r="F5490" s="12"/>
      <c r="K5490" s="5"/>
    </row>
    <row r="5491" spans="6:11" x14ac:dyDescent="0.25">
      <c r="F5491" s="12"/>
      <c r="K5491" s="5"/>
    </row>
    <row r="5492" spans="6:11" x14ac:dyDescent="0.25">
      <c r="F5492" s="12"/>
      <c r="K5492" s="5"/>
    </row>
    <row r="5493" spans="6:11" x14ac:dyDescent="0.25">
      <c r="F5493" s="12"/>
      <c r="K5493" s="5"/>
    </row>
    <row r="5494" spans="6:11" x14ac:dyDescent="0.25">
      <c r="F5494" s="12"/>
      <c r="K5494" s="5"/>
    </row>
    <row r="5495" spans="6:11" x14ac:dyDescent="0.25">
      <c r="F5495" s="12"/>
      <c r="K5495" s="5"/>
    </row>
    <row r="5496" spans="6:11" x14ac:dyDescent="0.25">
      <c r="F5496" s="12"/>
      <c r="K5496" s="5"/>
    </row>
    <row r="5497" spans="6:11" x14ac:dyDescent="0.25">
      <c r="F5497" s="12"/>
      <c r="K5497" s="5"/>
    </row>
    <row r="5498" spans="6:11" x14ac:dyDescent="0.25">
      <c r="F5498" s="12"/>
      <c r="K5498" s="5"/>
    </row>
    <row r="5499" spans="6:11" x14ac:dyDescent="0.25">
      <c r="F5499" s="12"/>
      <c r="K5499" s="5"/>
    </row>
    <row r="5500" spans="6:11" x14ac:dyDescent="0.25">
      <c r="F5500" s="12"/>
      <c r="K5500" s="5"/>
    </row>
    <row r="5501" spans="6:11" x14ac:dyDescent="0.25">
      <c r="F5501" s="12"/>
      <c r="K5501" s="5"/>
    </row>
    <row r="5502" spans="6:11" x14ac:dyDescent="0.25">
      <c r="F5502" s="12"/>
      <c r="K5502" s="5"/>
    </row>
    <row r="5503" spans="6:11" x14ac:dyDescent="0.25">
      <c r="F5503" s="12"/>
      <c r="K5503" s="5"/>
    </row>
    <row r="5504" spans="6:11" x14ac:dyDescent="0.25">
      <c r="F5504" s="12"/>
      <c r="K5504" s="5"/>
    </row>
    <row r="5505" spans="6:11" x14ac:dyDescent="0.25">
      <c r="F5505" s="12"/>
      <c r="K5505" s="5"/>
    </row>
    <row r="5506" spans="6:11" x14ac:dyDescent="0.25">
      <c r="F5506" s="12"/>
      <c r="K5506" s="5"/>
    </row>
    <row r="5507" spans="6:11" x14ac:dyDescent="0.25">
      <c r="F5507" s="12"/>
      <c r="K5507" s="5"/>
    </row>
    <row r="5508" spans="6:11" x14ac:dyDescent="0.25">
      <c r="F5508" s="12"/>
      <c r="K5508" s="5"/>
    </row>
    <row r="5509" spans="6:11" x14ac:dyDescent="0.25">
      <c r="F5509" s="12"/>
      <c r="K5509" s="5"/>
    </row>
    <row r="5510" spans="6:11" x14ac:dyDescent="0.25">
      <c r="F5510" s="12"/>
      <c r="K5510" s="5"/>
    </row>
    <row r="5511" spans="6:11" x14ac:dyDescent="0.25">
      <c r="F5511" s="12"/>
      <c r="K5511" s="5"/>
    </row>
    <row r="5512" spans="6:11" x14ac:dyDescent="0.25">
      <c r="F5512" s="12"/>
      <c r="K5512" s="5"/>
    </row>
    <row r="5513" spans="6:11" x14ac:dyDescent="0.25">
      <c r="F5513" s="12"/>
      <c r="K5513" s="5"/>
    </row>
    <row r="5514" spans="6:11" x14ac:dyDescent="0.25">
      <c r="F5514" s="12"/>
      <c r="K5514" s="5"/>
    </row>
    <row r="5515" spans="6:11" x14ac:dyDescent="0.25">
      <c r="F5515" s="12"/>
      <c r="K5515" s="5"/>
    </row>
    <row r="5516" spans="6:11" x14ac:dyDescent="0.25">
      <c r="F5516" s="12"/>
      <c r="K5516" s="5"/>
    </row>
    <row r="5517" spans="6:11" x14ac:dyDescent="0.25">
      <c r="F5517" s="12"/>
      <c r="K5517" s="5"/>
    </row>
    <row r="5518" spans="6:11" x14ac:dyDescent="0.25">
      <c r="F5518" s="12"/>
      <c r="K5518" s="5"/>
    </row>
    <row r="5519" spans="6:11" x14ac:dyDescent="0.25">
      <c r="F5519" s="12"/>
      <c r="K5519" s="5"/>
    </row>
    <row r="5520" spans="6:11" x14ac:dyDescent="0.25">
      <c r="F5520" s="12"/>
      <c r="K5520" s="5"/>
    </row>
    <row r="5521" spans="6:11" x14ac:dyDescent="0.25">
      <c r="F5521" s="12"/>
      <c r="K5521" s="5"/>
    </row>
    <row r="5522" spans="6:11" x14ac:dyDescent="0.25">
      <c r="F5522" s="12"/>
      <c r="K5522" s="5"/>
    </row>
    <row r="5523" spans="6:11" x14ac:dyDescent="0.25">
      <c r="F5523" s="12"/>
      <c r="K5523" s="5"/>
    </row>
    <row r="5524" spans="6:11" x14ac:dyDescent="0.25">
      <c r="F5524" s="12"/>
      <c r="K5524" s="5"/>
    </row>
    <row r="5525" spans="6:11" x14ac:dyDescent="0.25">
      <c r="F5525" s="12"/>
      <c r="K5525" s="5"/>
    </row>
    <row r="5526" spans="6:11" x14ac:dyDescent="0.25">
      <c r="F5526" s="12"/>
      <c r="K5526" s="5"/>
    </row>
    <row r="5527" spans="6:11" x14ac:dyDescent="0.25">
      <c r="F5527" s="12"/>
      <c r="K5527" s="5"/>
    </row>
    <row r="5528" spans="6:11" x14ac:dyDescent="0.25">
      <c r="F5528" s="12"/>
      <c r="K5528" s="5"/>
    </row>
    <row r="5529" spans="6:11" x14ac:dyDescent="0.25">
      <c r="F5529" s="12"/>
      <c r="K5529" s="5"/>
    </row>
    <row r="5530" spans="6:11" x14ac:dyDescent="0.25">
      <c r="F5530" s="12"/>
      <c r="K5530" s="5"/>
    </row>
    <row r="5531" spans="6:11" x14ac:dyDescent="0.25">
      <c r="F5531" s="12"/>
      <c r="K5531" s="5"/>
    </row>
    <row r="5532" spans="6:11" x14ac:dyDescent="0.25">
      <c r="F5532" s="12"/>
      <c r="K5532" s="5"/>
    </row>
    <row r="5533" spans="6:11" x14ac:dyDescent="0.25">
      <c r="F5533" s="12"/>
      <c r="K5533" s="5"/>
    </row>
    <row r="5534" spans="6:11" x14ac:dyDescent="0.25">
      <c r="F5534" s="12"/>
      <c r="K5534" s="5"/>
    </row>
    <row r="5535" spans="6:11" x14ac:dyDescent="0.25">
      <c r="F5535" s="12"/>
      <c r="K5535" s="5"/>
    </row>
    <row r="5536" spans="6:11" x14ac:dyDescent="0.25">
      <c r="F5536" s="12"/>
      <c r="K5536" s="5"/>
    </row>
    <row r="5537" spans="6:11" x14ac:dyDescent="0.25">
      <c r="F5537" s="12"/>
      <c r="K5537" s="5"/>
    </row>
    <row r="5538" spans="6:11" x14ac:dyDescent="0.25">
      <c r="F5538" s="12"/>
      <c r="K5538" s="5"/>
    </row>
    <row r="5539" spans="6:11" x14ac:dyDescent="0.25">
      <c r="F5539" s="12"/>
      <c r="K5539" s="5"/>
    </row>
    <row r="5540" spans="6:11" x14ac:dyDescent="0.25">
      <c r="F5540" s="12"/>
      <c r="K5540" s="5"/>
    </row>
    <row r="5541" spans="6:11" x14ac:dyDescent="0.25">
      <c r="F5541" s="12"/>
      <c r="K5541" s="5"/>
    </row>
    <row r="5542" spans="6:11" x14ac:dyDescent="0.25">
      <c r="F5542" s="12"/>
      <c r="K5542" s="5"/>
    </row>
    <row r="5543" spans="6:11" x14ac:dyDescent="0.25">
      <c r="F5543" s="12"/>
      <c r="K5543" s="5"/>
    </row>
    <row r="5544" spans="6:11" x14ac:dyDescent="0.25">
      <c r="F5544" s="12"/>
      <c r="K5544" s="5"/>
    </row>
    <row r="5545" spans="6:11" x14ac:dyDescent="0.25">
      <c r="F5545" s="12"/>
      <c r="K5545" s="5"/>
    </row>
    <row r="5546" spans="6:11" x14ac:dyDescent="0.25">
      <c r="F5546" s="12"/>
      <c r="K5546" s="5"/>
    </row>
    <row r="5547" spans="6:11" x14ac:dyDescent="0.25">
      <c r="F5547" s="12"/>
      <c r="K5547" s="5"/>
    </row>
    <row r="5548" spans="6:11" x14ac:dyDescent="0.25">
      <c r="F5548" s="12"/>
      <c r="K5548" s="5"/>
    </row>
    <row r="5549" spans="6:11" x14ac:dyDescent="0.25">
      <c r="F5549" s="12"/>
      <c r="K5549" s="5"/>
    </row>
    <row r="5550" spans="6:11" x14ac:dyDescent="0.25">
      <c r="F5550" s="12"/>
      <c r="K5550" s="5"/>
    </row>
    <row r="5551" spans="6:11" x14ac:dyDescent="0.25">
      <c r="F5551" s="12"/>
      <c r="K5551" s="5"/>
    </row>
    <row r="5552" spans="6:11" x14ac:dyDescent="0.25">
      <c r="F5552" s="12"/>
      <c r="K5552" s="5"/>
    </row>
    <row r="5553" spans="6:11" x14ac:dyDescent="0.25">
      <c r="F5553" s="12"/>
      <c r="K5553" s="5"/>
    </row>
    <row r="5554" spans="6:11" x14ac:dyDescent="0.25">
      <c r="F5554" s="12"/>
      <c r="K5554" s="5"/>
    </row>
    <row r="5555" spans="6:11" x14ac:dyDescent="0.25">
      <c r="F5555" s="12"/>
      <c r="K5555" s="5"/>
    </row>
    <row r="5556" spans="6:11" x14ac:dyDescent="0.25">
      <c r="F5556" s="12"/>
      <c r="K5556" s="5"/>
    </row>
    <row r="5557" spans="6:11" x14ac:dyDescent="0.25">
      <c r="F5557" s="12"/>
      <c r="K5557" s="5"/>
    </row>
    <row r="5558" spans="6:11" x14ac:dyDescent="0.25">
      <c r="F5558" s="12"/>
      <c r="K5558" s="5"/>
    </row>
    <row r="5559" spans="6:11" x14ac:dyDescent="0.25">
      <c r="F5559" s="12"/>
      <c r="K5559" s="5"/>
    </row>
    <row r="5560" spans="6:11" x14ac:dyDescent="0.25">
      <c r="F5560" s="12"/>
      <c r="K5560" s="5"/>
    </row>
    <row r="5561" spans="6:11" x14ac:dyDescent="0.25">
      <c r="F5561" s="12"/>
      <c r="K5561" s="5"/>
    </row>
    <row r="5562" spans="6:11" x14ac:dyDescent="0.25">
      <c r="F5562" s="12"/>
      <c r="K5562" s="5"/>
    </row>
    <row r="5563" spans="6:11" x14ac:dyDescent="0.25">
      <c r="F5563" s="12"/>
      <c r="K5563" s="5"/>
    </row>
    <row r="5564" spans="6:11" x14ac:dyDescent="0.25">
      <c r="F5564" s="12"/>
      <c r="K5564" s="5"/>
    </row>
    <row r="5565" spans="6:11" x14ac:dyDescent="0.25">
      <c r="F5565" s="12"/>
      <c r="K5565" s="5"/>
    </row>
    <row r="5566" spans="6:11" x14ac:dyDescent="0.25">
      <c r="F5566" s="12"/>
      <c r="K5566" s="5"/>
    </row>
    <row r="5567" spans="6:11" x14ac:dyDescent="0.25">
      <c r="F5567" s="12"/>
      <c r="K5567" s="5"/>
    </row>
    <row r="5568" spans="6:11" x14ac:dyDescent="0.25">
      <c r="F5568" s="12"/>
      <c r="K5568" s="5"/>
    </row>
    <row r="5569" spans="6:11" x14ac:dyDescent="0.25">
      <c r="F5569" s="12"/>
      <c r="K5569" s="5"/>
    </row>
    <row r="5570" spans="6:11" x14ac:dyDescent="0.25">
      <c r="F5570" s="12"/>
      <c r="K5570" s="5"/>
    </row>
    <row r="5571" spans="6:11" x14ac:dyDescent="0.25">
      <c r="F5571" s="12"/>
      <c r="K5571" s="5"/>
    </row>
    <row r="5572" spans="6:11" x14ac:dyDescent="0.25">
      <c r="F5572" s="12"/>
      <c r="K5572" s="5"/>
    </row>
    <row r="5573" spans="6:11" x14ac:dyDescent="0.25">
      <c r="F5573" s="12"/>
      <c r="K5573" s="5"/>
    </row>
    <row r="5574" spans="6:11" x14ac:dyDescent="0.25">
      <c r="F5574" s="12"/>
      <c r="K5574" s="5"/>
    </row>
    <row r="5575" spans="6:11" x14ac:dyDescent="0.25">
      <c r="F5575" s="12"/>
      <c r="K5575" s="5"/>
    </row>
    <row r="5576" spans="6:11" x14ac:dyDescent="0.25">
      <c r="F5576" s="12"/>
      <c r="K5576" s="5"/>
    </row>
    <row r="5577" spans="6:11" x14ac:dyDescent="0.25">
      <c r="F5577" s="12"/>
      <c r="K5577" s="5"/>
    </row>
    <row r="5578" spans="6:11" x14ac:dyDescent="0.25">
      <c r="F5578" s="12"/>
      <c r="K5578" s="5"/>
    </row>
    <row r="5579" spans="6:11" x14ac:dyDescent="0.25">
      <c r="F5579" s="12"/>
      <c r="K5579" s="5"/>
    </row>
    <row r="5580" spans="6:11" x14ac:dyDescent="0.25">
      <c r="F5580" s="12"/>
      <c r="K5580" s="5"/>
    </row>
    <row r="5581" spans="6:11" x14ac:dyDescent="0.25">
      <c r="F5581" s="12"/>
      <c r="K5581" s="5"/>
    </row>
    <row r="5582" spans="6:11" x14ac:dyDescent="0.25">
      <c r="F5582" s="12"/>
      <c r="K5582" s="5"/>
    </row>
    <row r="5583" spans="6:11" x14ac:dyDescent="0.25">
      <c r="F5583" s="12"/>
      <c r="K5583" s="5"/>
    </row>
    <row r="5584" spans="6:11" x14ac:dyDescent="0.25">
      <c r="F5584" s="12"/>
      <c r="K5584" s="5"/>
    </row>
    <row r="5585" spans="6:11" x14ac:dyDescent="0.25">
      <c r="F5585" s="12"/>
      <c r="K5585" s="5"/>
    </row>
    <row r="5586" spans="6:11" x14ac:dyDescent="0.25">
      <c r="F5586" s="12"/>
      <c r="K5586" s="5"/>
    </row>
    <row r="5587" spans="6:11" x14ac:dyDescent="0.25">
      <c r="F5587" s="12"/>
      <c r="K5587" s="5"/>
    </row>
    <row r="5588" spans="6:11" x14ac:dyDescent="0.25">
      <c r="F5588" s="12"/>
      <c r="K5588" s="5"/>
    </row>
    <row r="5589" spans="6:11" x14ac:dyDescent="0.25">
      <c r="F5589" s="12"/>
      <c r="K5589" s="5"/>
    </row>
    <row r="5590" spans="6:11" x14ac:dyDescent="0.25">
      <c r="F5590" s="12"/>
      <c r="K5590" s="5"/>
    </row>
    <row r="5591" spans="6:11" x14ac:dyDescent="0.25">
      <c r="F5591" s="12"/>
      <c r="K5591" s="5"/>
    </row>
    <row r="5592" spans="6:11" x14ac:dyDescent="0.25">
      <c r="F5592" s="12"/>
      <c r="K5592" s="5"/>
    </row>
    <row r="5593" spans="6:11" x14ac:dyDescent="0.25">
      <c r="F5593" s="12"/>
      <c r="K5593" s="5"/>
    </row>
    <row r="5594" spans="6:11" x14ac:dyDescent="0.25">
      <c r="F5594" s="12"/>
      <c r="K5594" s="5"/>
    </row>
    <row r="5595" spans="6:11" x14ac:dyDescent="0.25">
      <c r="F5595" s="12"/>
      <c r="K5595" s="5"/>
    </row>
    <row r="5596" spans="6:11" x14ac:dyDescent="0.25">
      <c r="F5596" s="12"/>
      <c r="K5596" s="5"/>
    </row>
    <row r="5597" spans="6:11" x14ac:dyDescent="0.25">
      <c r="F5597" s="12"/>
      <c r="K5597" s="5"/>
    </row>
    <row r="5598" spans="6:11" x14ac:dyDescent="0.25">
      <c r="F5598" s="12"/>
      <c r="K5598" s="5"/>
    </row>
    <row r="5599" spans="6:11" x14ac:dyDescent="0.25">
      <c r="F5599" s="12"/>
      <c r="K5599" s="5"/>
    </row>
    <row r="5600" spans="6:11" x14ac:dyDescent="0.25">
      <c r="F5600" s="12"/>
      <c r="K5600" s="5"/>
    </row>
    <row r="5601" spans="6:11" x14ac:dyDescent="0.25">
      <c r="F5601" s="12"/>
      <c r="K5601" s="5"/>
    </row>
    <row r="5602" spans="6:11" x14ac:dyDescent="0.25">
      <c r="F5602" s="12"/>
      <c r="K5602" s="5"/>
    </row>
    <row r="5603" spans="6:11" x14ac:dyDescent="0.25">
      <c r="F5603" s="12"/>
      <c r="K5603" s="5"/>
    </row>
    <row r="5604" spans="6:11" x14ac:dyDescent="0.25">
      <c r="F5604" s="12"/>
      <c r="K5604" s="5"/>
    </row>
    <row r="5605" spans="6:11" x14ac:dyDescent="0.25">
      <c r="F5605" s="12"/>
      <c r="K5605" s="5"/>
    </row>
    <row r="5606" spans="6:11" x14ac:dyDescent="0.25">
      <c r="F5606" s="12"/>
      <c r="K5606" s="5"/>
    </row>
    <row r="5607" spans="6:11" x14ac:dyDescent="0.25">
      <c r="F5607" s="12"/>
      <c r="K5607" s="5"/>
    </row>
    <row r="5608" spans="6:11" x14ac:dyDescent="0.25">
      <c r="F5608" s="12"/>
      <c r="K5608" s="5"/>
    </row>
    <row r="5609" spans="6:11" x14ac:dyDescent="0.25">
      <c r="F5609" s="12"/>
      <c r="K5609" s="5"/>
    </row>
    <row r="5610" spans="6:11" x14ac:dyDescent="0.25">
      <c r="F5610" s="12"/>
      <c r="K5610" s="5"/>
    </row>
    <row r="5611" spans="6:11" x14ac:dyDescent="0.25">
      <c r="F5611" s="12"/>
      <c r="K5611" s="5"/>
    </row>
    <row r="5612" spans="6:11" x14ac:dyDescent="0.25">
      <c r="F5612" s="12"/>
      <c r="K5612" s="5"/>
    </row>
    <row r="5613" spans="6:11" x14ac:dyDescent="0.25">
      <c r="F5613" s="12"/>
      <c r="K5613" s="5"/>
    </row>
    <row r="5614" spans="6:11" x14ac:dyDescent="0.25">
      <c r="F5614" s="12"/>
      <c r="K5614" s="5"/>
    </row>
    <row r="5615" spans="6:11" x14ac:dyDescent="0.25">
      <c r="F5615" s="12"/>
      <c r="K5615" s="5"/>
    </row>
    <row r="5616" spans="6:11" x14ac:dyDescent="0.25">
      <c r="F5616" s="12"/>
      <c r="K5616" s="5"/>
    </row>
    <row r="5617" spans="6:11" x14ac:dyDescent="0.25">
      <c r="F5617" s="12"/>
      <c r="K5617" s="5"/>
    </row>
    <row r="5618" spans="6:11" x14ac:dyDescent="0.25">
      <c r="F5618" s="12"/>
      <c r="K5618" s="5"/>
    </row>
    <row r="5619" spans="6:11" x14ac:dyDescent="0.25">
      <c r="F5619" s="12"/>
      <c r="K5619" s="5"/>
    </row>
    <row r="5620" spans="6:11" x14ac:dyDescent="0.25">
      <c r="F5620" s="12"/>
      <c r="K5620" s="5"/>
    </row>
    <row r="5621" spans="6:11" x14ac:dyDescent="0.25">
      <c r="F5621" s="12"/>
      <c r="K5621" s="5"/>
    </row>
    <row r="5622" spans="6:11" x14ac:dyDescent="0.25">
      <c r="F5622" s="12"/>
      <c r="K5622" s="5"/>
    </row>
    <row r="5623" spans="6:11" x14ac:dyDescent="0.25">
      <c r="F5623" s="12"/>
      <c r="K5623" s="5"/>
    </row>
    <row r="5624" spans="6:11" x14ac:dyDescent="0.25">
      <c r="F5624" s="12"/>
      <c r="K5624" s="5"/>
    </row>
    <row r="5625" spans="6:11" x14ac:dyDescent="0.25">
      <c r="F5625" s="12"/>
      <c r="K5625" s="5"/>
    </row>
    <row r="5626" spans="6:11" x14ac:dyDescent="0.25">
      <c r="F5626" s="12"/>
      <c r="K5626" s="5"/>
    </row>
    <row r="5627" spans="6:11" x14ac:dyDescent="0.25">
      <c r="F5627" s="12"/>
      <c r="K5627" s="5"/>
    </row>
    <row r="5628" spans="6:11" x14ac:dyDescent="0.25">
      <c r="F5628" s="12"/>
      <c r="K5628" s="5"/>
    </row>
    <row r="5629" spans="6:11" x14ac:dyDescent="0.25">
      <c r="F5629" s="12"/>
      <c r="K5629" s="5"/>
    </row>
    <row r="5630" spans="6:11" x14ac:dyDescent="0.25">
      <c r="F5630" s="12"/>
      <c r="K5630" s="5"/>
    </row>
    <row r="5631" spans="6:11" x14ac:dyDescent="0.25">
      <c r="F5631" s="12"/>
      <c r="K5631" s="5"/>
    </row>
    <row r="5632" spans="6:11" x14ac:dyDescent="0.25">
      <c r="F5632" s="12"/>
      <c r="K5632" s="5"/>
    </row>
    <row r="5633" spans="6:11" x14ac:dyDescent="0.25">
      <c r="F5633" s="12"/>
      <c r="K5633" s="5"/>
    </row>
    <row r="5634" spans="6:11" x14ac:dyDescent="0.25">
      <c r="F5634" s="12"/>
      <c r="K5634" s="5"/>
    </row>
    <row r="5635" spans="6:11" x14ac:dyDescent="0.25">
      <c r="F5635" s="12"/>
      <c r="K5635" s="5"/>
    </row>
    <row r="5636" spans="6:11" x14ac:dyDescent="0.25">
      <c r="F5636" s="12"/>
      <c r="K5636" s="5"/>
    </row>
    <row r="5637" spans="6:11" x14ac:dyDescent="0.25">
      <c r="F5637" s="12"/>
      <c r="K5637" s="5"/>
    </row>
    <row r="5638" spans="6:11" x14ac:dyDescent="0.25">
      <c r="F5638" s="12"/>
      <c r="K5638" s="5"/>
    </row>
    <row r="5639" spans="6:11" x14ac:dyDescent="0.25">
      <c r="F5639" s="12"/>
      <c r="K5639" s="5"/>
    </row>
    <row r="5640" spans="6:11" x14ac:dyDescent="0.25">
      <c r="F5640" s="12"/>
      <c r="K5640" s="5"/>
    </row>
    <row r="5641" spans="6:11" x14ac:dyDescent="0.25">
      <c r="F5641" s="12"/>
      <c r="K5641" s="5"/>
    </row>
    <row r="5642" spans="6:11" x14ac:dyDescent="0.25">
      <c r="F5642" s="12"/>
      <c r="K5642" s="5"/>
    </row>
    <row r="5643" spans="6:11" x14ac:dyDescent="0.25">
      <c r="F5643" s="12"/>
      <c r="K5643" s="5"/>
    </row>
    <row r="5644" spans="6:11" x14ac:dyDescent="0.25">
      <c r="F5644" s="12"/>
      <c r="K5644" s="5"/>
    </row>
    <row r="5645" spans="6:11" x14ac:dyDescent="0.25">
      <c r="F5645" s="12"/>
      <c r="K5645" s="5"/>
    </row>
    <row r="5646" spans="6:11" x14ac:dyDescent="0.25">
      <c r="F5646" s="12"/>
      <c r="K5646" s="5"/>
    </row>
    <row r="5647" spans="6:11" x14ac:dyDescent="0.25">
      <c r="F5647" s="12"/>
      <c r="K5647" s="5"/>
    </row>
    <row r="5648" spans="6:11" x14ac:dyDescent="0.25">
      <c r="F5648" s="12"/>
      <c r="K5648" s="5"/>
    </row>
    <row r="5649" spans="6:11" x14ac:dyDescent="0.25">
      <c r="F5649" s="12"/>
      <c r="K5649" s="5"/>
    </row>
    <row r="5650" spans="6:11" x14ac:dyDescent="0.25">
      <c r="F5650" s="12"/>
      <c r="K5650" s="5"/>
    </row>
    <row r="5651" spans="6:11" x14ac:dyDescent="0.25">
      <c r="F5651" s="12"/>
      <c r="K5651" s="5"/>
    </row>
    <row r="5652" spans="6:11" x14ac:dyDescent="0.25">
      <c r="F5652" s="12"/>
      <c r="K5652" s="5"/>
    </row>
    <row r="5653" spans="6:11" x14ac:dyDescent="0.25">
      <c r="F5653" s="12"/>
      <c r="K5653" s="5"/>
    </row>
    <row r="5654" spans="6:11" x14ac:dyDescent="0.25">
      <c r="F5654" s="12"/>
      <c r="K5654" s="5"/>
    </row>
    <row r="5655" spans="6:11" x14ac:dyDescent="0.25">
      <c r="F5655" s="12"/>
      <c r="K5655" s="5"/>
    </row>
    <row r="5656" spans="6:11" x14ac:dyDescent="0.25">
      <c r="F5656" s="12"/>
      <c r="K5656" s="5"/>
    </row>
    <row r="5657" spans="6:11" x14ac:dyDescent="0.25">
      <c r="F5657" s="12"/>
      <c r="K5657" s="5"/>
    </row>
    <row r="5658" spans="6:11" x14ac:dyDescent="0.25">
      <c r="F5658" s="12"/>
      <c r="K5658" s="5"/>
    </row>
    <row r="5659" spans="6:11" x14ac:dyDescent="0.25">
      <c r="F5659" s="12"/>
      <c r="K5659" s="5"/>
    </row>
    <row r="5660" spans="6:11" x14ac:dyDescent="0.25">
      <c r="F5660" s="12"/>
      <c r="K5660" s="5"/>
    </row>
    <row r="5661" spans="6:11" x14ac:dyDescent="0.25">
      <c r="F5661" s="12"/>
      <c r="K5661" s="5"/>
    </row>
    <row r="5662" spans="6:11" x14ac:dyDescent="0.25">
      <c r="F5662" s="12"/>
      <c r="K5662" s="5"/>
    </row>
    <row r="5663" spans="6:11" x14ac:dyDescent="0.25">
      <c r="F5663" s="12"/>
      <c r="K5663" s="5"/>
    </row>
    <row r="5664" spans="6:11" x14ac:dyDescent="0.25">
      <c r="F5664" s="12"/>
      <c r="K5664" s="5"/>
    </row>
    <row r="5665" spans="6:11" x14ac:dyDescent="0.25">
      <c r="F5665" s="12"/>
      <c r="K5665" s="5"/>
    </row>
    <row r="5666" spans="6:11" x14ac:dyDescent="0.25">
      <c r="F5666" s="12"/>
      <c r="K5666" s="5"/>
    </row>
    <row r="5667" spans="6:11" x14ac:dyDescent="0.25">
      <c r="F5667" s="12"/>
      <c r="K5667" s="5"/>
    </row>
    <row r="5668" spans="6:11" x14ac:dyDescent="0.25">
      <c r="F5668" s="12"/>
      <c r="K5668" s="5"/>
    </row>
    <row r="5669" spans="6:11" x14ac:dyDescent="0.25">
      <c r="F5669" s="12"/>
      <c r="K5669" s="5"/>
    </row>
    <row r="5670" spans="6:11" x14ac:dyDescent="0.25">
      <c r="F5670" s="12"/>
      <c r="K5670" s="5"/>
    </row>
    <row r="5671" spans="6:11" x14ac:dyDescent="0.25">
      <c r="F5671" s="12"/>
      <c r="K5671" s="5"/>
    </row>
    <row r="5672" spans="6:11" x14ac:dyDescent="0.25">
      <c r="F5672" s="12"/>
      <c r="K5672" s="5"/>
    </row>
    <row r="5673" spans="6:11" x14ac:dyDescent="0.25">
      <c r="F5673" s="12"/>
      <c r="K5673" s="5"/>
    </row>
    <row r="5674" spans="6:11" x14ac:dyDescent="0.25">
      <c r="F5674" s="12"/>
      <c r="K5674" s="5"/>
    </row>
    <row r="5675" spans="6:11" x14ac:dyDescent="0.25">
      <c r="F5675" s="12"/>
      <c r="K5675" s="5"/>
    </row>
    <row r="5676" spans="6:11" x14ac:dyDescent="0.25">
      <c r="F5676" s="12"/>
      <c r="K5676" s="5"/>
    </row>
    <row r="5677" spans="6:11" x14ac:dyDescent="0.25">
      <c r="F5677" s="12"/>
      <c r="K5677" s="5"/>
    </row>
    <row r="5678" spans="6:11" x14ac:dyDescent="0.25">
      <c r="F5678" s="12"/>
      <c r="K5678" s="5"/>
    </row>
    <row r="5679" spans="6:11" x14ac:dyDescent="0.25">
      <c r="F5679" s="12"/>
      <c r="K5679" s="5"/>
    </row>
    <row r="5680" spans="6:11" x14ac:dyDescent="0.25">
      <c r="F5680" s="12"/>
      <c r="K5680" s="5"/>
    </row>
    <row r="5681" spans="6:11" x14ac:dyDescent="0.25">
      <c r="F5681" s="12"/>
      <c r="K5681" s="5"/>
    </row>
    <row r="5682" spans="6:11" x14ac:dyDescent="0.25">
      <c r="F5682" s="12"/>
      <c r="K5682" s="5"/>
    </row>
    <row r="5683" spans="6:11" x14ac:dyDescent="0.25">
      <c r="F5683" s="12"/>
      <c r="K5683" s="5"/>
    </row>
    <row r="5684" spans="6:11" x14ac:dyDescent="0.25">
      <c r="F5684" s="12"/>
      <c r="K5684" s="5"/>
    </row>
    <row r="5685" spans="6:11" x14ac:dyDescent="0.25">
      <c r="F5685" s="12"/>
      <c r="K5685" s="5"/>
    </row>
    <row r="5686" spans="6:11" x14ac:dyDescent="0.25">
      <c r="F5686" s="12"/>
      <c r="K5686" s="5"/>
    </row>
    <row r="5687" spans="6:11" x14ac:dyDescent="0.25">
      <c r="F5687" s="12"/>
      <c r="K5687" s="5"/>
    </row>
    <row r="5688" spans="6:11" x14ac:dyDescent="0.25">
      <c r="F5688" s="12"/>
      <c r="K5688" s="5"/>
    </row>
    <row r="5689" spans="6:11" x14ac:dyDescent="0.25">
      <c r="F5689" s="12"/>
      <c r="K5689" s="5"/>
    </row>
    <row r="5690" spans="6:11" x14ac:dyDescent="0.25">
      <c r="F5690" s="12"/>
      <c r="K5690" s="5"/>
    </row>
    <row r="5691" spans="6:11" x14ac:dyDescent="0.25">
      <c r="F5691" s="12"/>
      <c r="K5691" s="5"/>
    </row>
    <row r="5692" spans="6:11" x14ac:dyDescent="0.25">
      <c r="F5692" s="12"/>
      <c r="K5692" s="5"/>
    </row>
    <row r="5693" spans="6:11" x14ac:dyDescent="0.25">
      <c r="F5693" s="12"/>
      <c r="K5693" s="5"/>
    </row>
    <row r="5694" spans="6:11" x14ac:dyDescent="0.25">
      <c r="F5694" s="12"/>
      <c r="K5694" s="5"/>
    </row>
    <row r="5695" spans="6:11" x14ac:dyDescent="0.25">
      <c r="F5695" s="12"/>
      <c r="K5695" s="5"/>
    </row>
    <row r="5696" spans="6:11" x14ac:dyDescent="0.25">
      <c r="F5696" s="12"/>
      <c r="K5696" s="5"/>
    </row>
    <row r="5697" spans="6:11" x14ac:dyDescent="0.25">
      <c r="F5697" s="12"/>
      <c r="K5697" s="5"/>
    </row>
    <row r="5698" spans="6:11" x14ac:dyDescent="0.25">
      <c r="F5698" s="12"/>
      <c r="K5698" s="5"/>
    </row>
    <row r="5699" spans="6:11" x14ac:dyDescent="0.25">
      <c r="F5699" s="12"/>
      <c r="K5699" s="5"/>
    </row>
    <row r="5700" spans="6:11" x14ac:dyDescent="0.25">
      <c r="F5700" s="12"/>
      <c r="K5700" s="5"/>
    </row>
    <row r="5701" spans="6:11" x14ac:dyDescent="0.25">
      <c r="F5701" s="12"/>
      <c r="K5701" s="5"/>
    </row>
    <row r="5702" spans="6:11" x14ac:dyDescent="0.25">
      <c r="F5702" s="12"/>
      <c r="K5702" s="5"/>
    </row>
    <row r="5703" spans="6:11" x14ac:dyDescent="0.25">
      <c r="F5703" s="12"/>
      <c r="K5703" s="5"/>
    </row>
    <row r="5704" spans="6:11" x14ac:dyDescent="0.25">
      <c r="F5704" s="12"/>
      <c r="K5704" s="5"/>
    </row>
    <row r="5705" spans="6:11" x14ac:dyDescent="0.25">
      <c r="F5705" s="12"/>
      <c r="K5705" s="5"/>
    </row>
    <row r="5706" spans="6:11" x14ac:dyDescent="0.25">
      <c r="F5706" s="12"/>
      <c r="K5706" s="5"/>
    </row>
    <row r="5707" spans="6:11" x14ac:dyDescent="0.25">
      <c r="F5707" s="12"/>
      <c r="K5707" s="5"/>
    </row>
    <row r="5708" spans="6:11" x14ac:dyDescent="0.25">
      <c r="F5708" s="12"/>
      <c r="K5708" s="5"/>
    </row>
    <row r="5709" spans="6:11" x14ac:dyDescent="0.25">
      <c r="F5709" s="12"/>
      <c r="K5709" s="5"/>
    </row>
    <row r="5710" spans="6:11" x14ac:dyDescent="0.25">
      <c r="F5710" s="12"/>
      <c r="K5710" s="5"/>
    </row>
    <row r="5711" spans="6:11" x14ac:dyDescent="0.25">
      <c r="F5711" s="12"/>
      <c r="K5711" s="5"/>
    </row>
    <row r="5712" spans="6:11" x14ac:dyDescent="0.25">
      <c r="F5712" s="12"/>
      <c r="K5712" s="5"/>
    </row>
    <row r="5713" spans="6:11" x14ac:dyDescent="0.25">
      <c r="F5713" s="12"/>
      <c r="K5713" s="5"/>
    </row>
    <row r="5714" spans="6:11" x14ac:dyDescent="0.25">
      <c r="F5714" s="12"/>
      <c r="K5714" s="5"/>
    </row>
    <row r="5715" spans="6:11" x14ac:dyDescent="0.25">
      <c r="F5715" s="12"/>
      <c r="K5715" s="5"/>
    </row>
    <row r="5716" spans="6:11" x14ac:dyDescent="0.25">
      <c r="F5716" s="12"/>
      <c r="K5716" s="5"/>
    </row>
    <row r="5717" spans="6:11" x14ac:dyDescent="0.25">
      <c r="F5717" s="12"/>
      <c r="K5717" s="5"/>
    </row>
    <row r="5718" spans="6:11" x14ac:dyDescent="0.25">
      <c r="F5718" s="12"/>
      <c r="K5718" s="5"/>
    </row>
    <row r="5719" spans="6:11" x14ac:dyDescent="0.25">
      <c r="F5719" s="12"/>
      <c r="K5719" s="5"/>
    </row>
    <row r="5720" spans="6:11" x14ac:dyDescent="0.25">
      <c r="F5720" s="12"/>
      <c r="K5720" s="5"/>
    </row>
    <row r="5721" spans="6:11" x14ac:dyDescent="0.25">
      <c r="F5721" s="12"/>
      <c r="K5721" s="5"/>
    </row>
    <row r="5722" spans="6:11" x14ac:dyDescent="0.25">
      <c r="F5722" s="12"/>
      <c r="K5722" s="5"/>
    </row>
    <row r="5723" spans="6:11" x14ac:dyDescent="0.25">
      <c r="F5723" s="12"/>
      <c r="K5723" s="5"/>
    </row>
    <row r="5724" spans="6:11" x14ac:dyDescent="0.25">
      <c r="F5724" s="12"/>
      <c r="K5724" s="5"/>
    </row>
    <row r="5725" spans="6:11" x14ac:dyDescent="0.25">
      <c r="F5725" s="12"/>
      <c r="K5725" s="5"/>
    </row>
    <row r="5726" spans="6:11" x14ac:dyDescent="0.25">
      <c r="F5726" s="12"/>
      <c r="K5726" s="5"/>
    </row>
    <row r="5727" spans="6:11" x14ac:dyDescent="0.25">
      <c r="F5727" s="12"/>
      <c r="K5727" s="5"/>
    </row>
    <row r="5728" spans="6:11" x14ac:dyDescent="0.25">
      <c r="F5728" s="12"/>
      <c r="K5728" s="5"/>
    </row>
    <row r="5729" spans="6:11" x14ac:dyDescent="0.25">
      <c r="F5729" s="12"/>
      <c r="K5729" s="5"/>
    </row>
    <row r="5730" spans="6:11" x14ac:dyDescent="0.25">
      <c r="F5730" s="12"/>
      <c r="K5730" s="5"/>
    </row>
    <row r="5731" spans="6:11" x14ac:dyDescent="0.25">
      <c r="F5731" s="12"/>
      <c r="K5731" s="5"/>
    </row>
    <row r="5732" spans="6:11" x14ac:dyDescent="0.25">
      <c r="F5732" s="12"/>
      <c r="K5732" s="5"/>
    </row>
    <row r="5733" spans="6:11" x14ac:dyDescent="0.25">
      <c r="F5733" s="12"/>
      <c r="K5733" s="5"/>
    </row>
    <row r="5734" spans="6:11" x14ac:dyDescent="0.25">
      <c r="F5734" s="12"/>
      <c r="K5734" s="5"/>
    </row>
    <row r="5735" spans="6:11" x14ac:dyDescent="0.25">
      <c r="F5735" s="12"/>
      <c r="K5735" s="5"/>
    </row>
    <row r="5736" spans="6:11" x14ac:dyDescent="0.25">
      <c r="F5736" s="12"/>
      <c r="K5736" s="5"/>
    </row>
    <row r="5737" spans="6:11" x14ac:dyDescent="0.25">
      <c r="F5737" s="12"/>
      <c r="K5737" s="5"/>
    </row>
    <row r="5738" spans="6:11" x14ac:dyDescent="0.25">
      <c r="F5738" s="12"/>
      <c r="K5738" s="5"/>
    </row>
    <row r="5739" spans="6:11" x14ac:dyDescent="0.25">
      <c r="F5739" s="12"/>
      <c r="K5739" s="5"/>
    </row>
    <row r="5740" spans="6:11" x14ac:dyDescent="0.25">
      <c r="F5740" s="12"/>
      <c r="K5740" s="5"/>
    </row>
    <row r="5741" spans="6:11" x14ac:dyDescent="0.25">
      <c r="F5741" s="12"/>
      <c r="K5741" s="5"/>
    </row>
    <row r="5742" spans="6:11" x14ac:dyDescent="0.25">
      <c r="F5742" s="12"/>
      <c r="K5742" s="5"/>
    </row>
    <row r="5743" spans="6:11" x14ac:dyDescent="0.25">
      <c r="F5743" s="12"/>
      <c r="K5743" s="5"/>
    </row>
    <row r="5744" spans="6:11" x14ac:dyDescent="0.25">
      <c r="F5744" s="12"/>
      <c r="K5744" s="5"/>
    </row>
    <row r="5745" spans="6:11" x14ac:dyDescent="0.25">
      <c r="F5745" s="12"/>
      <c r="K5745" s="5"/>
    </row>
    <row r="5746" spans="6:11" x14ac:dyDescent="0.25">
      <c r="F5746" s="12"/>
      <c r="K5746" s="5"/>
    </row>
    <row r="5747" spans="6:11" x14ac:dyDescent="0.25">
      <c r="F5747" s="12"/>
      <c r="K5747" s="5"/>
    </row>
    <row r="5748" spans="6:11" x14ac:dyDescent="0.25">
      <c r="F5748" s="12"/>
      <c r="K5748" s="5"/>
    </row>
    <row r="5749" spans="6:11" x14ac:dyDescent="0.25">
      <c r="F5749" s="12"/>
      <c r="K5749" s="5"/>
    </row>
    <row r="5750" spans="6:11" x14ac:dyDescent="0.25">
      <c r="F5750" s="12"/>
      <c r="K5750" s="5"/>
    </row>
    <row r="5751" spans="6:11" x14ac:dyDescent="0.25">
      <c r="F5751" s="12"/>
      <c r="K5751" s="5"/>
    </row>
    <row r="5752" spans="6:11" x14ac:dyDescent="0.25">
      <c r="F5752" s="12"/>
      <c r="K5752" s="5"/>
    </row>
    <row r="5753" spans="6:11" x14ac:dyDescent="0.25">
      <c r="F5753" s="12"/>
      <c r="K5753" s="5"/>
    </row>
    <row r="5754" spans="6:11" x14ac:dyDescent="0.25">
      <c r="F5754" s="12"/>
      <c r="K5754" s="5"/>
    </row>
    <row r="5755" spans="6:11" x14ac:dyDescent="0.25">
      <c r="F5755" s="12"/>
      <c r="K5755" s="5"/>
    </row>
    <row r="5756" spans="6:11" x14ac:dyDescent="0.25">
      <c r="F5756" s="12"/>
      <c r="K5756" s="5"/>
    </row>
    <row r="5757" spans="6:11" x14ac:dyDescent="0.25">
      <c r="F5757" s="12"/>
      <c r="K5757" s="5"/>
    </row>
    <row r="5758" spans="6:11" x14ac:dyDescent="0.25">
      <c r="F5758" s="12"/>
      <c r="K5758" s="5"/>
    </row>
    <row r="5759" spans="6:11" x14ac:dyDescent="0.25">
      <c r="F5759" s="12"/>
      <c r="K5759" s="5"/>
    </row>
    <row r="5760" spans="6:11" x14ac:dyDescent="0.25">
      <c r="F5760" s="12"/>
      <c r="K5760" s="5"/>
    </row>
    <row r="5761" spans="6:11" x14ac:dyDescent="0.25">
      <c r="F5761" s="12"/>
      <c r="K5761" s="5"/>
    </row>
    <row r="5762" spans="6:11" x14ac:dyDescent="0.25">
      <c r="F5762" s="12"/>
      <c r="K5762" s="5"/>
    </row>
    <row r="5763" spans="6:11" x14ac:dyDescent="0.25">
      <c r="F5763" s="12"/>
      <c r="K5763" s="5"/>
    </row>
    <row r="5764" spans="6:11" x14ac:dyDescent="0.25">
      <c r="F5764" s="12"/>
      <c r="K5764" s="5"/>
    </row>
    <row r="5765" spans="6:11" x14ac:dyDescent="0.25">
      <c r="F5765" s="12"/>
      <c r="K5765" s="5"/>
    </row>
    <row r="5766" spans="6:11" x14ac:dyDescent="0.25">
      <c r="F5766" s="12"/>
      <c r="K5766" s="5"/>
    </row>
    <row r="5767" spans="6:11" x14ac:dyDescent="0.25">
      <c r="F5767" s="12"/>
      <c r="K5767" s="5"/>
    </row>
    <row r="5768" spans="6:11" x14ac:dyDescent="0.25">
      <c r="F5768" s="12"/>
      <c r="K5768" s="5"/>
    </row>
    <row r="5769" spans="6:11" x14ac:dyDescent="0.25">
      <c r="F5769" s="12"/>
      <c r="K5769" s="5"/>
    </row>
    <row r="5770" spans="6:11" x14ac:dyDescent="0.25">
      <c r="F5770" s="12"/>
      <c r="K5770" s="5"/>
    </row>
    <row r="5771" spans="6:11" x14ac:dyDescent="0.25">
      <c r="F5771" s="12"/>
      <c r="K5771" s="5"/>
    </row>
    <row r="5772" spans="6:11" x14ac:dyDescent="0.25">
      <c r="F5772" s="12"/>
      <c r="K5772" s="5"/>
    </row>
    <row r="5773" spans="6:11" x14ac:dyDescent="0.25">
      <c r="F5773" s="12"/>
      <c r="K5773" s="5"/>
    </row>
    <row r="5774" spans="6:11" x14ac:dyDescent="0.25">
      <c r="F5774" s="12"/>
      <c r="K5774" s="5"/>
    </row>
    <row r="5775" spans="6:11" x14ac:dyDescent="0.25">
      <c r="F5775" s="12"/>
      <c r="K5775" s="5"/>
    </row>
    <row r="5776" spans="6:11" x14ac:dyDescent="0.25">
      <c r="F5776" s="12"/>
      <c r="K5776" s="5"/>
    </row>
    <row r="5777" spans="6:11" x14ac:dyDescent="0.25">
      <c r="F5777" s="12"/>
      <c r="K5777" s="5"/>
    </row>
    <row r="5778" spans="6:11" x14ac:dyDescent="0.25">
      <c r="F5778" s="12"/>
      <c r="K5778" s="5"/>
    </row>
    <row r="5779" spans="6:11" x14ac:dyDescent="0.25">
      <c r="F5779" s="12"/>
      <c r="K5779" s="5"/>
    </row>
    <row r="5780" spans="6:11" x14ac:dyDescent="0.25">
      <c r="F5780" s="12"/>
      <c r="K5780" s="5"/>
    </row>
    <row r="5781" spans="6:11" x14ac:dyDescent="0.25">
      <c r="F5781" s="12"/>
      <c r="K5781" s="5"/>
    </row>
    <row r="5782" spans="6:11" x14ac:dyDescent="0.25">
      <c r="F5782" s="12"/>
      <c r="K5782" s="5"/>
    </row>
    <row r="5783" spans="6:11" x14ac:dyDescent="0.25">
      <c r="F5783" s="12"/>
      <c r="K5783" s="5"/>
    </row>
    <row r="5784" spans="6:11" x14ac:dyDescent="0.25">
      <c r="F5784" s="12"/>
      <c r="K5784" s="5"/>
    </row>
    <row r="5785" spans="6:11" x14ac:dyDescent="0.25">
      <c r="F5785" s="12"/>
      <c r="K5785" s="5"/>
    </row>
    <row r="5786" spans="6:11" x14ac:dyDescent="0.25">
      <c r="F5786" s="12"/>
      <c r="K5786" s="5"/>
    </row>
    <row r="5787" spans="6:11" x14ac:dyDescent="0.25">
      <c r="F5787" s="12"/>
      <c r="K5787" s="5"/>
    </row>
    <row r="5788" spans="6:11" x14ac:dyDescent="0.25">
      <c r="F5788" s="12"/>
      <c r="K5788" s="5"/>
    </row>
    <row r="5789" spans="6:11" x14ac:dyDescent="0.25">
      <c r="F5789" s="12"/>
      <c r="K5789" s="5"/>
    </row>
    <row r="5790" spans="6:11" x14ac:dyDescent="0.25">
      <c r="F5790" s="12"/>
      <c r="K5790" s="5"/>
    </row>
    <row r="5791" spans="6:11" x14ac:dyDescent="0.25">
      <c r="F5791" s="12"/>
      <c r="K5791" s="5"/>
    </row>
    <row r="5792" spans="6:11" x14ac:dyDescent="0.25">
      <c r="F5792" s="12"/>
      <c r="K5792" s="5"/>
    </row>
    <row r="5793" spans="6:11" x14ac:dyDescent="0.25">
      <c r="F5793" s="12"/>
      <c r="K5793" s="5"/>
    </row>
    <row r="5794" spans="6:11" x14ac:dyDescent="0.25">
      <c r="F5794" s="12"/>
      <c r="K5794" s="5"/>
    </row>
    <row r="5795" spans="6:11" x14ac:dyDescent="0.25">
      <c r="F5795" s="12"/>
      <c r="K5795" s="5"/>
    </row>
    <row r="5796" spans="6:11" x14ac:dyDescent="0.25">
      <c r="F5796" s="12"/>
      <c r="K5796" s="5"/>
    </row>
    <row r="5797" spans="6:11" x14ac:dyDescent="0.25">
      <c r="F5797" s="12"/>
      <c r="K5797" s="5"/>
    </row>
    <row r="5798" spans="6:11" x14ac:dyDescent="0.25">
      <c r="F5798" s="12"/>
      <c r="K5798" s="5"/>
    </row>
    <row r="5799" spans="6:11" x14ac:dyDescent="0.25">
      <c r="F5799" s="12"/>
      <c r="K5799" s="5"/>
    </row>
    <row r="5800" spans="6:11" x14ac:dyDescent="0.25">
      <c r="F5800" s="12"/>
      <c r="K5800" s="5"/>
    </row>
    <row r="5801" spans="6:11" x14ac:dyDescent="0.25">
      <c r="F5801" s="12"/>
      <c r="K5801" s="5"/>
    </row>
    <row r="5802" spans="6:11" x14ac:dyDescent="0.25">
      <c r="F5802" s="12"/>
      <c r="K5802" s="5"/>
    </row>
    <row r="5803" spans="6:11" x14ac:dyDescent="0.25">
      <c r="F5803" s="12"/>
      <c r="K5803" s="5"/>
    </row>
    <row r="5804" spans="6:11" x14ac:dyDescent="0.25">
      <c r="F5804" s="12"/>
      <c r="K5804" s="5"/>
    </row>
    <row r="5805" spans="6:11" x14ac:dyDescent="0.25">
      <c r="F5805" s="12"/>
      <c r="K5805" s="5"/>
    </row>
    <row r="5806" spans="6:11" x14ac:dyDescent="0.25">
      <c r="F5806" s="12"/>
      <c r="K5806" s="5"/>
    </row>
    <row r="5807" spans="6:11" x14ac:dyDescent="0.25">
      <c r="F5807" s="12"/>
      <c r="K5807" s="5"/>
    </row>
    <row r="5808" spans="6:11" x14ac:dyDescent="0.25">
      <c r="F5808" s="12"/>
      <c r="K5808" s="5"/>
    </row>
    <row r="5809" spans="6:11" x14ac:dyDescent="0.25">
      <c r="F5809" s="12"/>
      <c r="K5809" s="5"/>
    </row>
    <row r="5810" spans="6:11" x14ac:dyDescent="0.25">
      <c r="F5810" s="12"/>
      <c r="K5810" s="5"/>
    </row>
    <row r="5811" spans="6:11" x14ac:dyDescent="0.25">
      <c r="F5811" s="12"/>
      <c r="K5811" s="5"/>
    </row>
    <row r="5812" spans="6:11" x14ac:dyDescent="0.25">
      <c r="F5812" s="12"/>
      <c r="K5812" s="5"/>
    </row>
    <row r="5813" spans="6:11" x14ac:dyDescent="0.25">
      <c r="F5813" s="12"/>
      <c r="K5813" s="5"/>
    </row>
    <row r="5814" spans="6:11" x14ac:dyDescent="0.25">
      <c r="F5814" s="12"/>
      <c r="K5814" s="5"/>
    </row>
    <row r="5815" spans="6:11" x14ac:dyDescent="0.25">
      <c r="F5815" s="12"/>
      <c r="K5815" s="5"/>
    </row>
    <row r="5816" spans="6:11" x14ac:dyDescent="0.25">
      <c r="F5816" s="12"/>
      <c r="K5816" s="5"/>
    </row>
    <row r="5817" spans="6:11" x14ac:dyDescent="0.25">
      <c r="F5817" s="12"/>
      <c r="K5817" s="5"/>
    </row>
    <row r="5818" spans="6:11" x14ac:dyDescent="0.25">
      <c r="F5818" s="12"/>
      <c r="K5818" s="5"/>
    </row>
    <row r="5819" spans="6:11" x14ac:dyDescent="0.25">
      <c r="F5819" s="12"/>
      <c r="K5819" s="5"/>
    </row>
    <row r="5820" spans="6:11" x14ac:dyDescent="0.25">
      <c r="F5820" s="12"/>
      <c r="K5820" s="5"/>
    </row>
    <row r="5821" spans="6:11" x14ac:dyDescent="0.25">
      <c r="F5821" s="12"/>
      <c r="K5821" s="5"/>
    </row>
    <row r="5822" spans="6:11" x14ac:dyDescent="0.25">
      <c r="F5822" s="12"/>
      <c r="K5822" s="5"/>
    </row>
    <row r="5823" spans="6:11" x14ac:dyDescent="0.25">
      <c r="F5823" s="12"/>
      <c r="K5823" s="5"/>
    </row>
    <row r="5824" spans="6:11" x14ac:dyDescent="0.25">
      <c r="F5824" s="12"/>
      <c r="K5824" s="5"/>
    </row>
    <row r="5825" spans="6:11" x14ac:dyDescent="0.25">
      <c r="F5825" s="12"/>
      <c r="K5825" s="5"/>
    </row>
    <row r="5826" spans="6:11" x14ac:dyDescent="0.25">
      <c r="F5826" s="12"/>
      <c r="K5826" s="5"/>
    </row>
    <row r="5827" spans="6:11" x14ac:dyDescent="0.25">
      <c r="F5827" s="12"/>
      <c r="K5827" s="5"/>
    </row>
    <row r="5828" spans="6:11" x14ac:dyDescent="0.25">
      <c r="F5828" s="12"/>
      <c r="K5828" s="5"/>
    </row>
    <row r="5829" spans="6:11" x14ac:dyDescent="0.25">
      <c r="F5829" s="12"/>
      <c r="K5829" s="5"/>
    </row>
    <row r="5830" spans="6:11" x14ac:dyDescent="0.25">
      <c r="F5830" s="12"/>
      <c r="K5830" s="5"/>
    </row>
    <row r="5831" spans="6:11" x14ac:dyDescent="0.25">
      <c r="F5831" s="12"/>
      <c r="K5831" s="5"/>
    </row>
    <row r="5832" spans="6:11" x14ac:dyDescent="0.25">
      <c r="F5832" s="12"/>
      <c r="K5832" s="5"/>
    </row>
    <row r="5833" spans="6:11" x14ac:dyDescent="0.25">
      <c r="F5833" s="12"/>
      <c r="K5833" s="5"/>
    </row>
    <row r="5834" spans="6:11" x14ac:dyDescent="0.25">
      <c r="F5834" s="12"/>
      <c r="K5834" s="5"/>
    </row>
    <row r="5835" spans="6:11" x14ac:dyDescent="0.25">
      <c r="F5835" s="12"/>
      <c r="K5835" s="5"/>
    </row>
    <row r="5836" spans="6:11" x14ac:dyDescent="0.25">
      <c r="F5836" s="12"/>
      <c r="K5836" s="5"/>
    </row>
    <row r="5837" spans="6:11" x14ac:dyDescent="0.25">
      <c r="F5837" s="12"/>
      <c r="K5837" s="5"/>
    </row>
    <row r="5838" spans="6:11" x14ac:dyDescent="0.25">
      <c r="F5838" s="12"/>
      <c r="K5838" s="5"/>
    </row>
    <row r="5839" spans="6:11" x14ac:dyDescent="0.25">
      <c r="F5839" s="12"/>
      <c r="K5839" s="5"/>
    </row>
    <row r="5840" spans="6:11" x14ac:dyDescent="0.25">
      <c r="F5840" s="12"/>
      <c r="K5840" s="5"/>
    </row>
    <row r="5841" spans="6:11" x14ac:dyDescent="0.25">
      <c r="F5841" s="12"/>
      <c r="K5841" s="5"/>
    </row>
    <row r="5842" spans="6:11" x14ac:dyDescent="0.25">
      <c r="F5842" s="12"/>
      <c r="K5842" s="5"/>
    </row>
    <row r="5843" spans="6:11" x14ac:dyDescent="0.25">
      <c r="F5843" s="12"/>
      <c r="K5843" s="5"/>
    </row>
    <row r="5844" spans="6:11" x14ac:dyDescent="0.25">
      <c r="F5844" s="12"/>
      <c r="K5844" s="5"/>
    </row>
    <row r="5845" spans="6:11" x14ac:dyDescent="0.25">
      <c r="F5845" s="12"/>
      <c r="K5845" s="5"/>
    </row>
    <row r="5846" spans="6:11" x14ac:dyDescent="0.25">
      <c r="F5846" s="12"/>
      <c r="K5846" s="5"/>
    </row>
    <row r="5847" spans="6:11" x14ac:dyDescent="0.25">
      <c r="F5847" s="12"/>
      <c r="K5847" s="5"/>
    </row>
    <row r="5848" spans="6:11" x14ac:dyDescent="0.25">
      <c r="F5848" s="12"/>
      <c r="K5848" s="5"/>
    </row>
    <row r="5849" spans="6:11" x14ac:dyDescent="0.25">
      <c r="F5849" s="12"/>
      <c r="K5849" s="5"/>
    </row>
    <row r="5850" spans="6:11" x14ac:dyDescent="0.25">
      <c r="F5850" s="12"/>
      <c r="K5850" s="5"/>
    </row>
    <row r="5851" spans="6:11" x14ac:dyDescent="0.25">
      <c r="F5851" s="12"/>
      <c r="K5851" s="5"/>
    </row>
    <row r="5852" spans="6:11" x14ac:dyDescent="0.25">
      <c r="F5852" s="12"/>
      <c r="K5852" s="5"/>
    </row>
    <row r="5853" spans="6:11" x14ac:dyDescent="0.25">
      <c r="F5853" s="12"/>
      <c r="K5853" s="5"/>
    </row>
    <row r="5854" spans="6:11" x14ac:dyDescent="0.25">
      <c r="F5854" s="12"/>
      <c r="K5854" s="5"/>
    </row>
    <row r="5855" spans="6:11" x14ac:dyDescent="0.25">
      <c r="F5855" s="12"/>
      <c r="K5855" s="5"/>
    </row>
    <row r="5856" spans="6:11" x14ac:dyDescent="0.25">
      <c r="F5856" s="12"/>
      <c r="K5856" s="5"/>
    </row>
    <row r="5857" spans="6:11" x14ac:dyDescent="0.25">
      <c r="F5857" s="12"/>
      <c r="K5857" s="5"/>
    </row>
    <row r="5858" spans="6:11" x14ac:dyDescent="0.25">
      <c r="F5858" s="12"/>
      <c r="K5858" s="5"/>
    </row>
    <row r="5859" spans="6:11" x14ac:dyDescent="0.25">
      <c r="F5859" s="12"/>
      <c r="K5859" s="5"/>
    </row>
    <row r="5860" spans="6:11" x14ac:dyDescent="0.25">
      <c r="F5860" s="12"/>
      <c r="K5860" s="5"/>
    </row>
    <row r="5861" spans="6:11" x14ac:dyDescent="0.25">
      <c r="F5861" s="12"/>
      <c r="K5861" s="5"/>
    </row>
    <row r="5862" spans="6:11" x14ac:dyDescent="0.25">
      <c r="F5862" s="12"/>
      <c r="K5862" s="5"/>
    </row>
    <row r="5863" spans="6:11" x14ac:dyDescent="0.25">
      <c r="F5863" s="12"/>
      <c r="K5863" s="5"/>
    </row>
    <row r="5864" spans="6:11" x14ac:dyDescent="0.25">
      <c r="F5864" s="12"/>
      <c r="K5864" s="5"/>
    </row>
    <row r="5865" spans="6:11" x14ac:dyDescent="0.25">
      <c r="F5865" s="12"/>
      <c r="K5865" s="5"/>
    </row>
    <row r="5866" spans="6:11" x14ac:dyDescent="0.25">
      <c r="F5866" s="12"/>
      <c r="K5866" s="5"/>
    </row>
    <row r="5867" spans="6:11" x14ac:dyDescent="0.25">
      <c r="F5867" s="12"/>
      <c r="K5867" s="5"/>
    </row>
    <row r="5868" spans="6:11" x14ac:dyDescent="0.25">
      <c r="F5868" s="12"/>
      <c r="K5868" s="5"/>
    </row>
    <row r="5869" spans="6:11" x14ac:dyDescent="0.25">
      <c r="F5869" s="12"/>
      <c r="K5869" s="5"/>
    </row>
    <row r="5870" spans="6:11" x14ac:dyDescent="0.25">
      <c r="F5870" s="12"/>
      <c r="K5870" s="5"/>
    </row>
    <row r="5871" spans="6:11" x14ac:dyDescent="0.25">
      <c r="F5871" s="12"/>
      <c r="K5871" s="5"/>
    </row>
    <row r="5872" spans="6:11" x14ac:dyDescent="0.25">
      <c r="F5872" s="12"/>
      <c r="K5872" s="5"/>
    </row>
    <row r="5873" spans="6:11" x14ac:dyDescent="0.25">
      <c r="F5873" s="12"/>
      <c r="K5873" s="5"/>
    </row>
    <row r="5874" spans="6:11" x14ac:dyDescent="0.25">
      <c r="F5874" s="12"/>
      <c r="K5874" s="5"/>
    </row>
    <row r="5875" spans="6:11" x14ac:dyDescent="0.25">
      <c r="F5875" s="12"/>
      <c r="K5875" s="5"/>
    </row>
    <row r="5876" spans="6:11" x14ac:dyDescent="0.25">
      <c r="F5876" s="12"/>
      <c r="K5876" s="5"/>
    </row>
    <row r="5877" spans="6:11" x14ac:dyDescent="0.25">
      <c r="F5877" s="12"/>
      <c r="K5877" s="5"/>
    </row>
    <row r="5878" spans="6:11" x14ac:dyDescent="0.25">
      <c r="F5878" s="12"/>
      <c r="K5878" s="5"/>
    </row>
    <row r="5879" spans="6:11" x14ac:dyDescent="0.25">
      <c r="F5879" s="12"/>
      <c r="K5879" s="5"/>
    </row>
    <row r="5880" spans="6:11" x14ac:dyDescent="0.25">
      <c r="F5880" s="12"/>
      <c r="K5880" s="5"/>
    </row>
    <row r="5881" spans="6:11" x14ac:dyDescent="0.25">
      <c r="F5881" s="12"/>
      <c r="K5881" s="5"/>
    </row>
    <row r="5882" spans="6:11" x14ac:dyDescent="0.25">
      <c r="F5882" s="12"/>
      <c r="K5882" s="5"/>
    </row>
    <row r="5883" spans="6:11" x14ac:dyDescent="0.25">
      <c r="F5883" s="12"/>
      <c r="K5883" s="5"/>
    </row>
    <row r="5884" spans="6:11" x14ac:dyDescent="0.25">
      <c r="F5884" s="12"/>
      <c r="K5884" s="5"/>
    </row>
    <row r="5885" spans="6:11" x14ac:dyDescent="0.25">
      <c r="F5885" s="12"/>
      <c r="K5885" s="5"/>
    </row>
    <row r="5886" spans="6:11" x14ac:dyDescent="0.25">
      <c r="F5886" s="12"/>
      <c r="K5886" s="5"/>
    </row>
    <row r="5887" spans="6:11" x14ac:dyDescent="0.25">
      <c r="F5887" s="12"/>
      <c r="K5887" s="5"/>
    </row>
    <row r="5888" spans="6:11" x14ac:dyDescent="0.25">
      <c r="F5888" s="12"/>
      <c r="K5888" s="5"/>
    </row>
    <row r="5889" spans="6:11" x14ac:dyDescent="0.25">
      <c r="F5889" s="12"/>
      <c r="K5889" s="5"/>
    </row>
    <row r="5890" spans="6:11" x14ac:dyDescent="0.25">
      <c r="F5890" s="12"/>
      <c r="K5890" s="5"/>
    </row>
    <row r="5891" spans="6:11" x14ac:dyDescent="0.25">
      <c r="F5891" s="12"/>
      <c r="K5891" s="5"/>
    </row>
    <row r="5892" spans="6:11" x14ac:dyDescent="0.25">
      <c r="F5892" s="12"/>
      <c r="K5892" s="5"/>
    </row>
    <row r="5893" spans="6:11" x14ac:dyDescent="0.25">
      <c r="F5893" s="12"/>
      <c r="K5893" s="5"/>
    </row>
    <row r="5894" spans="6:11" x14ac:dyDescent="0.25">
      <c r="F5894" s="12"/>
      <c r="K5894" s="5"/>
    </row>
    <row r="5895" spans="6:11" x14ac:dyDescent="0.25">
      <c r="F5895" s="12"/>
      <c r="K5895" s="5"/>
    </row>
    <row r="5896" spans="6:11" x14ac:dyDescent="0.25">
      <c r="F5896" s="12"/>
      <c r="K5896" s="5"/>
    </row>
    <row r="5897" spans="6:11" x14ac:dyDescent="0.25">
      <c r="F5897" s="12"/>
      <c r="K5897" s="5"/>
    </row>
    <row r="5898" spans="6:11" x14ac:dyDescent="0.25">
      <c r="F5898" s="12"/>
      <c r="K5898" s="5"/>
    </row>
    <row r="5899" spans="6:11" x14ac:dyDescent="0.25">
      <c r="F5899" s="12"/>
      <c r="K5899" s="5"/>
    </row>
    <row r="5900" spans="6:11" x14ac:dyDescent="0.25">
      <c r="F5900" s="12"/>
      <c r="K5900" s="5"/>
    </row>
    <row r="5901" spans="6:11" x14ac:dyDescent="0.25">
      <c r="F5901" s="12"/>
      <c r="K5901" s="5"/>
    </row>
    <row r="5902" spans="6:11" x14ac:dyDescent="0.25">
      <c r="F5902" s="12"/>
      <c r="K5902" s="5"/>
    </row>
    <row r="5903" spans="6:11" x14ac:dyDescent="0.25">
      <c r="F5903" s="12"/>
      <c r="K5903" s="5"/>
    </row>
    <row r="5904" spans="6:11" x14ac:dyDescent="0.25">
      <c r="F5904" s="12"/>
      <c r="K5904" s="5"/>
    </row>
    <row r="5905" spans="6:11" x14ac:dyDescent="0.25">
      <c r="F5905" s="12"/>
      <c r="K5905" s="5"/>
    </row>
    <row r="5906" spans="6:11" x14ac:dyDescent="0.25">
      <c r="F5906" s="12"/>
      <c r="K5906" s="5"/>
    </row>
    <row r="5907" spans="6:11" x14ac:dyDescent="0.25">
      <c r="F5907" s="12"/>
      <c r="K5907" s="5"/>
    </row>
    <row r="5908" spans="6:11" x14ac:dyDescent="0.25">
      <c r="F5908" s="12"/>
      <c r="K5908" s="5"/>
    </row>
    <row r="5909" spans="6:11" x14ac:dyDescent="0.25">
      <c r="F5909" s="12"/>
      <c r="K5909" s="5"/>
    </row>
    <row r="5910" spans="6:11" x14ac:dyDescent="0.25">
      <c r="F5910" s="12"/>
      <c r="K5910" s="5"/>
    </row>
    <row r="5911" spans="6:11" x14ac:dyDescent="0.25">
      <c r="F5911" s="12"/>
      <c r="K5911" s="5"/>
    </row>
    <row r="5912" spans="6:11" x14ac:dyDescent="0.25">
      <c r="F5912" s="12"/>
      <c r="K5912" s="5"/>
    </row>
    <row r="5913" spans="6:11" x14ac:dyDescent="0.25">
      <c r="F5913" s="12"/>
      <c r="K5913" s="5"/>
    </row>
    <row r="5914" spans="6:11" x14ac:dyDescent="0.25">
      <c r="F5914" s="12"/>
      <c r="K5914" s="5"/>
    </row>
    <row r="5915" spans="6:11" x14ac:dyDescent="0.25">
      <c r="F5915" s="12"/>
      <c r="K5915" s="5"/>
    </row>
    <row r="5916" spans="6:11" x14ac:dyDescent="0.25">
      <c r="F5916" s="12"/>
      <c r="K5916" s="5"/>
    </row>
    <row r="5917" spans="6:11" x14ac:dyDescent="0.25">
      <c r="F5917" s="12"/>
      <c r="K5917" s="5"/>
    </row>
    <row r="5918" spans="6:11" x14ac:dyDescent="0.25">
      <c r="F5918" s="12"/>
      <c r="K5918" s="5"/>
    </row>
    <row r="5919" spans="6:11" x14ac:dyDescent="0.25">
      <c r="F5919" s="12"/>
      <c r="K5919" s="5"/>
    </row>
    <row r="5920" spans="6:11" x14ac:dyDescent="0.25">
      <c r="F5920" s="12"/>
      <c r="K5920" s="5"/>
    </row>
    <row r="5921" spans="6:11" x14ac:dyDescent="0.25">
      <c r="F5921" s="12"/>
      <c r="K5921" s="5"/>
    </row>
    <row r="5922" spans="6:11" x14ac:dyDescent="0.25">
      <c r="F5922" s="12"/>
      <c r="K5922" s="5"/>
    </row>
    <row r="5923" spans="6:11" x14ac:dyDescent="0.25">
      <c r="F5923" s="12"/>
      <c r="K5923" s="5"/>
    </row>
    <row r="5924" spans="6:11" x14ac:dyDescent="0.25">
      <c r="F5924" s="12"/>
      <c r="K5924" s="5"/>
    </row>
    <row r="5925" spans="6:11" x14ac:dyDescent="0.25">
      <c r="F5925" s="12"/>
      <c r="K5925" s="5"/>
    </row>
    <row r="5926" spans="6:11" x14ac:dyDescent="0.25">
      <c r="F5926" s="12"/>
      <c r="K5926" s="5"/>
    </row>
    <row r="5927" spans="6:11" x14ac:dyDescent="0.25">
      <c r="F5927" s="12"/>
      <c r="K5927" s="5"/>
    </row>
    <row r="5928" spans="6:11" x14ac:dyDescent="0.25">
      <c r="F5928" s="12"/>
      <c r="K5928" s="5"/>
    </row>
    <row r="5929" spans="6:11" x14ac:dyDescent="0.25">
      <c r="F5929" s="12"/>
      <c r="K5929" s="5"/>
    </row>
    <row r="5930" spans="6:11" x14ac:dyDescent="0.25">
      <c r="F5930" s="12"/>
      <c r="K5930" s="5"/>
    </row>
    <row r="5931" spans="6:11" x14ac:dyDescent="0.25">
      <c r="F5931" s="12"/>
      <c r="K5931" s="5"/>
    </row>
    <row r="5932" spans="6:11" x14ac:dyDescent="0.25">
      <c r="F5932" s="12"/>
      <c r="K5932" s="5"/>
    </row>
    <row r="5933" spans="6:11" x14ac:dyDescent="0.25">
      <c r="F5933" s="12"/>
      <c r="K5933" s="5"/>
    </row>
    <row r="5934" spans="6:11" x14ac:dyDescent="0.25">
      <c r="F5934" s="12"/>
      <c r="K5934" s="5"/>
    </row>
    <row r="5935" spans="6:11" x14ac:dyDescent="0.25">
      <c r="F5935" s="12"/>
      <c r="K5935" s="5"/>
    </row>
    <row r="5936" spans="6:11" x14ac:dyDescent="0.25">
      <c r="F5936" s="12"/>
      <c r="K5936" s="5"/>
    </row>
    <row r="5937" spans="6:11" x14ac:dyDescent="0.25">
      <c r="F5937" s="12"/>
      <c r="K5937" s="5"/>
    </row>
    <row r="5938" spans="6:11" x14ac:dyDescent="0.25">
      <c r="F5938" s="12"/>
      <c r="K5938" s="5"/>
    </row>
    <row r="5939" spans="6:11" x14ac:dyDescent="0.25">
      <c r="F5939" s="12"/>
      <c r="K5939" s="5"/>
    </row>
    <row r="5940" spans="6:11" x14ac:dyDescent="0.25">
      <c r="F5940" s="12"/>
      <c r="K5940" s="5"/>
    </row>
    <row r="5941" spans="6:11" x14ac:dyDescent="0.25">
      <c r="F5941" s="12"/>
      <c r="K5941" s="5"/>
    </row>
    <row r="5942" spans="6:11" x14ac:dyDescent="0.25">
      <c r="F5942" s="12"/>
      <c r="K5942" s="5"/>
    </row>
    <row r="5943" spans="6:11" x14ac:dyDescent="0.25">
      <c r="F5943" s="12"/>
      <c r="K5943" s="5"/>
    </row>
    <row r="5944" spans="6:11" x14ac:dyDescent="0.25">
      <c r="F5944" s="12"/>
      <c r="K5944" s="5"/>
    </row>
    <row r="5945" spans="6:11" x14ac:dyDescent="0.25">
      <c r="F5945" s="12"/>
      <c r="K5945" s="5"/>
    </row>
    <row r="5946" spans="6:11" x14ac:dyDescent="0.25">
      <c r="F5946" s="12"/>
      <c r="K5946" s="5"/>
    </row>
    <row r="5947" spans="6:11" x14ac:dyDescent="0.25">
      <c r="F5947" s="12"/>
      <c r="K5947" s="5"/>
    </row>
    <row r="5948" spans="6:11" x14ac:dyDescent="0.25">
      <c r="F5948" s="12"/>
      <c r="K5948" s="5"/>
    </row>
    <row r="5949" spans="6:11" x14ac:dyDescent="0.25">
      <c r="F5949" s="12"/>
      <c r="K5949" s="5"/>
    </row>
    <row r="5950" spans="6:11" x14ac:dyDescent="0.25">
      <c r="F5950" s="12"/>
      <c r="K5950" s="5"/>
    </row>
    <row r="5951" spans="6:11" x14ac:dyDescent="0.25">
      <c r="F5951" s="12"/>
      <c r="K5951" s="5"/>
    </row>
    <row r="5952" spans="6:11" x14ac:dyDescent="0.25">
      <c r="F5952" s="12"/>
      <c r="K5952" s="5"/>
    </row>
    <row r="5953" spans="6:11" x14ac:dyDescent="0.25">
      <c r="F5953" s="12"/>
      <c r="K5953" s="5"/>
    </row>
    <row r="5954" spans="6:11" x14ac:dyDescent="0.25">
      <c r="F5954" s="12"/>
      <c r="K5954" s="5"/>
    </row>
    <row r="5955" spans="6:11" x14ac:dyDescent="0.25">
      <c r="F5955" s="12"/>
      <c r="K5955" s="5"/>
    </row>
    <row r="5956" spans="6:11" x14ac:dyDescent="0.25">
      <c r="F5956" s="12"/>
      <c r="K5956" s="5"/>
    </row>
    <row r="5957" spans="6:11" x14ac:dyDescent="0.25">
      <c r="F5957" s="12"/>
      <c r="K5957" s="5"/>
    </row>
    <row r="5958" spans="6:11" x14ac:dyDescent="0.25">
      <c r="F5958" s="12"/>
      <c r="K5958" s="5"/>
    </row>
    <row r="5959" spans="6:11" x14ac:dyDescent="0.25">
      <c r="F5959" s="12"/>
      <c r="K5959" s="5"/>
    </row>
    <row r="5960" spans="6:11" x14ac:dyDescent="0.25">
      <c r="F5960" s="12"/>
      <c r="K5960" s="5"/>
    </row>
    <row r="5961" spans="6:11" x14ac:dyDescent="0.25">
      <c r="F5961" s="12"/>
      <c r="K5961" s="5"/>
    </row>
    <row r="5962" spans="6:11" x14ac:dyDescent="0.25">
      <c r="F5962" s="12"/>
      <c r="K5962" s="5"/>
    </row>
    <row r="5963" spans="6:11" x14ac:dyDescent="0.25">
      <c r="F5963" s="12"/>
      <c r="K5963" s="5"/>
    </row>
    <row r="5964" spans="6:11" x14ac:dyDescent="0.25">
      <c r="F5964" s="12"/>
      <c r="K5964" s="5"/>
    </row>
    <row r="5965" spans="6:11" x14ac:dyDescent="0.25">
      <c r="F5965" s="12"/>
      <c r="K5965" s="5"/>
    </row>
    <row r="5966" spans="6:11" x14ac:dyDescent="0.25">
      <c r="F5966" s="12"/>
      <c r="K5966" s="5"/>
    </row>
    <row r="5967" spans="6:11" x14ac:dyDescent="0.25">
      <c r="F5967" s="12"/>
      <c r="K5967" s="5"/>
    </row>
    <row r="5968" spans="6:11" x14ac:dyDescent="0.25">
      <c r="F5968" s="12"/>
      <c r="K5968" s="5"/>
    </row>
    <row r="5969" spans="6:11" x14ac:dyDescent="0.25">
      <c r="F5969" s="12"/>
      <c r="K5969" s="5"/>
    </row>
    <row r="5970" spans="6:11" x14ac:dyDescent="0.25">
      <c r="F5970" s="12"/>
      <c r="K5970" s="5"/>
    </row>
    <row r="5971" spans="6:11" x14ac:dyDescent="0.25">
      <c r="F5971" s="12"/>
      <c r="K5971" s="5"/>
    </row>
    <row r="5972" spans="6:11" x14ac:dyDescent="0.25">
      <c r="F5972" s="12"/>
      <c r="K5972" s="5"/>
    </row>
    <row r="5973" spans="6:11" x14ac:dyDescent="0.25">
      <c r="F5973" s="12"/>
      <c r="K5973" s="5"/>
    </row>
    <row r="5974" spans="6:11" x14ac:dyDescent="0.25">
      <c r="F5974" s="12"/>
      <c r="K5974" s="5"/>
    </row>
    <row r="5975" spans="6:11" x14ac:dyDescent="0.25">
      <c r="F5975" s="12"/>
      <c r="K5975" s="5"/>
    </row>
    <row r="5976" spans="6:11" x14ac:dyDescent="0.25">
      <c r="F5976" s="12"/>
      <c r="K5976" s="5"/>
    </row>
    <row r="5977" spans="6:11" x14ac:dyDescent="0.25">
      <c r="F5977" s="12"/>
      <c r="K5977" s="5"/>
    </row>
    <row r="5978" spans="6:11" x14ac:dyDescent="0.25">
      <c r="F5978" s="12"/>
      <c r="K5978" s="5"/>
    </row>
    <row r="5979" spans="6:11" x14ac:dyDescent="0.25">
      <c r="F5979" s="12"/>
      <c r="K5979" s="5"/>
    </row>
    <row r="5980" spans="6:11" x14ac:dyDescent="0.25">
      <c r="F5980" s="12"/>
      <c r="K5980" s="5"/>
    </row>
    <row r="5981" spans="6:11" x14ac:dyDescent="0.25">
      <c r="F5981" s="12"/>
      <c r="K5981" s="5"/>
    </row>
    <row r="5982" spans="6:11" x14ac:dyDescent="0.25">
      <c r="F5982" s="12"/>
      <c r="K5982" s="5"/>
    </row>
    <row r="5983" spans="6:11" x14ac:dyDescent="0.25">
      <c r="F5983" s="12"/>
      <c r="K5983" s="5"/>
    </row>
    <row r="5984" spans="6:11" x14ac:dyDescent="0.25">
      <c r="F5984" s="12"/>
      <c r="K5984" s="5"/>
    </row>
    <row r="5985" spans="6:11" x14ac:dyDescent="0.25">
      <c r="F5985" s="12"/>
      <c r="K5985" s="5"/>
    </row>
    <row r="5986" spans="6:11" x14ac:dyDescent="0.25">
      <c r="F5986" s="12"/>
      <c r="K5986" s="5"/>
    </row>
    <row r="5987" spans="6:11" x14ac:dyDescent="0.25">
      <c r="F5987" s="12"/>
      <c r="K5987" s="5"/>
    </row>
    <row r="5988" spans="6:11" x14ac:dyDescent="0.25">
      <c r="F5988" s="12"/>
      <c r="K5988" s="5"/>
    </row>
    <row r="5989" spans="6:11" x14ac:dyDescent="0.25">
      <c r="F5989" s="12"/>
      <c r="K5989" s="5"/>
    </row>
    <row r="5990" spans="6:11" x14ac:dyDescent="0.25">
      <c r="F5990" s="12"/>
      <c r="K5990" s="5"/>
    </row>
    <row r="5991" spans="6:11" x14ac:dyDescent="0.25">
      <c r="F5991" s="12"/>
      <c r="K5991" s="5"/>
    </row>
    <row r="5992" spans="6:11" x14ac:dyDescent="0.25">
      <c r="F5992" s="12"/>
      <c r="K5992" s="5"/>
    </row>
    <row r="5993" spans="6:11" x14ac:dyDescent="0.25">
      <c r="F5993" s="12"/>
      <c r="K5993" s="5"/>
    </row>
    <row r="5994" spans="6:11" x14ac:dyDescent="0.25">
      <c r="F5994" s="12"/>
      <c r="K5994" s="5"/>
    </row>
    <row r="5995" spans="6:11" x14ac:dyDescent="0.25">
      <c r="F5995" s="12"/>
      <c r="K5995" s="5"/>
    </row>
    <row r="5996" spans="6:11" x14ac:dyDescent="0.25">
      <c r="F5996" s="12"/>
      <c r="K5996" s="5"/>
    </row>
    <row r="5997" spans="6:11" x14ac:dyDescent="0.25">
      <c r="F5997" s="12"/>
      <c r="K5997" s="5"/>
    </row>
    <row r="5998" spans="6:11" x14ac:dyDescent="0.25">
      <c r="F5998" s="12"/>
      <c r="K5998" s="5"/>
    </row>
    <row r="5999" spans="6:11" x14ac:dyDescent="0.25">
      <c r="F5999" s="12"/>
      <c r="K5999" s="5"/>
    </row>
    <row r="6000" spans="6:11" x14ac:dyDescent="0.25">
      <c r="F6000" s="12"/>
      <c r="K6000" s="5"/>
    </row>
    <row r="6001" spans="6:11" x14ac:dyDescent="0.25">
      <c r="F6001" s="12"/>
      <c r="K6001" s="5"/>
    </row>
    <row r="6002" spans="6:11" x14ac:dyDescent="0.25">
      <c r="F6002" s="12"/>
      <c r="K6002" s="5"/>
    </row>
    <row r="6003" spans="6:11" x14ac:dyDescent="0.25">
      <c r="F6003" s="12"/>
      <c r="K6003" s="5"/>
    </row>
    <row r="6004" spans="6:11" x14ac:dyDescent="0.25">
      <c r="F6004" s="12"/>
      <c r="K6004" s="5"/>
    </row>
    <row r="6005" spans="6:11" x14ac:dyDescent="0.25">
      <c r="F6005" s="12"/>
      <c r="K6005" s="5"/>
    </row>
    <row r="6006" spans="6:11" x14ac:dyDescent="0.25">
      <c r="F6006" s="12"/>
      <c r="K6006" s="5"/>
    </row>
    <row r="6007" spans="6:11" x14ac:dyDescent="0.25">
      <c r="F6007" s="12"/>
      <c r="K6007" s="5"/>
    </row>
    <row r="6008" spans="6:11" x14ac:dyDescent="0.25">
      <c r="F6008" s="12"/>
      <c r="K6008" s="5"/>
    </row>
    <row r="6009" spans="6:11" x14ac:dyDescent="0.25">
      <c r="F6009" s="12"/>
      <c r="K6009" s="5"/>
    </row>
    <row r="6010" spans="6:11" x14ac:dyDescent="0.25">
      <c r="F6010" s="12"/>
      <c r="K6010" s="5"/>
    </row>
    <row r="6011" spans="6:11" x14ac:dyDescent="0.25">
      <c r="F6011" s="12"/>
      <c r="K6011" s="5"/>
    </row>
    <row r="6012" spans="6:11" x14ac:dyDescent="0.25">
      <c r="F6012" s="12"/>
      <c r="K6012" s="5"/>
    </row>
    <row r="6013" spans="6:11" x14ac:dyDescent="0.25">
      <c r="F6013" s="12"/>
      <c r="K6013" s="5"/>
    </row>
    <row r="6014" spans="6:11" x14ac:dyDescent="0.25">
      <c r="F6014" s="12"/>
      <c r="K6014" s="5"/>
    </row>
    <row r="6015" spans="6:11" x14ac:dyDescent="0.25">
      <c r="F6015" s="12"/>
      <c r="K6015" s="5"/>
    </row>
    <row r="6016" spans="6:11" x14ac:dyDescent="0.25">
      <c r="F6016" s="12"/>
      <c r="K6016" s="5"/>
    </row>
    <row r="6017" spans="6:11" x14ac:dyDescent="0.25">
      <c r="F6017" s="12"/>
      <c r="K6017" s="5"/>
    </row>
    <row r="6018" spans="6:11" x14ac:dyDescent="0.25">
      <c r="F6018" s="12"/>
      <c r="K6018" s="5"/>
    </row>
    <row r="6019" spans="6:11" x14ac:dyDescent="0.25">
      <c r="F6019" s="12"/>
      <c r="K6019" s="5"/>
    </row>
    <row r="6020" spans="6:11" x14ac:dyDescent="0.25">
      <c r="F6020" s="12"/>
      <c r="K6020" s="5"/>
    </row>
    <row r="6021" spans="6:11" x14ac:dyDescent="0.25">
      <c r="F6021" s="12"/>
      <c r="K6021" s="5"/>
    </row>
    <row r="6022" spans="6:11" x14ac:dyDescent="0.25">
      <c r="F6022" s="12"/>
      <c r="K6022" s="5"/>
    </row>
    <row r="6023" spans="6:11" x14ac:dyDescent="0.25">
      <c r="F6023" s="12"/>
      <c r="K6023" s="5"/>
    </row>
    <row r="6024" spans="6:11" x14ac:dyDescent="0.25">
      <c r="F6024" s="12"/>
      <c r="K6024" s="5"/>
    </row>
    <row r="6025" spans="6:11" x14ac:dyDescent="0.25">
      <c r="F6025" s="12"/>
      <c r="K6025" s="5"/>
    </row>
    <row r="6026" spans="6:11" x14ac:dyDescent="0.25">
      <c r="F6026" s="12"/>
      <c r="K6026" s="5"/>
    </row>
    <row r="6027" spans="6:11" x14ac:dyDescent="0.25">
      <c r="F6027" s="12"/>
      <c r="K6027" s="5"/>
    </row>
    <row r="6028" spans="6:11" x14ac:dyDescent="0.25">
      <c r="F6028" s="12"/>
      <c r="K6028" s="5"/>
    </row>
    <row r="6029" spans="6:11" x14ac:dyDescent="0.25">
      <c r="F6029" s="12"/>
      <c r="K6029" s="5"/>
    </row>
    <row r="6030" spans="6:11" x14ac:dyDescent="0.25">
      <c r="F6030" s="12"/>
      <c r="K6030" s="5"/>
    </row>
    <row r="6031" spans="6:11" x14ac:dyDescent="0.25">
      <c r="F6031" s="12"/>
      <c r="K6031" s="5"/>
    </row>
    <row r="6032" spans="6:11" x14ac:dyDescent="0.25">
      <c r="F6032" s="12"/>
      <c r="K6032" s="5"/>
    </row>
    <row r="6033" spans="6:11" x14ac:dyDescent="0.25">
      <c r="F6033" s="12"/>
      <c r="K6033" s="5"/>
    </row>
    <row r="6034" spans="6:11" x14ac:dyDescent="0.25">
      <c r="F6034" s="12"/>
      <c r="K6034" s="5"/>
    </row>
    <row r="6035" spans="6:11" x14ac:dyDescent="0.25">
      <c r="F6035" s="12"/>
      <c r="K6035" s="5"/>
    </row>
    <row r="6036" spans="6:11" x14ac:dyDescent="0.25">
      <c r="F6036" s="12"/>
      <c r="K6036" s="5"/>
    </row>
    <row r="6037" spans="6:11" x14ac:dyDescent="0.25">
      <c r="F6037" s="12"/>
      <c r="K6037" s="5"/>
    </row>
    <row r="6038" spans="6:11" x14ac:dyDescent="0.25">
      <c r="F6038" s="12"/>
      <c r="K6038" s="5"/>
    </row>
    <row r="6039" spans="6:11" x14ac:dyDescent="0.25">
      <c r="F6039" s="12"/>
      <c r="K6039" s="5"/>
    </row>
    <row r="6040" spans="6:11" x14ac:dyDescent="0.25">
      <c r="F6040" s="12"/>
      <c r="K6040" s="5"/>
    </row>
    <row r="6041" spans="6:11" x14ac:dyDescent="0.25">
      <c r="F6041" s="12"/>
      <c r="K6041" s="5"/>
    </row>
    <row r="6042" spans="6:11" x14ac:dyDescent="0.25">
      <c r="F6042" s="12"/>
      <c r="K6042" s="5"/>
    </row>
    <row r="6043" spans="6:11" x14ac:dyDescent="0.25">
      <c r="F6043" s="12"/>
      <c r="K6043" s="5"/>
    </row>
    <row r="6044" spans="6:11" x14ac:dyDescent="0.25">
      <c r="F6044" s="12"/>
      <c r="K6044" s="5"/>
    </row>
    <row r="6045" spans="6:11" x14ac:dyDescent="0.25">
      <c r="F6045" s="12"/>
      <c r="K6045" s="5"/>
    </row>
    <row r="6046" spans="6:11" x14ac:dyDescent="0.25">
      <c r="F6046" s="12"/>
      <c r="K6046" s="5"/>
    </row>
    <row r="6047" spans="6:11" x14ac:dyDescent="0.25">
      <c r="F6047" s="12"/>
      <c r="K6047" s="5"/>
    </row>
    <row r="6048" spans="6:11" x14ac:dyDescent="0.25">
      <c r="F6048" s="12"/>
      <c r="K6048" s="5"/>
    </row>
    <row r="6049" spans="6:11" x14ac:dyDescent="0.25">
      <c r="F6049" s="12"/>
      <c r="K6049" s="5"/>
    </row>
    <row r="6050" spans="6:11" x14ac:dyDescent="0.25">
      <c r="F6050" s="12"/>
      <c r="K6050" s="5"/>
    </row>
    <row r="6051" spans="6:11" x14ac:dyDescent="0.25">
      <c r="F6051" s="12"/>
      <c r="K6051" s="5"/>
    </row>
    <row r="6052" spans="6:11" x14ac:dyDescent="0.25">
      <c r="F6052" s="12"/>
      <c r="K6052" s="5"/>
    </row>
    <row r="6053" spans="6:11" x14ac:dyDescent="0.25">
      <c r="F6053" s="12"/>
      <c r="K6053" s="5"/>
    </row>
    <row r="6054" spans="6:11" x14ac:dyDescent="0.25">
      <c r="F6054" s="12"/>
      <c r="K6054" s="5"/>
    </row>
    <row r="6055" spans="6:11" x14ac:dyDescent="0.25">
      <c r="F6055" s="12"/>
      <c r="K6055" s="5"/>
    </row>
    <row r="6056" spans="6:11" x14ac:dyDescent="0.25">
      <c r="F6056" s="12"/>
      <c r="K6056" s="5"/>
    </row>
    <row r="6057" spans="6:11" x14ac:dyDescent="0.25">
      <c r="F6057" s="12"/>
      <c r="K6057" s="5"/>
    </row>
    <row r="6058" spans="6:11" x14ac:dyDescent="0.25">
      <c r="F6058" s="12"/>
      <c r="K6058" s="5"/>
    </row>
    <row r="6059" spans="6:11" x14ac:dyDescent="0.25">
      <c r="F6059" s="12"/>
      <c r="K6059" s="5"/>
    </row>
    <row r="6060" spans="6:11" x14ac:dyDescent="0.25">
      <c r="F6060" s="12"/>
      <c r="K6060" s="5"/>
    </row>
    <row r="6061" spans="6:11" x14ac:dyDescent="0.25">
      <c r="F6061" s="12"/>
      <c r="K6061" s="5"/>
    </row>
    <row r="6062" spans="6:11" x14ac:dyDescent="0.25">
      <c r="F6062" s="12"/>
      <c r="K6062" s="5"/>
    </row>
    <row r="6063" spans="6:11" x14ac:dyDescent="0.25">
      <c r="F6063" s="12"/>
      <c r="K6063" s="5"/>
    </row>
    <row r="6064" spans="6:11" x14ac:dyDescent="0.25">
      <c r="F6064" s="12"/>
      <c r="K6064" s="5"/>
    </row>
    <row r="6065" spans="6:11" x14ac:dyDescent="0.25">
      <c r="F6065" s="12"/>
      <c r="K6065" s="5"/>
    </row>
    <row r="6066" spans="6:11" x14ac:dyDescent="0.25">
      <c r="F6066" s="12"/>
      <c r="K6066" s="5"/>
    </row>
    <row r="6067" spans="6:11" x14ac:dyDescent="0.25">
      <c r="F6067" s="12"/>
      <c r="K6067" s="5"/>
    </row>
    <row r="6068" spans="6:11" x14ac:dyDescent="0.25">
      <c r="F6068" s="12"/>
      <c r="K6068" s="5"/>
    </row>
    <row r="6069" spans="6:11" x14ac:dyDescent="0.25">
      <c r="F6069" s="12"/>
      <c r="K6069" s="5"/>
    </row>
    <row r="6070" spans="6:11" x14ac:dyDescent="0.25">
      <c r="F6070" s="12"/>
      <c r="K6070" s="5"/>
    </row>
    <row r="6071" spans="6:11" x14ac:dyDescent="0.25">
      <c r="F6071" s="12"/>
      <c r="K6071" s="5"/>
    </row>
    <row r="6072" spans="6:11" x14ac:dyDescent="0.25">
      <c r="F6072" s="12"/>
      <c r="K6072" s="5"/>
    </row>
    <row r="6073" spans="6:11" x14ac:dyDescent="0.25">
      <c r="F6073" s="12"/>
      <c r="K6073" s="5"/>
    </row>
    <row r="6074" spans="6:11" x14ac:dyDescent="0.25">
      <c r="F6074" s="12"/>
      <c r="K6074" s="5"/>
    </row>
    <row r="6075" spans="6:11" x14ac:dyDescent="0.25">
      <c r="F6075" s="12"/>
      <c r="K6075" s="5"/>
    </row>
    <row r="6076" spans="6:11" x14ac:dyDescent="0.25">
      <c r="F6076" s="12"/>
      <c r="K6076" s="5"/>
    </row>
    <row r="6077" spans="6:11" x14ac:dyDescent="0.25">
      <c r="F6077" s="12"/>
      <c r="K6077" s="5"/>
    </row>
    <row r="6078" spans="6:11" x14ac:dyDescent="0.25">
      <c r="F6078" s="12"/>
      <c r="K6078" s="5"/>
    </row>
    <row r="6079" spans="6:11" x14ac:dyDescent="0.25">
      <c r="F6079" s="12"/>
      <c r="K6079" s="5"/>
    </row>
    <row r="6080" spans="6:11" x14ac:dyDescent="0.25">
      <c r="F6080" s="12"/>
      <c r="K6080" s="5"/>
    </row>
    <row r="6081" spans="6:11" x14ac:dyDescent="0.25">
      <c r="F6081" s="12"/>
      <c r="K6081" s="5"/>
    </row>
    <row r="6082" spans="6:11" x14ac:dyDescent="0.25">
      <c r="F6082" s="12"/>
      <c r="K6082" s="5"/>
    </row>
    <row r="6083" spans="6:11" x14ac:dyDescent="0.25">
      <c r="F6083" s="12"/>
      <c r="K6083" s="5"/>
    </row>
    <row r="6084" spans="6:11" x14ac:dyDescent="0.25">
      <c r="F6084" s="12"/>
      <c r="K6084" s="5"/>
    </row>
    <row r="6085" spans="6:11" x14ac:dyDescent="0.25">
      <c r="F6085" s="12"/>
      <c r="K6085" s="5"/>
    </row>
    <row r="6086" spans="6:11" x14ac:dyDescent="0.25">
      <c r="F6086" s="12"/>
      <c r="K6086" s="5"/>
    </row>
    <row r="6087" spans="6:11" x14ac:dyDescent="0.25">
      <c r="F6087" s="12"/>
      <c r="K6087" s="5"/>
    </row>
    <row r="6088" spans="6:11" x14ac:dyDescent="0.25">
      <c r="F6088" s="12"/>
      <c r="K6088" s="5"/>
    </row>
    <row r="6089" spans="6:11" x14ac:dyDescent="0.25">
      <c r="F6089" s="12"/>
      <c r="K6089" s="5"/>
    </row>
    <row r="6090" spans="6:11" x14ac:dyDescent="0.25">
      <c r="F6090" s="12"/>
      <c r="K6090" s="5"/>
    </row>
    <row r="6091" spans="6:11" x14ac:dyDescent="0.25">
      <c r="F6091" s="12"/>
      <c r="K6091" s="5"/>
    </row>
    <row r="6092" spans="6:11" x14ac:dyDescent="0.25">
      <c r="F6092" s="12"/>
      <c r="K6092" s="5"/>
    </row>
    <row r="6093" spans="6:11" x14ac:dyDescent="0.25">
      <c r="F6093" s="12"/>
      <c r="K6093" s="5"/>
    </row>
    <row r="6094" spans="6:11" x14ac:dyDescent="0.25">
      <c r="F6094" s="12"/>
      <c r="K6094" s="5"/>
    </row>
    <row r="6095" spans="6:11" x14ac:dyDescent="0.25">
      <c r="F6095" s="12"/>
      <c r="K6095" s="5"/>
    </row>
    <row r="6096" spans="6:11" x14ac:dyDescent="0.25">
      <c r="F6096" s="12"/>
      <c r="K6096" s="5"/>
    </row>
    <row r="6097" spans="6:11" x14ac:dyDescent="0.25">
      <c r="F6097" s="12"/>
      <c r="K6097" s="5"/>
    </row>
    <row r="6098" spans="6:11" x14ac:dyDescent="0.25">
      <c r="F6098" s="12"/>
      <c r="K6098" s="5"/>
    </row>
    <row r="6099" spans="6:11" x14ac:dyDescent="0.25">
      <c r="F6099" s="12"/>
      <c r="K6099" s="5"/>
    </row>
    <row r="6100" spans="6:11" x14ac:dyDescent="0.25">
      <c r="F6100" s="12"/>
      <c r="K6100" s="5"/>
    </row>
    <row r="6101" spans="6:11" x14ac:dyDescent="0.25">
      <c r="F6101" s="12"/>
      <c r="K6101" s="5"/>
    </row>
    <row r="6102" spans="6:11" x14ac:dyDescent="0.25">
      <c r="F6102" s="12"/>
      <c r="K6102" s="5"/>
    </row>
    <row r="6103" spans="6:11" x14ac:dyDescent="0.25">
      <c r="F6103" s="12"/>
      <c r="K6103" s="5"/>
    </row>
    <row r="6104" spans="6:11" x14ac:dyDescent="0.25">
      <c r="F6104" s="12"/>
      <c r="K6104" s="5"/>
    </row>
    <row r="6105" spans="6:11" x14ac:dyDescent="0.25">
      <c r="F6105" s="12"/>
      <c r="K6105" s="5"/>
    </row>
    <row r="6106" spans="6:11" x14ac:dyDescent="0.25">
      <c r="F6106" s="12"/>
      <c r="K6106" s="5"/>
    </row>
    <row r="6107" spans="6:11" x14ac:dyDescent="0.25">
      <c r="F6107" s="12"/>
      <c r="K6107" s="5"/>
    </row>
    <row r="6108" spans="6:11" x14ac:dyDescent="0.25">
      <c r="F6108" s="12"/>
      <c r="K6108" s="5"/>
    </row>
    <row r="6109" spans="6:11" x14ac:dyDescent="0.25">
      <c r="F6109" s="12"/>
      <c r="K6109" s="5"/>
    </row>
    <row r="6110" spans="6:11" x14ac:dyDescent="0.25">
      <c r="F6110" s="12"/>
      <c r="K6110" s="5"/>
    </row>
    <row r="6111" spans="6:11" x14ac:dyDescent="0.25">
      <c r="F6111" s="12"/>
      <c r="K6111" s="5"/>
    </row>
    <row r="6112" spans="6:11" x14ac:dyDescent="0.25">
      <c r="F6112" s="12"/>
      <c r="K6112" s="5"/>
    </row>
    <row r="6113" spans="6:11" x14ac:dyDescent="0.25">
      <c r="F6113" s="12"/>
      <c r="K6113" s="5"/>
    </row>
    <row r="6114" spans="6:11" x14ac:dyDescent="0.25">
      <c r="F6114" s="12"/>
      <c r="K6114" s="5"/>
    </row>
    <row r="6115" spans="6:11" x14ac:dyDescent="0.25">
      <c r="F6115" s="12"/>
      <c r="K6115" s="5"/>
    </row>
    <row r="6116" spans="6:11" x14ac:dyDescent="0.25">
      <c r="F6116" s="12"/>
      <c r="K6116" s="5"/>
    </row>
    <row r="6117" spans="6:11" x14ac:dyDescent="0.25">
      <c r="F6117" s="12"/>
      <c r="K6117" s="5"/>
    </row>
    <row r="6118" spans="6:11" x14ac:dyDescent="0.25">
      <c r="F6118" s="12"/>
      <c r="K6118" s="5"/>
    </row>
    <row r="6119" spans="6:11" x14ac:dyDescent="0.25">
      <c r="F6119" s="12"/>
      <c r="K6119" s="5"/>
    </row>
    <row r="6120" spans="6:11" x14ac:dyDescent="0.25">
      <c r="F6120" s="12"/>
      <c r="K6120" s="5"/>
    </row>
    <row r="6121" spans="6:11" x14ac:dyDescent="0.25">
      <c r="F6121" s="12"/>
      <c r="K6121" s="5"/>
    </row>
    <row r="6122" spans="6:11" x14ac:dyDescent="0.25">
      <c r="F6122" s="12"/>
      <c r="K6122" s="5"/>
    </row>
    <row r="6123" spans="6:11" x14ac:dyDescent="0.25">
      <c r="F6123" s="12"/>
      <c r="K6123" s="5"/>
    </row>
    <row r="6124" spans="6:11" x14ac:dyDescent="0.25">
      <c r="F6124" s="12"/>
      <c r="K6124" s="5"/>
    </row>
    <row r="6125" spans="6:11" x14ac:dyDescent="0.25">
      <c r="F6125" s="12"/>
      <c r="K6125" s="5"/>
    </row>
    <row r="6126" spans="6:11" x14ac:dyDescent="0.25">
      <c r="F6126" s="12"/>
      <c r="K6126" s="5"/>
    </row>
    <row r="6127" spans="6:11" x14ac:dyDescent="0.25">
      <c r="F6127" s="12"/>
      <c r="K6127" s="5"/>
    </row>
    <row r="6128" spans="6:11" x14ac:dyDescent="0.25">
      <c r="F6128" s="12"/>
      <c r="K6128" s="5"/>
    </row>
    <row r="6129" spans="6:11" x14ac:dyDescent="0.25">
      <c r="F6129" s="12"/>
      <c r="K6129" s="5"/>
    </row>
    <row r="6130" spans="6:11" x14ac:dyDescent="0.25">
      <c r="F6130" s="12"/>
      <c r="K6130" s="5"/>
    </row>
    <row r="6131" spans="6:11" x14ac:dyDescent="0.25">
      <c r="F6131" s="12"/>
      <c r="K6131" s="5"/>
    </row>
    <row r="6132" spans="6:11" x14ac:dyDescent="0.25">
      <c r="F6132" s="12"/>
      <c r="K6132" s="5"/>
    </row>
    <row r="6133" spans="6:11" x14ac:dyDescent="0.25">
      <c r="F6133" s="12"/>
      <c r="K6133" s="5"/>
    </row>
    <row r="6134" spans="6:11" x14ac:dyDescent="0.25">
      <c r="F6134" s="12"/>
      <c r="K6134" s="5"/>
    </row>
    <row r="6135" spans="6:11" x14ac:dyDescent="0.25">
      <c r="F6135" s="12"/>
      <c r="K6135" s="5"/>
    </row>
    <row r="6136" spans="6:11" x14ac:dyDescent="0.25">
      <c r="F6136" s="12"/>
      <c r="K6136" s="5"/>
    </row>
    <row r="6137" spans="6:11" x14ac:dyDescent="0.25">
      <c r="F6137" s="12"/>
      <c r="K6137" s="5"/>
    </row>
    <row r="6138" spans="6:11" x14ac:dyDescent="0.25">
      <c r="F6138" s="12"/>
      <c r="K6138" s="5"/>
    </row>
    <row r="6139" spans="6:11" x14ac:dyDescent="0.25">
      <c r="F6139" s="12"/>
      <c r="K6139" s="5"/>
    </row>
    <row r="6140" spans="6:11" x14ac:dyDescent="0.25">
      <c r="F6140" s="12"/>
      <c r="K6140" s="5"/>
    </row>
    <row r="6141" spans="6:11" x14ac:dyDescent="0.25">
      <c r="F6141" s="12"/>
      <c r="K6141" s="5"/>
    </row>
    <row r="6142" spans="6:11" x14ac:dyDescent="0.25">
      <c r="F6142" s="12"/>
      <c r="K6142" s="5"/>
    </row>
    <row r="6143" spans="6:11" x14ac:dyDescent="0.25">
      <c r="F6143" s="12"/>
      <c r="K6143" s="5"/>
    </row>
    <row r="6144" spans="6:11" x14ac:dyDescent="0.25">
      <c r="F6144" s="12"/>
      <c r="K6144" s="5"/>
    </row>
    <row r="6145" spans="6:11" x14ac:dyDescent="0.25">
      <c r="F6145" s="12"/>
      <c r="K6145" s="5"/>
    </row>
    <row r="6146" spans="6:11" x14ac:dyDescent="0.25">
      <c r="F6146" s="12"/>
      <c r="K6146" s="5"/>
    </row>
    <row r="6147" spans="6:11" x14ac:dyDescent="0.25">
      <c r="F6147" s="12"/>
      <c r="K6147" s="5"/>
    </row>
    <row r="6148" spans="6:11" x14ac:dyDescent="0.25">
      <c r="F6148" s="12"/>
      <c r="K6148" s="5"/>
    </row>
    <row r="6149" spans="6:11" x14ac:dyDescent="0.25">
      <c r="F6149" s="12"/>
      <c r="K6149" s="5"/>
    </row>
    <row r="6150" spans="6:11" x14ac:dyDescent="0.25">
      <c r="F6150" s="12"/>
      <c r="K6150" s="5"/>
    </row>
    <row r="6151" spans="6:11" x14ac:dyDescent="0.25">
      <c r="F6151" s="12"/>
      <c r="K6151" s="5"/>
    </row>
    <row r="6152" spans="6:11" x14ac:dyDescent="0.25">
      <c r="F6152" s="12"/>
      <c r="K6152" s="5"/>
    </row>
    <row r="6153" spans="6:11" x14ac:dyDescent="0.25">
      <c r="F6153" s="12"/>
      <c r="K6153" s="5"/>
    </row>
    <row r="6154" spans="6:11" x14ac:dyDescent="0.25">
      <c r="F6154" s="12"/>
      <c r="K6154" s="5"/>
    </row>
    <row r="6155" spans="6:11" x14ac:dyDescent="0.25">
      <c r="F6155" s="12"/>
      <c r="K6155" s="5"/>
    </row>
    <row r="6156" spans="6:11" x14ac:dyDescent="0.25">
      <c r="F6156" s="12"/>
      <c r="K6156" s="5"/>
    </row>
    <row r="6157" spans="6:11" x14ac:dyDescent="0.25">
      <c r="F6157" s="12"/>
      <c r="K6157" s="5"/>
    </row>
    <row r="6158" spans="6:11" x14ac:dyDescent="0.25">
      <c r="F6158" s="12"/>
      <c r="K6158" s="5"/>
    </row>
    <row r="6159" spans="6:11" x14ac:dyDescent="0.25">
      <c r="F6159" s="12"/>
      <c r="K6159" s="5"/>
    </row>
    <row r="6160" spans="6:11" x14ac:dyDescent="0.25">
      <c r="F6160" s="12"/>
      <c r="K6160" s="5"/>
    </row>
    <row r="6161" spans="6:11" x14ac:dyDescent="0.25">
      <c r="F6161" s="12"/>
      <c r="K6161" s="5"/>
    </row>
    <row r="6162" spans="6:11" x14ac:dyDescent="0.25">
      <c r="F6162" s="12"/>
      <c r="K6162" s="5"/>
    </row>
    <row r="6163" spans="6:11" x14ac:dyDescent="0.25">
      <c r="F6163" s="12"/>
      <c r="K6163" s="5"/>
    </row>
    <row r="6164" spans="6:11" x14ac:dyDescent="0.25">
      <c r="F6164" s="12"/>
      <c r="K6164" s="5"/>
    </row>
    <row r="6165" spans="6:11" x14ac:dyDescent="0.25">
      <c r="F6165" s="12"/>
      <c r="K6165" s="5"/>
    </row>
    <row r="6166" spans="6:11" x14ac:dyDescent="0.25">
      <c r="F6166" s="12"/>
      <c r="K6166" s="5"/>
    </row>
    <row r="6167" spans="6:11" x14ac:dyDescent="0.25">
      <c r="F6167" s="12"/>
      <c r="K6167" s="5"/>
    </row>
    <row r="6168" spans="6:11" x14ac:dyDescent="0.25">
      <c r="F6168" s="12"/>
      <c r="K6168" s="5"/>
    </row>
    <row r="6169" spans="6:11" x14ac:dyDescent="0.25">
      <c r="F6169" s="12"/>
      <c r="K6169" s="5"/>
    </row>
    <row r="6170" spans="6:11" x14ac:dyDescent="0.25">
      <c r="F6170" s="12"/>
      <c r="K6170" s="5"/>
    </row>
    <row r="6171" spans="6:11" x14ac:dyDescent="0.25">
      <c r="F6171" s="12"/>
      <c r="K6171" s="5"/>
    </row>
    <row r="6172" spans="6:11" x14ac:dyDescent="0.25">
      <c r="F6172" s="12"/>
      <c r="K6172" s="5"/>
    </row>
    <row r="6173" spans="6:11" x14ac:dyDescent="0.25">
      <c r="F6173" s="12"/>
      <c r="K6173" s="5"/>
    </row>
    <row r="6174" spans="6:11" x14ac:dyDescent="0.25">
      <c r="F6174" s="12"/>
      <c r="K6174" s="5"/>
    </row>
    <row r="6175" spans="6:11" x14ac:dyDescent="0.25">
      <c r="F6175" s="12"/>
      <c r="K6175" s="5"/>
    </row>
    <row r="6176" spans="6:11" x14ac:dyDescent="0.25">
      <c r="F6176" s="12"/>
      <c r="K6176" s="5"/>
    </row>
    <row r="6177" spans="6:11" x14ac:dyDescent="0.25">
      <c r="F6177" s="12"/>
      <c r="K6177" s="5"/>
    </row>
    <row r="6178" spans="6:11" x14ac:dyDescent="0.25">
      <c r="F6178" s="12"/>
      <c r="K6178" s="5"/>
    </row>
    <row r="6179" spans="6:11" x14ac:dyDescent="0.25">
      <c r="F6179" s="12"/>
      <c r="K6179" s="5"/>
    </row>
    <row r="6180" spans="6:11" x14ac:dyDescent="0.25">
      <c r="F6180" s="12"/>
      <c r="K6180" s="5"/>
    </row>
    <row r="6181" spans="6:11" x14ac:dyDescent="0.25">
      <c r="F6181" s="12"/>
      <c r="K6181" s="5"/>
    </row>
    <row r="6182" spans="6:11" x14ac:dyDescent="0.25">
      <c r="F6182" s="12"/>
      <c r="K6182" s="5"/>
    </row>
    <row r="6183" spans="6:11" x14ac:dyDescent="0.25">
      <c r="F6183" s="12"/>
      <c r="K6183" s="5"/>
    </row>
    <row r="6184" spans="6:11" x14ac:dyDescent="0.25">
      <c r="F6184" s="12"/>
      <c r="K6184" s="5"/>
    </row>
    <row r="6185" spans="6:11" x14ac:dyDescent="0.25">
      <c r="F6185" s="12"/>
      <c r="K6185" s="5"/>
    </row>
    <row r="6186" spans="6:11" x14ac:dyDescent="0.25">
      <c r="F6186" s="12"/>
      <c r="K6186" s="5"/>
    </row>
    <row r="6187" spans="6:11" x14ac:dyDescent="0.25">
      <c r="F6187" s="12"/>
      <c r="K6187" s="5"/>
    </row>
    <row r="6188" spans="6:11" x14ac:dyDescent="0.25">
      <c r="F6188" s="12"/>
      <c r="K6188" s="5"/>
    </row>
    <row r="6189" spans="6:11" x14ac:dyDescent="0.25">
      <c r="F6189" s="12"/>
      <c r="K6189" s="5"/>
    </row>
    <row r="6190" spans="6:11" x14ac:dyDescent="0.25">
      <c r="F6190" s="12"/>
      <c r="K6190" s="5"/>
    </row>
    <row r="6191" spans="6:11" x14ac:dyDescent="0.25">
      <c r="F6191" s="12"/>
      <c r="K6191" s="5"/>
    </row>
    <row r="6192" spans="6:11" x14ac:dyDescent="0.25">
      <c r="F6192" s="12"/>
      <c r="K6192" s="5"/>
    </row>
    <row r="6193" spans="6:11" x14ac:dyDescent="0.25">
      <c r="F6193" s="12"/>
      <c r="K6193" s="5"/>
    </row>
    <row r="6194" spans="6:11" x14ac:dyDescent="0.25">
      <c r="F6194" s="12"/>
      <c r="K6194" s="5"/>
    </row>
    <row r="6195" spans="6:11" x14ac:dyDescent="0.25">
      <c r="F6195" s="12"/>
      <c r="K6195" s="5"/>
    </row>
    <row r="6196" spans="6:11" x14ac:dyDescent="0.25">
      <c r="F6196" s="12"/>
      <c r="K6196" s="5"/>
    </row>
    <row r="6197" spans="6:11" x14ac:dyDescent="0.25">
      <c r="F6197" s="12"/>
      <c r="K6197" s="5"/>
    </row>
    <row r="6198" spans="6:11" x14ac:dyDescent="0.25">
      <c r="F6198" s="12"/>
      <c r="K6198" s="5"/>
    </row>
    <row r="6199" spans="6:11" x14ac:dyDescent="0.25">
      <c r="F6199" s="12"/>
      <c r="K6199" s="5"/>
    </row>
    <row r="6200" spans="6:11" x14ac:dyDescent="0.25">
      <c r="F6200" s="12"/>
      <c r="K6200" s="5"/>
    </row>
    <row r="6201" spans="6:11" x14ac:dyDescent="0.25">
      <c r="F6201" s="12"/>
      <c r="K6201" s="5"/>
    </row>
    <row r="6202" spans="6:11" x14ac:dyDescent="0.25">
      <c r="F6202" s="12"/>
      <c r="K6202" s="5"/>
    </row>
    <row r="6203" spans="6:11" x14ac:dyDescent="0.25">
      <c r="F6203" s="12"/>
      <c r="K6203" s="5"/>
    </row>
    <row r="6204" spans="6:11" x14ac:dyDescent="0.25">
      <c r="F6204" s="12"/>
      <c r="K6204" s="5"/>
    </row>
    <row r="6205" spans="6:11" x14ac:dyDescent="0.25">
      <c r="F6205" s="12"/>
      <c r="K6205" s="5"/>
    </row>
    <row r="6206" spans="6:11" x14ac:dyDescent="0.25">
      <c r="F6206" s="12"/>
      <c r="K6206" s="5"/>
    </row>
    <row r="6207" spans="6:11" x14ac:dyDescent="0.25">
      <c r="F6207" s="12"/>
      <c r="K6207" s="5"/>
    </row>
    <row r="6208" spans="6:11" x14ac:dyDescent="0.25">
      <c r="F6208" s="12"/>
      <c r="K6208" s="5"/>
    </row>
    <row r="6209" spans="6:11" x14ac:dyDescent="0.25">
      <c r="F6209" s="12"/>
      <c r="K6209" s="5"/>
    </row>
    <row r="6210" spans="6:11" x14ac:dyDescent="0.25">
      <c r="F6210" s="12"/>
      <c r="K6210" s="5"/>
    </row>
    <row r="6211" spans="6:11" x14ac:dyDescent="0.25">
      <c r="F6211" s="12"/>
      <c r="K6211" s="5"/>
    </row>
    <row r="6212" spans="6:11" x14ac:dyDescent="0.25">
      <c r="F6212" s="12"/>
      <c r="K6212" s="5"/>
    </row>
    <row r="6213" spans="6:11" x14ac:dyDescent="0.25">
      <c r="F6213" s="12"/>
      <c r="K6213" s="5"/>
    </row>
    <row r="6214" spans="6:11" x14ac:dyDescent="0.25">
      <c r="F6214" s="12"/>
      <c r="K6214" s="5"/>
    </row>
    <row r="6215" spans="6:11" x14ac:dyDescent="0.25">
      <c r="F6215" s="12"/>
      <c r="K6215" s="5"/>
    </row>
    <row r="6216" spans="6:11" x14ac:dyDescent="0.25">
      <c r="F6216" s="12"/>
      <c r="K6216" s="5"/>
    </row>
    <row r="6217" spans="6:11" x14ac:dyDescent="0.25">
      <c r="F6217" s="12"/>
      <c r="K6217" s="5"/>
    </row>
    <row r="6218" spans="6:11" x14ac:dyDescent="0.25">
      <c r="F6218" s="12"/>
      <c r="K6218" s="5"/>
    </row>
    <row r="6219" spans="6:11" x14ac:dyDescent="0.25">
      <c r="F6219" s="12"/>
      <c r="K6219" s="5"/>
    </row>
    <row r="6220" spans="6:11" x14ac:dyDescent="0.25">
      <c r="F6220" s="12"/>
      <c r="K6220" s="5"/>
    </row>
    <row r="6221" spans="6:11" x14ac:dyDescent="0.25">
      <c r="F6221" s="12"/>
      <c r="K6221" s="5"/>
    </row>
    <row r="6222" spans="6:11" x14ac:dyDescent="0.25">
      <c r="F6222" s="12"/>
      <c r="K6222" s="5"/>
    </row>
    <row r="6223" spans="6:11" x14ac:dyDescent="0.25">
      <c r="F6223" s="12"/>
      <c r="K6223" s="5"/>
    </row>
    <row r="6224" spans="6:11" x14ac:dyDescent="0.25">
      <c r="F6224" s="12"/>
      <c r="K6224" s="5"/>
    </row>
    <row r="6225" spans="6:11" x14ac:dyDescent="0.25">
      <c r="F6225" s="12"/>
      <c r="K6225" s="5"/>
    </row>
    <row r="6226" spans="6:11" x14ac:dyDescent="0.25">
      <c r="F6226" s="12"/>
      <c r="K6226" s="5"/>
    </row>
    <row r="6227" spans="6:11" x14ac:dyDescent="0.25">
      <c r="F6227" s="12"/>
      <c r="K6227" s="5"/>
    </row>
    <row r="6228" spans="6:11" x14ac:dyDescent="0.25">
      <c r="F6228" s="12"/>
      <c r="K6228" s="5"/>
    </row>
    <row r="6229" spans="6:11" x14ac:dyDescent="0.25">
      <c r="F6229" s="12"/>
      <c r="K6229" s="5"/>
    </row>
    <row r="6230" spans="6:11" x14ac:dyDescent="0.25">
      <c r="F6230" s="12"/>
      <c r="K6230" s="5"/>
    </row>
    <row r="6231" spans="6:11" x14ac:dyDescent="0.25">
      <c r="F6231" s="12"/>
      <c r="K6231" s="5"/>
    </row>
    <row r="6232" spans="6:11" x14ac:dyDescent="0.25">
      <c r="F6232" s="12"/>
      <c r="K6232" s="5"/>
    </row>
    <row r="6233" spans="6:11" x14ac:dyDescent="0.25">
      <c r="F6233" s="12"/>
      <c r="K6233" s="5"/>
    </row>
    <row r="6234" spans="6:11" x14ac:dyDescent="0.25">
      <c r="F6234" s="12"/>
      <c r="K6234" s="5"/>
    </row>
    <row r="6235" spans="6:11" x14ac:dyDescent="0.25">
      <c r="F6235" s="12"/>
      <c r="K6235" s="5"/>
    </row>
    <row r="6236" spans="6:11" x14ac:dyDescent="0.25">
      <c r="F6236" s="12"/>
      <c r="K6236" s="5"/>
    </row>
    <row r="6237" spans="6:11" x14ac:dyDescent="0.25">
      <c r="F6237" s="12"/>
      <c r="K6237" s="5"/>
    </row>
    <row r="6238" spans="6:11" x14ac:dyDescent="0.25">
      <c r="F6238" s="12"/>
      <c r="K6238" s="5"/>
    </row>
    <row r="6239" spans="6:11" x14ac:dyDescent="0.25">
      <c r="F6239" s="12"/>
      <c r="K6239" s="5"/>
    </row>
    <row r="6240" spans="6:11" x14ac:dyDescent="0.25">
      <c r="F6240" s="12"/>
      <c r="K6240" s="5"/>
    </row>
    <row r="6241" spans="6:11" x14ac:dyDescent="0.25">
      <c r="F6241" s="12"/>
      <c r="K6241" s="5"/>
    </row>
    <row r="6242" spans="6:11" x14ac:dyDescent="0.25">
      <c r="F6242" s="12"/>
      <c r="K6242" s="5"/>
    </row>
    <row r="6243" spans="6:11" x14ac:dyDescent="0.25">
      <c r="F6243" s="12"/>
      <c r="K6243" s="5"/>
    </row>
    <row r="6244" spans="6:11" x14ac:dyDescent="0.25">
      <c r="F6244" s="12"/>
      <c r="K6244" s="5"/>
    </row>
    <row r="6245" spans="6:11" x14ac:dyDescent="0.25">
      <c r="F6245" s="12"/>
      <c r="K6245" s="5"/>
    </row>
    <row r="6246" spans="6:11" x14ac:dyDescent="0.25">
      <c r="F6246" s="12"/>
      <c r="K6246" s="5"/>
    </row>
    <row r="6247" spans="6:11" x14ac:dyDescent="0.25">
      <c r="F6247" s="12"/>
      <c r="K6247" s="5"/>
    </row>
    <row r="6248" spans="6:11" x14ac:dyDescent="0.25">
      <c r="F6248" s="12"/>
      <c r="K6248" s="5"/>
    </row>
    <row r="6249" spans="6:11" x14ac:dyDescent="0.25">
      <c r="F6249" s="12"/>
      <c r="K6249" s="5"/>
    </row>
    <row r="6250" spans="6:11" x14ac:dyDescent="0.25">
      <c r="F6250" s="12"/>
      <c r="K6250" s="5"/>
    </row>
    <row r="6251" spans="6:11" x14ac:dyDescent="0.25">
      <c r="F6251" s="12"/>
      <c r="K6251" s="5"/>
    </row>
    <row r="6252" spans="6:11" x14ac:dyDescent="0.25">
      <c r="F6252" s="12"/>
      <c r="K6252" s="5"/>
    </row>
    <row r="6253" spans="6:11" x14ac:dyDescent="0.25">
      <c r="F6253" s="12"/>
      <c r="K6253" s="5"/>
    </row>
    <row r="6254" spans="6:11" x14ac:dyDescent="0.25">
      <c r="F6254" s="12"/>
      <c r="K6254" s="5"/>
    </row>
    <row r="6255" spans="6:11" x14ac:dyDescent="0.25">
      <c r="F6255" s="12"/>
      <c r="K6255" s="5"/>
    </row>
    <row r="6256" spans="6:11" x14ac:dyDescent="0.25">
      <c r="F6256" s="12"/>
      <c r="K6256" s="5"/>
    </row>
    <row r="6257" spans="6:11" x14ac:dyDescent="0.25">
      <c r="F6257" s="12"/>
      <c r="K6257" s="5"/>
    </row>
    <row r="6258" spans="6:11" x14ac:dyDescent="0.25">
      <c r="F6258" s="12"/>
      <c r="K6258" s="5"/>
    </row>
    <row r="6259" spans="6:11" x14ac:dyDescent="0.25">
      <c r="F6259" s="12"/>
      <c r="K6259" s="5"/>
    </row>
    <row r="6260" spans="6:11" x14ac:dyDescent="0.25">
      <c r="F6260" s="12"/>
      <c r="K6260" s="5"/>
    </row>
    <row r="6261" spans="6:11" x14ac:dyDescent="0.25">
      <c r="F6261" s="12"/>
      <c r="K6261" s="5"/>
    </row>
    <row r="6262" spans="6:11" x14ac:dyDescent="0.25">
      <c r="F6262" s="12"/>
      <c r="K6262" s="5"/>
    </row>
    <row r="6263" spans="6:11" x14ac:dyDescent="0.25">
      <c r="F6263" s="12"/>
      <c r="K6263" s="5"/>
    </row>
    <row r="6264" spans="6:11" x14ac:dyDescent="0.25">
      <c r="F6264" s="12"/>
      <c r="K6264" s="5"/>
    </row>
    <row r="6265" spans="6:11" x14ac:dyDescent="0.25">
      <c r="F6265" s="12"/>
      <c r="K6265" s="5"/>
    </row>
    <row r="6266" spans="6:11" x14ac:dyDescent="0.25">
      <c r="F6266" s="12"/>
      <c r="K6266" s="5"/>
    </row>
    <row r="6267" spans="6:11" x14ac:dyDescent="0.25">
      <c r="F6267" s="12"/>
      <c r="K6267" s="5"/>
    </row>
    <row r="6268" spans="6:11" x14ac:dyDescent="0.25">
      <c r="F6268" s="12"/>
      <c r="K6268" s="5"/>
    </row>
    <row r="6269" spans="6:11" x14ac:dyDescent="0.25">
      <c r="F6269" s="12"/>
      <c r="K6269" s="5"/>
    </row>
    <row r="6270" spans="6:11" x14ac:dyDescent="0.25">
      <c r="F6270" s="12"/>
      <c r="K6270" s="5"/>
    </row>
    <row r="6271" spans="6:11" x14ac:dyDescent="0.25">
      <c r="F6271" s="12"/>
      <c r="K6271" s="5"/>
    </row>
    <row r="6272" spans="6:11" x14ac:dyDescent="0.25">
      <c r="F6272" s="12"/>
      <c r="K6272" s="5"/>
    </row>
    <row r="6273" spans="6:11" x14ac:dyDescent="0.25">
      <c r="F6273" s="12"/>
      <c r="K6273" s="5"/>
    </row>
    <row r="6274" spans="6:11" x14ac:dyDescent="0.25">
      <c r="F6274" s="12"/>
      <c r="K6274" s="5"/>
    </row>
    <row r="6275" spans="6:11" x14ac:dyDescent="0.25">
      <c r="F6275" s="12"/>
      <c r="K6275" s="5"/>
    </row>
    <row r="6276" spans="6:11" x14ac:dyDescent="0.25">
      <c r="F6276" s="12"/>
      <c r="K6276" s="5"/>
    </row>
    <row r="6277" spans="6:11" x14ac:dyDescent="0.25">
      <c r="F6277" s="12"/>
      <c r="K6277" s="5"/>
    </row>
    <row r="6278" spans="6:11" x14ac:dyDescent="0.25">
      <c r="F6278" s="12"/>
      <c r="K6278" s="5"/>
    </row>
    <row r="6279" spans="6:11" x14ac:dyDescent="0.25">
      <c r="F6279" s="12"/>
      <c r="K6279" s="5"/>
    </row>
    <row r="6280" spans="6:11" x14ac:dyDescent="0.25">
      <c r="F6280" s="12"/>
      <c r="K6280" s="5"/>
    </row>
    <row r="6281" spans="6:11" x14ac:dyDescent="0.25">
      <c r="F6281" s="12"/>
      <c r="K6281" s="5"/>
    </row>
    <row r="6282" spans="6:11" x14ac:dyDescent="0.25">
      <c r="F6282" s="12"/>
      <c r="K6282" s="5"/>
    </row>
    <row r="6283" spans="6:11" x14ac:dyDescent="0.25">
      <c r="F6283" s="12"/>
      <c r="K6283" s="5"/>
    </row>
    <row r="6284" spans="6:11" x14ac:dyDescent="0.25">
      <c r="F6284" s="12"/>
      <c r="K6284" s="5"/>
    </row>
    <row r="6285" spans="6:11" x14ac:dyDescent="0.25">
      <c r="F6285" s="12"/>
      <c r="K6285" s="5"/>
    </row>
    <row r="6286" spans="6:11" x14ac:dyDescent="0.25">
      <c r="F6286" s="12"/>
      <c r="K6286" s="5"/>
    </row>
    <row r="6287" spans="6:11" x14ac:dyDescent="0.25">
      <c r="F6287" s="12"/>
      <c r="K6287" s="5"/>
    </row>
    <row r="6288" spans="6:11" x14ac:dyDescent="0.25">
      <c r="F6288" s="12"/>
      <c r="K6288" s="5"/>
    </row>
    <row r="6289" spans="6:11" x14ac:dyDescent="0.25">
      <c r="F6289" s="12"/>
      <c r="K6289" s="5"/>
    </row>
    <row r="6290" spans="6:11" x14ac:dyDescent="0.25">
      <c r="F6290" s="12"/>
      <c r="K6290" s="5"/>
    </row>
    <row r="6291" spans="6:11" x14ac:dyDescent="0.25">
      <c r="F6291" s="12"/>
      <c r="K6291" s="5"/>
    </row>
    <row r="6292" spans="6:11" x14ac:dyDescent="0.25">
      <c r="F6292" s="12"/>
      <c r="K6292" s="5"/>
    </row>
    <row r="6293" spans="6:11" x14ac:dyDescent="0.25">
      <c r="F6293" s="12"/>
      <c r="K6293" s="5"/>
    </row>
    <row r="6294" spans="6:11" x14ac:dyDescent="0.25">
      <c r="F6294" s="12"/>
      <c r="K6294" s="5"/>
    </row>
    <row r="6295" spans="6:11" x14ac:dyDescent="0.25">
      <c r="F6295" s="12"/>
      <c r="K6295" s="5"/>
    </row>
    <row r="6296" spans="6:11" x14ac:dyDescent="0.25">
      <c r="F6296" s="12"/>
      <c r="K6296" s="5"/>
    </row>
    <row r="6297" spans="6:11" x14ac:dyDescent="0.25">
      <c r="F6297" s="12"/>
      <c r="K6297" s="5"/>
    </row>
    <row r="6298" spans="6:11" x14ac:dyDescent="0.25">
      <c r="F6298" s="12"/>
      <c r="K6298" s="5"/>
    </row>
    <row r="6299" spans="6:11" x14ac:dyDescent="0.25">
      <c r="F6299" s="12"/>
      <c r="K6299" s="5"/>
    </row>
    <row r="6300" spans="6:11" x14ac:dyDescent="0.25">
      <c r="F6300" s="12"/>
      <c r="K6300" s="5"/>
    </row>
    <row r="6301" spans="6:11" x14ac:dyDescent="0.25">
      <c r="F6301" s="12"/>
      <c r="K6301" s="5"/>
    </row>
    <row r="6302" spans="6:11" x14ac:dyDescent="0.25">
      <c r="F6302" s="12"/>
      <c r="K6302" s="5"/>
    </row>
    <row r="6303" spans="6:11" x14ac:dyDescent="0.25">
      <c r="F6303" s="12"/>
      <c r="K6303" s="5"/>
    </row>
    <row r="6304" spans="6:11" x14ac:dyDescent="0.25">
      <c r="F6304" s="12"/>
      <c r="K6304" s="5"/>
    </row>
    <row r="6305" spans="6:11" x14ac:dyDescent="0.25">
      <c r="F6305" s="12"/>
      <c r="K6305" s="5"/>
    </row>
    <row r="6306" spans="6:11" x14ac:dyDescent="0.25">
      <c r="F6306" s="12"/>
      <c r="K6306" s="5"/>
    </row>
    <row r="6307" spans="6:11" x14ac:dyDescent="0.25">
      <c r="F6307" s="12"/>
      <c r="K6307" s="5"/>
    </row>
    <row r="6308" spans="6:11" x14ac:dyDescent="0.25">
      <c r="F6308" s="12"/>
      <c r="K6308" s="5"/>
    </row>
    <row r="6309" spans="6:11" x14ac:dyDescent="0.25">
      <c r="F6309" s="12"/>
      <c r="K6309" s="5"/>
    </row>
    <row r="6310" spans="6:11" x14ac:dyDescent="0.25">
      <c r="F6310" s="12"/>
      <c r="K6310" s="5"/>
    </row>
    <row r="6311" spans="6:11" x14ac:dyDescent="0.25">
      <c r="F6311" s="12"/>
      <c r="K6311" s="5"/>
    </row>
    <row r="6312" spans="6:11" x14ac:dyDescent="0.25">
      <c r="F6312" s="12"/>
      <c r="K6312" s="5"/>
    </row>
    <row r="6313" spans="6:11" x14ac:dyDescent="0.25">
      <c r="F6313" s="12"/>
      <c r="K6313" s="5"/>
    </row>
    <row r="6314" spans="6:11" x14ac:dyDescent="0.25">
      <c r="F6314" s="12"/>
      <c r="K6314" s="5"/>
    </row>
    <row r="6315" spans="6:11" x14ac:dyDescent="0.25">
      <c r="F6315" s="12"/>
      <c r="K6315" s="5"/>
    </row>
    <row r="6316" spans="6:11" x14ac:dyDescent="0.25">
      <c r="F6316" s="12"/>
      <c r="K6316" s="5"/>
    </row>
    <row r="6317" spans="6:11" x14ac:dyDescent="0.25">
      <c r="F6317" s="12"/>
      <c r="K6317" s="5"/>
    </row>
    <row r="6318" spans="6:11" x14ac:dyDescent="0.25">
      <c r="F6318" s="12"/>
      <c r="K6318" s="5"/>
    </row>
    <row r="6319" spans="6:11" x14ac:dyDescent="0.25">
      <c r="F6319" s="12"/>
      <c r="K6319" s="5"/>
    </row>
    <row r="6320" spans="6:11" x14ac:dyDescent="0.25">
      <c r="F6320" s="12"/>
      <c r="K6320" s="5"/>
    </row>
    <row r="6321" spans="6:11" x14ac:dyDescent="0.25">
      <c r="F6321" s="12"/>
      <c r="K6321" s="5"/>
    </row>
    <row r="6322" spans="6:11" x14ac:dyDescent="0.25">
      <c r="F6322" s="12"/>
      <c r="K6322" s="5"/>
    </row>
    <row r="6323" spans="6:11" x14ac:dyDescent="0.25">
      <c r="F6323" s="12"/>
      <c r="K6323" s="5"/>
    </row>
    <row r="6324" spans="6:11" x14ac:dyDescent="0.25">
      <c r="F6324" s="12"/>
      <c r="K6324" s="5"/>
    </row>
    <row r="6325" spans="6:11" x14ac:dyDescent="0.25">
      <c r="F6325" s="12"/>
      <c r="K6325" s="5"/>
    </row>
    <row r="6326" spans="6:11" x14ac:dyDescent="0.25">
      <c r="F6326" s="12"/>
      <c r="K6326" s="5"/>
    </row>
    <row r="6327" spans="6:11" x14ac:dyDescent="0.25">
      <c r="F6327" s="12"/>
      <c r="K6327" s="5"/>
    </row>
    <row r="6328" spans="6:11" x14ac:dyDescent="0.25">
      <c r="F6328" s="12"/>
      <c r="K6328" s="5"/>
    </row>
    <row r="6329" spans="6:11" x14ac:dyDescent="0.25">
      <c r="F6329" s="12"/>
      <c r="K6329" s="5"/>
    </row>
    <row r="6330" spans="6:11" x14ac:dyDescent="0.25">
      <c r="F6330" s="12"/>
      <c r="K6330" s="5"/>
    </row>
    <row r="6331" spans="6:11" x14ac:dyDescent="0.25">
      <c r="F6331" s="12"/>
      <c r="K6331" s="5"/>
    </row>
    <row r="6332" spans="6:11" x14ac:dyDescent="0.25">
      <c r="F6332" s="12"/>
      <c r="K6332" s="5"/>
    </row>
    <row r="6333" spans="6:11" x14ac:dyDescent="0.25">
      <c r="F6333" s="12"/>
      <c r="K6333" s="5"/>
    </row>
    <row r="6334" spans="6:11" x14ac:dyDescent="0.25">
      <c r="F6334" s="12"/>
      <c r="K6334" s="5"/>
    </row>
    <row r="6335" spans="6:11" x14ac:dyDescent="0.25">
      <c r="F6335" s="12"/>
      <c r="K6335" s="5"/>
    </row>
    <row r="6336" spans="6:11" x14ac:dyDescent="0.25">
      <c r="F6336" s="12"/>
      <c r="K6336" s="5"/>
    </row>
    <row r="6337" spans="6:11" x14ac:dyDescent="0.25">
      <c r="F6337" s="12"/>
      <c r="K6337" s="5"/>
    </row>
    <row r="6338" spans="6:11" x14ac:dyDescent="0.25">
      <c r="F6338" s="12"/>
      <c r="K6338" s="5"/>
    </row>
    <row r="6339" spans="6:11" x14ac:dyDescent="0.25">
      <c r="F6339" s="12"/>
      <c r="K6339" s="5"/>
    </row>
    <row r="6340" spans="6:11" x14ac:dyDescent="0.25">
      <c r="F6340" s="12"/>
      <c r="K6340" s="5"/>
    </row>
    <row r="6341" spans="6:11" x14ac:dyDescent="0.25">
      <c r="F6341" s="12"/>
      <c r="K6341" s="5"/>
    </row>
    <row r="6342" spans="6:11" x14ac:dyDescent="0.25">
      <c r="F6342" s="12"/>
      <c r="K6342" s="5"/>
    </row>
    <row r="6343" spans="6:11" x14ac:dyDescent="0.25">
      <c r="F6343" s="12"/>
      <c r="K6343" s="5"/>
    </row>
    <row r="6344" spans="6:11" x14ac:dyDescent="0.25">
      <c r="F6344" s="12"/>
      <c r="K6344" s="5"/>
    </row>
    <row r="6345" spans="6:11" x14ac:dyDescent="0.25">
      <c r="F6345" s="12"/>
      <c r="K6345" s="5"/>
    </row>
    <row r="6346" spans="6:11" x14ac:dyDescent="0.25">
      <c r="F6346" s="12"/>
      <c r="K6346" s="5"/>
    </row>
    <row r="6347" spans="6:11" x14ac:dyDescent="0.25">
      <c r="F6347" s="12"/>
      <c r="K6347" s="5"/>
    </row>
    <row r="6348" spans="6:11" x14ac:dyDescent="0.25">
      <c r="F6348" s="12"/>
      <c r="K6348" s="5"/>
    </row>
    <row r="6349" spans="6:11" x14ac:dyDescent="0.25">
      <c r="F6349" s="12"/>
      <c r="K6349" s="5"/>
    </row>
    <row r="6350" spans="6:11" x14ac:dyDescent="0.25">
      <c r="F6350" s="12"/>
      <c r="K6350" s="5"/>
    </row>
    <row r="6351" spans="6:11" x14ac:dyDescent="0.25">
      <c r="F6351" s="12"/>
      <c r="K6351" s="5"/>
    </row>
    <row r="6352" spans="6:11" x14ac:dyDescent="0.25">
      <c r="F6352" s="12"/>
      <c r="K6352" s="5"/>
    </row>
    <row r="6353" spans="6:11" x14ac:dyDescent="0.25">
      <c r="F6353" s="12"/>
      <c r="K6353" s="5"/>
    </row>
    <row r="6354" spans="6:11" x14ac:dyDescent="0.25">
      <c r="F6354" s="12"/>
      <c r="K6354" s="5"/>
    </row>
    <row r="6355" spans="6:11" x14ac:dyDescent="0.25">
      <c r="F6355" s="12"/>
      <c r="K6355" s="5"/>
    </row>
    <row r="6356" spans="6:11" x14ac:dyDescent="0.25">
      <c r="F6356" s="12"/>
      <c r="K6356" s="5"/>
    </row>
    <row r="6357" spans="6:11" x14ac:dyDescent="0.25">
      <c r="F6357" s="12"/>
      <c r="K6357" s="5"/>
    </row>
    <row r="6358" spans="6:11" x14ac:dyDescent="0.25">
      <c r="F6358" s="12"/>
      <c r="K6358" s="5"/>
    </row>
    <row r="6359" spans="6:11" x14ac:dyDescent="0.25">
      <c r="F6359" s="12"/>
      <c r="K6359" s="5"/>
    </row>
    <row r="6360" spans="6:11" x14ac:dyDescent="0.25">
      <c r="F6360" s="12"/>
      <c r="K6360" s="5"/>
    </row>
    <row r="6361" spans="6:11" x14ac:dyDescent="0.25">
      <c r="F6361" s="12"/>
      <c r="K6361" s="5"/>
    </row>
    <row r="6362" spans="6:11" x14ac:dyDescent="0.25">
      <c r="F6362" s="12"/>
      <c r="K6362" s="5"/>
    </row>
    <row r="6363" spans="6:11" x14ac:dyDescent="0.25">
      <c r="F6363" s="12"/>
      <c r="K6363" s="5"/>
    </row>
    <row r="6364" spans="6:11" x14ac:dyDescent="0.25">
      <c r="F6364" s="12"/>
      <c r="K6364" s="5"/>
    </row>
    <row r="6365" spans="6:11" x14ac:dyDescent="0.25">
      <c r="F6365" s="12"/>
      <c r="K6365" s="5"/>
    </row>
    <row r="6366" spans="6:11" x14ac:dyDescent="0.25">
      <c r="F6366" s="12"/>
      <c r="K6366" s="5"/>
    </row>
    <row r="6367" spans="6:11" x14ac:dyDescent="0.25">
      <c r="F6367" s="12"/>
      <c r="K6367" s="5"/>
    </row>
    <row r="6368" spans="6:11" x14ac:dyDescent="0.25">
      <c r="F6368" s="12"/>
      <c r="K6368" s="5"/>
    </row>
    <row r="6369" spans="6:11" x14ac:dyDescent="0.25">
      <c r="F6369" s="12"/>
      <c r="K6369" s="5"/>
    </row>
    <row r="6370" spans="6:11" x14ac:dyDescent="0.25">
      <c r="F6370" s="12"/>
      <c r="K6370" s="5"/>
    </row>
    <row r="6371" spans="6:11" x14ac:dyDescent="0.25">
      <c r="F6371" s="12"/>
      <c r="K6371" s="5"/>
    </row>
    <row r="6372" spans="6:11" x14ac:dyDescent="0.25">
      <c r="F6372" s="12"/>
      <c r="K6372" s="5"/>
    </row>
    <row r="6373" spans="6:11" x14ac:dyDescent="0.25">
      <c r="F6373" s="12"/>
      <c r="K6373" s="5"/>
    </row>
    <row r="6374" spans="6:11" x14ac:dyDescent="0.25">
      <c r="F6374" s="12"/>
      <c r="K6374" s="5"/>
    </row>
    <row r="6375" spans="6:11" x14ac:dyDescent="0.25">
      <c r="F6375" s="12"/>
      <c r="K6375" s="5"/>
    </row>
    <row r="6376" spans="6:11" x14ac:dyDescent="0.25">
      <c r="F6376" s="12"/>
      <c r="K6376" s="5"/>
    </row>
    <row r="6377" spans="6:11" x14ac:dyDescent="0.25">
      <c r="F6377" s="12"/>
      <c r="K6377" s="5"/>
    </row>
    <row r="6378" spans="6:11" x14ac:dyDescent="0.25">
      <c r="F6378" s="12"/>
      <c r="K6378" s="5"/>
    </row>
    <row r="6379" spans="6:11" x14ac:dyDescent="0.25">
      <c r="F6379" s="12"/>
      <c r="K6379" s="5"/>
    </row>
    <row r="6380" spans="6:11" x14ac:dyDescent="0.25">
      <c r="F6380" s="12"/>
      <c r="K6380" s="5"/>
    </row>
    <row r="6381" spans="6:11" x14ac:dyDescent="0.25">
      <c r="F6381" s="12"/>
      <c r="K6381" s="5"/>
    </row>
    <row r="6382" spans="6:11" x14ac:dyDescent="0.25">
      <c r="F6382" s="12"/>
      <c r="K6382" s="5"/>
    </row>
    <row r="6383" spans="6:11" x14ac:dyDescent="0.25">
      <c r="F6383" s="12"/>
      <c r="K6383" s="5"/>
    </row>
    <row r="6384" spans="6:11" x14ac:dyDescent="0.25">
      <c r="F6384" s="12"/>
      <c r="K6384" s="5"/>
    </row>
    <row r="6385" spans="6:11" x14ac:dyDescent="0.25">
      <c r="F6385" s="12"/>
      <c r="K6385" s="5"/>
    </row>
    <row r="6386" spans="6:11" x14ac:dyDescent="0.25">
      <c r="F6386" s="12"/>
      <c r="K6386" s="5"/>
    </row>
    <row r="6387" spans="6:11" x14ac:dyDescent="0.25">
      <c r="F6387" s="12"/>
      <c r="K6387" s="5"/>
    </row>
    <row r="6388" spans="6:11" x14ac:dyDescent="0.25">
      <c r="F6388" s="12"/>
      <c r="K6388" s="5"/>
    </row>
    <row r="6389" spans="6:11" x14ac:dyDescent="0.25">
      <c r="F6389" s="12"/>
      <c r="K6389" s="5"/>
    </row>
    <row r="6390" spans="6:11" x14ac:dyDescent="0.25">
      <c r="F6390" s="12"/>
      <c r="K6390" s="5"/>
    </row>
    <row r="6391" spans="6:11" x14ac:dyDescent="0.25">
      <c r="F6391" s="12"/>
      <c r="K6391" s="5"/>
    </row>
    <row r="6392" spans="6:11" x14ac:dyDescent="0.25">
      <c r="F6392" s="12"/>
      <c r="K6392" s="5"/>
    </row>
    <row r="6393" spans="6:11" x14ac:dyDescent="0.25">
      <c r="F6393" s="12"/>
      <c r="K6393" s="5"/>
    </row>
    <row r="6394" spans="6:11" x14ac:dyDescent="0.25">
      <c r="F6394" s="12"/>
      <c r="K6394" s="5"/>
    </row>
    <row r="6395" spans="6:11" x14ac:dyDescent="0.25">
      <c r="F6395" s="12"/>
      <c r="K6395" s="5"/>
    </row>
    <row r="6396" spans="6:11" x14ac:dyDescent="0.25">
      <c r="F6396" s="12"/>
      <c r="K6396" s="5"/>
    </row>
    <row r="6397" spans="6:11" x14ac:dyDescent="0.25">
      <c r="F6397" s="12"/>
      <c r="K6397" s="5"/>
    </row>
    <row r="6398" spans="6:11" x14ac:dyDescent="0.25">
      <c r="F6398" s="12"/>
      <c r="K6398" s="5"/>
    </row>
    <row r="6399" spans="6:11" x14ac:dyDescent="0.25">
      <c r="F6399" s="12"/>
      <c r="K6399" s="5"/>
    </row>
    <row r="6400" spans="6:11" x14ac:dyDescent="0.25">
      <c r="F6400" s="12"/>
      <c r="K6400" s="5"/>
    </row>
    <row r="6401" spans="6:11" x14ac:dyDescent="0.25">
      <c r="F6401" s="12"/>
      <c r="K6401" s="5"/>
    </row>
    <row r="6402" spans="6:11" x14ac:dyDescent="0.25">
      <c r="F6402" s="12"/>
      <c r="K6402" s="5"/>
    </row>
    <row r="6403" spans="6:11" x14ac:dyDescent="0.25">
      <c r="F6403" s="12"/>
      <c r="K6403" s="5"/>
    </row>
    <row r="6404" spans="6:11" x14ac:dyDescent="0.25">
      <c r="F6404" s="12"/>
      <c r="K6404" s="5"/>
    </row>
    <row r="6405" spans="6:11" x14ac:dyDescent="0.25">
      <c r="F6405" s="12"/>
      <c r="K6405" s="5"/>
    </row>
    <row r="6406" spans="6:11" x14ac:dyDescent="0.25">
      <c r="F6406" s="12"/>
      <c r="K6406" s="5"/>
    </row>
    <row r="6407" spans="6:11" x14ac:dyDescent="0.25">
      <c r="F6407" s="12"/>
      <c r="K6407" s="5"/>
    </row>
    <row r="6408" spans="6:11" x14ac:dyDescent="0.25">
      <c r="F6408" s="12"/>
      <c r="K6408" s="5"/>
    </row>
    <row r="6409" spans="6:11" x14ac:dyDescent="0.25">
      <c r="F6409" s="12"/>
      <c r="K6409" s="5"/>
    </row>
    <row r="6410" spans="6:11" x14ac:dyDescent="0.25">
      <c r="F6410" s="12"/>
      <c r="K6410" s="5"/>
    </row>
    <row r="6411" spans="6:11" x14ac:dyDescent="0.25">
      <c r="F6411" s="12"/>
      <c r="K6411" s="5"/>
    </row>
    <row r="6412" spans="6:11" x14ac:dyDescent="0.25">
      <c r="F6412" s="12"/>
      <c r="K6412" s="5"/>
    </row>
    <row r="6413" spans="6:11" x14ac:dyDescent="0.25">
      <c r="F6413" s="12"/>
      <c r="K6413" s="5"/>
    </row>
    <row r="6414" spans="6:11" x14ac:dyDescent="0.25">
      <c r="F6414" s="12"/>
      <c r="K6414" s="5"/>
    </row>
    <row r="6415" spans="6:11" x14ac:dyDescent="0.25">
      <c r="F6415" s="12"/>
      <c r="K6415" s="5"/>
    </row>
    <row r="6416" spans="6:11" x14ac:dyDescent="0.25">
      <c r="F6416" s="12"/>
      <c r="K6416" s="5"/>
    </row>
    <row r="6417" spans="6:11" x14ac:dyDescent="0.25">
      <c r="F6417" s="12"/>
      <c r="K6417" s="5"/>
    </row>
    <row r="6418" spans="6:11" x14ac:dyDescent="0.25">
      <c r="F6418" s="12"/>
      <c r="K6418" s="5"/>
    </row>
    <row r="6419" spans="6:11" x14ac:dyDescent="0.25">
      <c r="F6419" s="12"/>
      <c r="K6419" s="5"/>
    </row>
    <row r="6420" spans="6:11" x14ac:dyDescent="0.25">
      <c r="F6420" s="12"/>
      <c r="K6420" s="5"/>
    </row>
    <row r="6421" spans="6:11" x14ac:dyDescent="0.25">
      <c r="F6421" s="12"/>
      <c r="K6421" s="5"/>
    </row>
    <row r="6422" spans="6:11" x14ac:dyDescent="0.25">
      <c r="F6422" s="12"/>
      <c r="K6422" s="5"/>
    </row>
    <row r="6423" spans="6:11" x14ac:dyDescent="0.25">
      <c r="F6423" s="12"/>
      <c r="K6423" s="5"/>
    </row>
    <row r="6424" spans="6:11" x14ac:dyDescent="0.25">
      <c r="F6424" s="12"/>
      <c r="K6424" s="5"/>
    </row>
    <row r="6425" spans="6:11" x14ac:dyDescent="0.25">
      <c r="F6425" s="12"/>
      <c r="K6425" s="5"/>
    </row>
    <row r="6426" spans="6:11" x14ac:dyDescent="0.25">
      <c r="F6426" s="12"/>
      <c r="K6426" s="5"/>
    </row>
    <row r="6427" spans="6:11" x14ac:dyDescent="0.25">
      <c r="F6427" s="12"/>
      <c r="K6427" s="5"/>
    </row>
    <row r="6428" spans="6:11" x14ac:dyDescent="0.25">
      <c r="F6428" s="12"/>
      <c r="K6428" s="5"/>
    </row>
    <row r="6429" spans="6:11" x14ac:dyDescent="0.25">
      <c r="F6429" s="12"/>
      <c r="K6429" s="5"/>
    </row>
    <row r="6430" spans="6:11" x14ac:dyDescent="0.25">
      <c r="F6430" s="12"/>
      <c r="K6430" s="5"/>
    </row>
    <row r="6431" spans="6:11" x14ac:dyDescent="0.25">
      <c r="F6431" s="12"/>
      <c r="K6431" s="5"/>
    </row>
    <row r="6432" spans="6:11" x14ac:dyDescent="0.25">
      <c r="F6432" s="12"/>
      <c r="K6432" s="5"/>
    </row>
    <row r="6433" spans="6:11" x14ac:dyDescent="0.25">
      <c r="F6433" s="12"/>
      <c r="K6433" s="5"/>
    </row>
    <row r="6434" spans="6:11" x14ac:dyDescent="0.25">
      <c r="F6434" s="12"/>
      <c r="K6434" s="5"/>
    </row>
    <row r="6435" spans="6:11" x14ac:dyDescent="0.25">
      <c r="F6435" s="12"/>
      <c r="K6435" s="5"/>
    </row>
    <row r="6436" spans="6:11" x14ac:dyDescent="0.25">
      <c r="F6436" s="12"/>
      <c r="K6436" s="5"/>
    </row>
    <row r="6437" spans="6:11" x14ac:dyDescent="0.25">
      <c r="F6437" s="12"/>
      <c r="K6437" s="5"/>
    </row>
    <row r="6438" spans="6:11" x14ac:dyDescent="0.25">
      <c r="F6438" s="12"/>
      <c r="K6438" s="5"/>
    </row>
    <row r="6439" spans="6:11" x14ac:dyDescent="0.25">
      <c r="F6439" s="12"/>
      <c r="K6439" s="5"/>
    </row>
    <row r="6440" spans="6:11" x14ac:dyDescent="0.25">
      <c r="F6440" s="12"/>
      <c r="K6440" s="5"/>
    </row>
    <row r="6441" spans="6:11" x14ac:dyDescent="0.25">
      <c r="F6441" s="12"/>
      <c r="K6441" s="5"/>
    </row>
    <row r="6442" spans="6:11" x14ac:dyDescent="0.25">
      <c r="F6442" s="12"/>
      <c r="K6442" s="5"/>
    </row>
    <row r="6443" spans="6:11" x14ac:dyDescent="0.25">
      <c r="F6443" s="12"/>
      <c r="K6443" s="5"/>
    </row>
    <row r="6444" spans="6:11" x14ac:dyDescent="0.25">
      <c r="F6444" s="12"/>
      <c r="K6444" s="5"/>
    </row>
    <row r="6445" spans="6:11" x14ac:dyDescent="0.25">
      <c r="F6445" s="12"/>
      <c r="K6445" s="5"/>
    </row>
    <row r="6446" spans="6:11" x14ac:dyDescent="0.25">
      <c r="F6446" s="12"/>
      <c r="K6446" s="5"/>
    </row>
    <row r="6447" spans="6:11" x14ac:dyDescent="0.25">
      <c r="F6447" s="12"/>
      <c r="K6447" s="5"/>
    </row>
    <row r="6448" spans="6:11" x14ac:dyDescent="0.25">
      <c r="F6448" s="12"/>
      <c r="K6448" s="5"/>
    </row>
    <row r="6449" spans="6:11" x14ac:dyDescent="0.25">
      <c r="F6449" s="12"/>
      <c r="K6449" s="5"/>
    </row>
    <row r="6450" spans="6:11" x14ac:dyDescent="0.25">
      <c r="F6450" s="12"/>
      <c r="K6450" s="5"/>
    </row>
    <row r="6451" spans="6:11" x14ac:dyDescent="0.25">
      <c r="F6451" s="12"/>
      <c r="K6451" s="5"/>
    </row>
    <row r="6452" spans="6:11" x14ac:dyDescent="0.25">
      <c r="F6452" s="12"/>
      <c r="K6452" s="5"/>
    </row>
    <row r="6453" spans="6:11" x14ac:dyDescent="0.25">
      <c r="F6453" s="12"/>
      <c r="K6453" s="5"/>
    </row>
    <row r="6454" spans="6:11" x14ac:dyDescent="0.25">
      <c r="F6454" s="12"/>
      <c r="K6454" s="5"/>
    </row>
    <row r="6455" spans="6:11" x14ac:dyDescent="0.25">
      <c r="F6455" s="12"/>
      <c r="K6455" s="5"/>
    </row>
    <row r="6456" spans="6:11" x14ac:dyDescent="0.25">
      <c r="F6456" s="12"/>
      <c r="K6456" s="5"/>
    </row>
    <row r="6457" spans="6:11" x14ac:dyDescent="0.25">
      <c r="F6457" s="12"/>
      <c r="K6457" s="5"/>
    </row>
    <row r="6458" spans="6:11" x14ac:dyDescent="0.25">
      <c r="F6458" s="12"/>
      <c r="K6458" s="5"/>
    </row>
    <row r="6459" spans="6:11" x14ac:dyDescent="0.25">
      <c r="F6459" s="12"/>
      <c r="K6459" s="5"/>
    </row>
    <row r="6460" spans="6:11" x14ac:dyDescent="0.25">
      <c r="F6460" s="12"/>
      <c r="K6460" s="5"/>
    </row>
    <row r="6461" spans="6:11" x14ac:dyDescent="0.25">
      <c r="F6461" s="12"/>
      <c r="K6461" s="5"/>
    </row>
    <row r="6462" spans="6:11" x14ac:dyDescent="0.25">
      <c r="F6462" s="12"/>
      <c r="K6462" s="5"/>
    </row>
    <row r="6463" spans="6:11" x14ac:dyDescent="0.25">
      <c r="F6463" s="12"/>
      <c r="K6463" s="5"/>
    </row>
    <row r="6464" spans="6:11" x14ac:dyDescent="0.25">
      <c r="F6464" s="12"/>
      <c r="K6464" s="5"/>
    </row>
    <row r="6465" spans="6:11" x14ac:dyDescent="0.25">
      <c r="F6465" s="12"/>
      <c r="K6465" s="5"/>
    </row>
    <row r="6466" spans="6:11" x14ac:dyDescent="0.25">
      <c r="F6466" s="12"/>
      <c r="K6466" s="5"/>
    </row>
    <row r="6467" spans="6:11" x14ac:dyDescent="0.25">
      <c r="F6467" s="12"/>
      <c r="K6467" s="5"/>
    </row>
    <row r="6468" spans="6:11" x14ac:dyDescent="0.25">
      <c r="F6468" s="12"/>
      <c r="K6468" s="5"/>
    </row>
    <row r="6469" spans="6:11" x14ac:dyDescent="0.25">
      <c r="F6469" s="12"/>
      <c r="K6469" s="5"/>
    </row>
    <row r="6470" spans="6:11" x14ac:dyDescent="0.25">
      <c r="F6470" s="12"/>
      <c r="K6470" s="5"/>
    </row>
    <row r="6471" spans="6:11" x14ac:dyDescent="0.25">
      <c r="F6471" s="12"/>
      <c r="K6471" s="5"/>
    </row>
    <row r="6472" spans="6:11" x14ac:dyDescent="0.25">
      <c r="F6472" s="12"/>
      <c r="K6472" s="5"/>
    </row>
    <row r="6473" spans="6:11" x14ac:dyDescent="0.25">
      <c r="F6473" s="12"/>
      <c r="K6473" s="5"/>
    </row>
    <row r="6474" spans="6:11" x14ac:dyDescent="0.25">
      <c r="F6474" s="12"/>
      <c r="K6474" s="5"/>
    </row>
    <row r="6475" spans="6:11" x14ac:dyDescent="0.25">
      <c r="F6475" s="12"/>
      <c r="K6475" s="5"/>
    </row>
    <row r="6476" spans="6:11" x14ac:dyDescent="0.25">
      <c r="F6476" s="12"/>
      <c r="K6476" s="5"/>
    </row>
    <row r="6477" spans="6:11" x14ac:dyDescent="0.25">
      <c r="F6477" s="12"/>
      <c r="K6477" s="5"/>
    </row>
    <row r="6478" spans="6:11" x14ac:dyDescent="0.25">
      <c r="F6478" s="12"/>
      <c r="K6478" s="5"/>
    </row>
    <row r="6479" spans="6:11" x14ac:dyDescent="0.25">
      <c r="F6479" s="12"/>
      <c r="K6479" s="5"/>
    </row>
    <row r="6480" spans="6:11" x14ac:dyDescent="0.25">
      <c r="F6480" s="12"/>
      <c r="K6480" s="5"/>
    </row>
    <row r="6481" spans="6:11" x14ac:dyDescent="0.25">
      <c r="F6481" s="12"/>
      <c r="K6481" s="5"/>
    </row>
    <row r="6482" spans="6:11" x14ac:dyDescent="0.25">
      <c r="F6482" s="12"/>
      <c r="K6482" s="5"/>
    </row>
    <row r="6483" spans="6:11" x14ac:dyDescent="0.25">
      <c r="F6483" s="12"/>
      <c r="K6483" s="5"/>
    </row>
    <row r="6484" spans="6:11" x14ac:dyDescent="0.25">
      <c r="F6484" s="12"/>
      <c r="K6484" s="5"/>
    </row>
    <row r="6485" spans="6:11" x14ac:dyDescent="0.25">
      <c r="F6485" s="12"/>
      <c r="K6485" s="5"/>
    </row>
    <row r="6486" spans="6:11" x14ac:dyDescent="0.25">
      <c r="F6486" s="12"/>
      <c r="K6486" s="5"/>
    </row>
    <row r="6487" spans="6:11" x14ac:dyDescent="0.25">
      <c r="F6487" s="12"/>
      <c r="K6487" s="5"/>
    </row>
    <row r="6488" spans="6:11" x14ac:dyDescent="0.25">
      <c r="F6488" s="12"/>
      <c r="K6488" s="5"/>
    </row>
    <row r="6489" spans="6:11" x14ac:dyDescent="0.25">
      <c r="F6489" s="12"/>
      <c r="K6489" s="5"/>
    </row>
    <row r="6490" spans="6:11" x14ac:dyDescent="0.25">
      <c r="F6490" s="12"/>
      <c r="K6490" s="5"/>
    </row>
    <row r="6491" spans="6:11" x14ac:dyDescent="0.25">
      <c r="F6491" s="12"/>
      <c r="K6491" s="5"/>
    </row>
    <row r="6492" spans="6:11" x14ac:dyDescent="0.25">
      <c r="F6492" s="12"/>
      <c r="K6492" s="5"/>
    </row>
    <row r="6493" spans="6:11" x14ac:dyDescent="0.25">
      <c r="F6493" s="12"/>
      <c r="K6493" s="5"/>
    </row>
    <row r="6494" spans="6:11" x14ac:dyDescent="0.25">
      <c r="F6494" s="12"/>
      <c r="K6494" s="5"/>
    </row>
    <row r="6495" spans="6:11" x14ac:dyDescent="0.25">
      <c r="F6495" s="12"/>
      <c r="K6495" s="5"/>
    </row>
    <row r="6496" spans="6:11" x14ac:dyDescent="0.25">
      <c r="F6496" s="12"/>
      <c r="K6496" s="5"/>
    </row>
    <row r="6497" spans="6:11" x14ac:dyDescent="0.25">
      <c r="F6497" s="12"/>
      <c r="K6497" s="5"/>
    </row>
    <row r="6498" spans="6:11" x14ac:dyDescent="0.25">
      <c r="F6498" s="12"/>
      <c r="K6498" s="5"/>
    </row>
    <row r="6499" spans="6:11" x14ac:dyDescent="0.25">
      <c r="F6499" s="12"/>
      <c r="K6499" s="5"/>
    </row>
    <row r="6500" spans="6:11" x14ac:dyDescent="0.25">
      <c r="F6500" s="12"/>
      <c r="K6500" s="5"/>
    </row>
    <row r="6501" spans="6:11" x14ac:dyDescent="0.25">
      <c r="F6501" s="12"/>
      <c r="K6501" s="5"/>
    </row>
    <row r="6502" spans="6:11" x14ac:dyDescent="0.25">
      <c r="F6502" s="12"/>
      <c r="K6502" s="5"/>
    </row>
    <row r="6503" spans="6:11" x14ac:dyDescent="0.25">
      <c r="F6503" s="12"/>
      <c r="K6503" s="5"/>
    </row>
    <row r="6504" spans="6:11" x14ac:dyDescent="0.25">
      <c r="F6504" s="12"/>
      <c r="K6504" s="5"/>
    </row>
    <row r="6505" spans="6:11" x14ac:dyDescent="0.25">
      <c r="F6505" s="12"/>
      <c r="K6505" s="5"/>
    </row>
    <row r="6506" spans="6:11" x14ac:dyDescent="0.25">
      <c r="F6506" s="12"/>
      <c r="K6506" s="5"/>
    </row>
    <row r="6507" spans="6:11" x14ac:dyDescent="0.25">
      <c r="F6507" s="12"/>
      <c r="K6507" s="5"/>
    </row>
    <row r="6508" spans="6:11" x14ac:dyDescent="0.25">
      <c r="F6508" s="12"/>
      <c r="K6508" s="5"/>
    </row>
    <row r="6509" spans="6:11" x14ac:dyDescent="0.25">
      <c r="F6509" s="12"/>
      <c r="K6509" s="5"/>
    </row>
    <row r="6510" spans="6:11" x14ac:dyDescent="0.25">
      <c r="F6510" s="12"/>
      <c r="K6510" s="5"/>
    </row>
    <row r="6511" spans="6:11" x14ac:dyDescent="0.25">
      <c r="F6511" s="12"/>
      <c r="K6511" s="5"/>
    </row>
    <row r="6512" spans="6:11" x14ac:dyDescent="0.25">
      <c r="F6512" s="12"/>
      <c r="K6512" s="5"/>
    </row>
    <row r="6513" spans="6:11" x14ac:dyDescent="0.25">
      <c r="F6513" s="12"/>
      <c r="K6513" s="5"/>
    </row>
    <row r="6514" spans="6:11" x14ac:dyDescent="0.25">
      <c r="F6514" s="12"/>
      <c r="K6514" s="5"/>
    </row>
    <row r="6515" spans="6:11" x14ac:dyDescent="0.25">
      <c r="F6515" s="12"/>
      <c r="K6515" s="5"/>
    </row>
    <row r="6516" spans="6:11" x14ac:dyDescent="0.25">
      <c r="F6516" s="12"/>
      <c r="K6516" s="5"/>
    </row>
    <row r="6517" spans="6:11" x14ac:dyDescent="0.25">
      <c r="F6517" s="12"/>
      <c r="K6517" s="5"/>
    </row>
    <row r="6518" spans="6:11" x14ac:dyDescent="0.25">
      <c r="F6518" s="12"/>
      <c r="K6518" s="5"/>
    </row>
    <row r="6519" spans="6:11" x14ac:dyDescent="0.25">
      <c r="F6519" s="12"/>
      <c r="K6519" s="5"/>
    </row>
    <row r="6520" spans="6:11" x14ac:dyDescent="0.25">
      <c r="F6520" s="12"/>
      <c r="K6520" s="5"/>
    </row>
    <row r="6521" spans="6:11" x14ac:dyDescent="0.25">
      <c r="F6521" s="12"/>
      <c r="K6521" s="5"/>
    </row>
    <row r="6522" spans="6:11" x14ac:dyDescent="0.25">
      <c r="F6522" s="12"/>
      <c r="K6522" s="5"/>
    </row>
    <row r="6523" spans="6:11" x14ac:dyDescent="0.25">
      <c r="F6523" s="12"/>
      <c r="K6523" s="5"/>
    </row>
    <row r="6524" spans="6:11" x14ac:dyDescent="0.25">
      <c r="F6524" s="12"/>
      <c r="K6524" s="5"/>
    </row>
    <row r="6525" spans="6:11" x14ac:dyDescent="0.25">
      <c r="F6525" s="12"/>
      <c r="K6525" s="5"/>
    </row>
    <row r="6526" spans="6:11" x14ac:dyDescent="0.25">
      <c r="F6526" s="12"/>
      <c r="K6526" s="5"/>
    </row>
    <row r="6527" spans="6:11" x14ac:dyDescent="0.25">
      <c r="F6527" s="12"/>
      <c r="K6527" s="5"/>
    </row>
    <row r="6528" spans="6:11" x14ac:dyDescent="0.25">
      <c r="F6528" s="12"/>
      <c r="K6528" s="5"/>
    </row>
    <row r="6529" spans="6:11" x14ac:dyDescent="0.25">
      <c r="F6529" s="12"/>
      <c r="K6529" s="5"/>
    </row>
    <row r="6530" spans="6:11" x14ac:dyDescent="0.25">
      <c r="F6530" s="12"/>
      <c r="K6530" s="5"/>
    </row>
    <row r="6531" spans="6:11" x14ac:dyDescent="0.25">
      <c r="F6531" s="12"/>
      <c r="K6531" s="5"/>
    </row>
    <row r="6532" spans="6:11" x14ac:dyDescent="0.25">
      <c r="F6532" s="12"/>
      <c r="K6532" s="5"/>
    </row>
    <row r="6533" spans="6:11" x14ac:dyDescent="0.25">
      <c r="F6533" s="12"/>
      <c r="K6533" s="5"/>
    </row>
    <row r="6534" spans="6:11" x14ac:dyDescent="0.25">
      <c r="F6534" s="12"/>
      <c r="K6534" s="5"/>
    </row>
    <row r="6535" spans="6:11" x14ac:dyDescent="0.25">
      <c r="F6535" s="12"/>
      <c r="K6535" s="5"/>
    </row>
    <row r="6536" spans="6:11" x14ac:dyDescent="0.25">
      <c r="F6536" s="12"/>
      <c r="K6536" s="5"/>
    </row>
    <row r="6537" spans="6:11" x14ac:dyDescent="0.25">
      <c r="F6537" s="12"/>
      <c r="K6537" s="5"/>
    </row>
    <row r="6538" spans="6:11" x14ac:dyDescent="0.25">
      <c r="F6538" s="12"/>
      <c r="K6538" s="5"/>
    </row>
    <row r="6539" spans="6:11" x14ac:dyDescent="0.25">
      <c r="F6539" s="12"/>
      <c r="K6539" s="5"/>
    </row>
    <row r="6540" spans="6:11" x14ac:dyDescent="0.25">
      <c r="F6540" s="12"/>
      <c r="K6540" s="5"/>
    </row>
    <row r="6541" spans="6:11" x14ac:dyDescent="0.25">
      <c r="F6541" s="12"/>
      <c r="K6541" s="5"/>
    </row>
    <row r="6542" spans="6:11" x14ac:dyDescent="0.25">
      <c r="F6542" s="12"/>
      <c r="K6542" s="5"/>
    </row>
    <row r="6543" spans="6:11" x14ac:dyDescent="0.25">
      <c r="F6543" s="12"/>
      <c r="K6543" s="5"/>
    </row>
    <row r="6544" spans="6:11" x14ac:dyDescent="0.25">
      <c r="F6544" s="12"/>
      <c r="K6544" s="5"/>
    </row>
    <row r="6545" spans="6:11" x14ac:dyDescent="0.25">
      <c r="F6545" s="12"/>
      <c r="K6545" s="5"/>
    </row>
    <row r="6546" spans="6:11" x14ac:dyDescent="0.25">
      <c r="F6546" s="12"/>
      <c r="K6546" s="5"/>
    </row>
    <row r="6547" spans="6:11" x14ac:dyDescent="0.25">
      <c r="F6547" s="12"/>
      <c r="K6547" s="5"/>
    </row>
    <row r="6548" spans="6:11" x14ac:dyDescent="0.25">
      <c r="F6548" s="12"/>
      <c r="K6548" s="5"/>
    </row>
    <row r="6549" spans="6:11" x14ac:dyDescent="0.25">
      <c r="F6549" s="12"/>
      <c r="K6549" s="5"/>
    </row>
    <row r="6550" spans="6:11" x14ac:dyDescent="0.25">
      <c r="F6550" s="12"/>
      <c r="K6550" s="5"/>
    </row>
    <row r="6551" spans="6:11" x14ac:dyDescent="0.25">
      <c r="F6551" s="12"/>
      <c r="K6551" s="5"/>
    </row>
    <row r="6552" spans="6:11" x14ac:dyDescent="0.25">
      <c r="F6552" s="12"/>
      <c r="K6552" s="5"/>
    </row>
    <row r="6553" spans="6:11" x14ac:dyDescent="0.25">
      <c r="F6553" s="12"/>
      <c r="K6553" s="5"/>
    </row>
    <row r="6554" spans="6:11" x14ac:dyDescent="0.25">
      <c r="F6554" s="12"/>
      <c r="K6554" s="5"/>
    </row>
    <row r="6555" spans="6:11" x14ac:dyDescent="0.25">
      <c r="F6555" s="12"/>
      <c r="K6555" s="5"/>
    </row>
    <row r="6556" spans="6:11" x14ac:dyDescent="0.25">
      <c r="F6556" s="12"/>
      <c r="K6556" s="5"/>
    </row>
    <row r="6557" spans="6:11" x14ac:dyDescent="0.25">
      <c r="F6557" s="12"/>
      <c r="K6557" s="5"/>
    </row>
    <row r="6558" spans="6:11" x14ac:dyDescent="0.25">
      <c r="F6558" s="12"/>
      <c r="K6558" s="5"/>
    </row>
    <row r="6559" spans="6:11" x14ac:dyDescent="0.25">
      <c r="F6559" s="12"/>
      <c r="K6559" s="5"/>
    </row>
    <row r="6560" spans="6:11" x14ac:dyDescent="0.25">
      <c r="F6560" s="12"/>
      <c r="K6560" s="5"/>
    </row>
    <row r="6561" spans="6:11" x14ac:dyDescent="0.25">
      <c r="F6561" s="12"/>
      <c r="K6561" s="5"/>
    </row>
    <row r="6562" spans="6:11" x14ac:dyDescent="0.25">
      <c r="F6562" s="12"/>
      <c r="K6562" s="5"/>
    </row>
    <row r="6563" spans="6:11" x14ac:dyDescent="0.25">
      <c r="F6563" s="12"/>
      <c r="K6563" s="5"/>
    </row>
    <row r="6564" spans="6:11" x14ac:dyDescent="0.25">
      <c r="F6564" s="12"/>
      <c r="K6564" s="5"/>
    </row>
    <row r="6565" spans="6:11" x14ac:dyDescent="0.25">
      <c r="F6565" s="12"/>
      <c r="K6565" s="5"/>
    </row>
    <row r="6566" spans="6:11" x14ac:dyDescent="0.25">
      <c r="F6566" s="12"/>
      <c r="K6566" s="5"/>
    </row>
    <row r="6567" spans="6:11" x14ac:dyDescent="0.25">
      <c r="F6567" s="12"/>
      <c r="K6567" s="5"/>
    </row>
    <row r="6568" spans="6:11" x14ac:dyDescent="0.25">
      <c r="F6568" s="12"/>
      <c r="K6568" s="5"/>
    </row>
    <row r="6569" spans="6:11" x14ac:dyDescent="0.25">
      <c r="F6569" s="12"/>
      <c r="K6569" s="5"/>
    </row>
    <row r="6570" spans="6:11" x14ac:dyDescent="0.25">
      <c r="F6570" s="12"/>
      <c r="K6570" s="5"/>
    </row>
    <row r="6571" spans="6:11" x14ac:dyDescent="0.25">
      <c r="F6571" s="12"/>
      <c r="K6571" s="5"/>
    </row>
    <row r="6572" spans="6:11" x14ac:dyDescent="0.25">
      <c r="F6572" s="12"/>
      <c r="K6572" s="5"/>
    </row>
    <row r="6573" spans="6:11" x14ac:dyDescent="0.25">
      <c r="F6573" s="12"/>
      <c r="K6573" s="5"/>
    </row>
    <row r="6574" spans="6:11" x14ac:dyDescent="0.25">
      <c r="F6574" s="12"/>
      <c r="K6574" s="5"/>
    </row>
    <row r="6575" spans="6:11" x14ac:dyDescent="0.25">
      <c r="F6575" s="12"/>
      <c r="K6575" s="5"/>
    </row>
    <row r="6576" spans="6:11" x14ac:dyDescent="0.25">
      <c r="F6576" s="12"/>
      <c r="K6576" s="5"/>
    </row>
    <row r="6577" spans="6:11" x14ac:dyDescent="0.25">
      <c r="F6577" s="12"/>
      <c r="K6577" s="5"/>
    </row>
    <row r="6578" spans="6:11" x14ac:dyDescent="0.25">
      <c r="F6578" s="12"/>
      <c r="K6578" s="5"/>
    </row>
    <row r="6579" spans="6:11" x14ac:dyDescent="0.25">
      <c r="F6579" s="12"/>
      <c r="K6579" s="5"/>
    </row>
    <row r="6580" spans="6:11" x14ac:dyDescent="0.25">
      <c r="F6580" s="12"/>
      <c r="K6580" s="5"/>
    </row>
    <row r="6581" spans="6:11" x14ac:dyDescent="0.25">
      <c r="F6581" s="12"/>
      <c r="K6581" s="5"/>
    </row>
    <row r="6582" spans="6:11" x14ac:dyDescent="0.25">
      <c r="F6582" s="12"/>
      <c r="K6582" s="5"/>
    </row>
    <row r="6583" spans="6:11" x14ac:dyDescent="0.25">
      <c r="F6583" s="12"/>
      <c r="K6583" s="5"/>
    </row>
    <row r="6584" spans="6:11" x14ac:dyDescent="0.25">
      <c r="F6584" s="12"/>
      <c r="K6584" s="5"/>
    </row>
    <row r="6585" spans="6:11" x14ac:dyDescent="0.25">
      <c r="F6585" s="12"/>
      <c r="K6585" s="5"/>
    </row>
    <row r="6586" spans="6:11" x14ac:dyDescent="0.25">
      <c r="F6586" s="12"/>
      <c r="K6586" s="5"/>
    </row>
    <row r="6587" spans="6:11" x14ac:dyDescent="0.25">
      <c r="F6587" s="12"/>
      <c r="K6587" s="5"/>
    </row>
    <row r="6588" spans="6:11" x14ac:dyDescent="0.25">
      <c r="F6588" s="12"/>
      <c r="K6588" s="5"/>
    </row>
    <row r="6589" spans="6:11" x14ac:dyDescent="0.25">
      <c r="F6589" s="12"/>
      <c r="K6589" s="5"/>
    </row>
    <row r="6590" spans="6:11" x14ac:dyDescent="0.25">
      <c r="F6590" s="12"/>
      <c r="K6590" s="5"/>
    </row>
    <row r="6591" spans="6:11" x14ac:dyDescent="0.25">
      <c r="F6591" s="12"/>
      <c r="K6591" s="5"/>
    </row>
    <row r="6592" spans="6:11" x14ac:dyDescent="0.25">
      <c r="F6592" s="12"/>
      <c r="K6592" s="5"/>
    </row>
    <row r="6593" spans="6:11" x14ac:dyDescent="0.25">
      <c r="F6593" s="12"/>
      <c r="K6593" s="5"/>
    </row>
    <row r="6594" spans="6:11" x14ac:dyDescent="0.25">
      <c r="F6594" s="12"/>
      <c r="K6594" s="5"/>
    </row>
    <row r="6595" spans="6:11" x14ac:dyDescent="0.25">
      <c r="F6595" s="12"/>
      <c r="K6595" s="5"/>
    </row>
    <row r="6596" spans="6:11" x14ac:dyDescent="0.25">
      <c r="F6596" s="12"/>
      <c r="K6596" s="5"/>
    </row>
    <row r="6597" spans="6:11" x14ac:dyDescent="0.25">
      <c r="F6597" s="12"/>
      <c r="K6597" s="5"/>
    </row>
    <row r="6598" spans="6:11" x14ac:dyDescent="0.25">
      <c r="F6598" s="12"/>
      <c r="K6598" s="5"/>
    </row>
    <row r="6599" spans="6:11" x14ac:dyDescent="0.25">
      <c r="F6599" s="12"/>
      <c r="K6599" s="5"/>
    </row>
    <row r="6600" spans="6:11" x14ac:dyDescent="0.25">
      <c r="F6600" s="12"/>
      <c r="K6600" s="5"/>
    </row>
    <row r="6601" spans="6:11" x14ac:dyDescent="0.25">
      <c r="F6601" s="12"/>
      <c r="K6601" s="5"/>
    </row>
    <row r="6602" spans="6:11" x14ac:dyDescent="0.25">
      <c r="F6602" s="12"/>
      <c r="K6602" s="5"/>
    </row>
    <row r="6603" spans="6:11" x14ac:dyDescent="0.25">
      <c r="F6603" s="12"/>
      <c r="K6603" s="5"/>
    </row>
    <row r="6604" spans="6:11" x14ac:dyDescent="0.25">
      <c r="F6604" s="12"/>
      <c r="K6604" s="5"/>
    </row>
    <row r="6605" spans="6:11" x14ac:dyDescent="0.25">
      <c r="F6605" s="12"/>
      <c r="K6605" s="5"/>
    </row>
    <row r="6606" spans="6:11" x14ac:dyDescent="0.25">
      <c r="F6606" s="12"/>
      <c r="K6606" s="5"/>
    </row>
    <row r="6607" spans="6:11" x14ac:dyDescent="0.25">
      <c r="F6607" s="12"/>
      <c r="K6607" s="5"/>
    </row>
    <row r="6608" spans="6:11" x14ac:dyDescent="0.25">
      <c r="F6608" s="12"/>
      <c r="K6608" s="5"/>
    </row>
    <row r="6609" spans="6:11" x14ac:dyDescent="0.25">
      <c r="F6609" s="12"/>
      <c r="K6609" s="5"/>
    </row>
    <row r="6610" spans="6:11" x14ac:dyDescent="0.25">
      <c r="F6610" s="12"/>
      <c r="K6610" s="5"/>
    </row>
    <row r="6611" spans="6:11" x14ac:dyDescent="0.25">
      <c r="F6611" s="12"/>
      <c r="K6611" s="5"/>
    </row>
    <row r="6612" spans="6:11" x14ac:dyDescent="0.25">
      <c r="F6612" s="12"/>
      <c r="K6612" s="5"/>
    </row>
    <row r="6613" spans="6:11" x14ac:dyDescent="0.25">
      <c r="F6613" s="12"/>
      <c r="K6613" s="5"/>
    </row>
    <row r="6614" spans="6:11" x14ac:dyDescent="0.25">
      <c r="F6614" s="12"/>
      <c r="K6614" s="5"/>
    </row>
    <row r="6615" spans="6:11" x14ac:dyDescent="0.25">
      <c r="F6615" s="12"/>
      <c r="K6615" s="5"/>
    </row>
    <row r="6616" spans="6:11" x14ac:dyDescent="0.25">
      <c r="F6616" s="12"/>
      <c r="K6616" s="5"/>
    </row>
    <row r="6617" spans="6:11" x14ac:dyDescent="0.25">
      <c r="F6617" s="12"/>
      <c r="K6617" s="5"/>
    </row>
    <row r="6618" spans="6:11" x14ac:dyDescent="0.25">
      <c r="F6618" s="12"/>
      <c r="K6618" s="5"/>
    </row>
    <row r="6619" spans="6:11" x14ac:dyDescent="0.25">
      <c r="F6619" s="12"/>
      <c r="K6619" s="5"/>
    </row>
    <row r="6620" spans="6:11" x14ac:dyDescent="0.25">
      <c r="F6620" s="12"/>
      <c r="K6620" s="5"/>
    </row>
    <row r="6621" spans="6:11" x14ac:dyDescent="0.25">
      <c r="F6621" s="12"/>
      <c r="K6621" s="5"/>
    </row>
    <row r="6622" spans="6:11" x14ac:dyDescent="0.25">
      <c r="F6622" s="12"/>
      <c r="K6622" s="5"/>
    </row>
    <row r="6623" spans="6:11" x14ac:dyDescent="0.25">
      <c r="F6623" s="12"/>
      <c r="K6623" s="5"/>
    </row>
    <row r="6624" spans="6:11" x14ac:dyDescent="0.25">
      <c r="F6624" s="12"/>
      <c r="K6624" s="5"/>
    </row>
    <row r="6625" spans="6:11" x14ac:dyDescent="0.25">
      <c r="F6625" s="12"/>
      <c r="K6625" s="5"/>
    </row>
    <row r="6626" spans="6:11" x14ac:dyDescent="0.25">
      <c r="F6626" s="12"/>
      <c r="K6626" s="5"/>
    </row>
    <row r="6627" spans="6:11" x14ac:dyDescent="0.25">
      <c r="F6627" s="12"/>
      <c r="K6627" s="5"/>
    </row>
    <row r="6628" spans="6:11" x14ac:dyDescent="0.25">
      <c r="F6628" s="12"/>
      <c r="K6628" s="5"/>
    </row>
    <row r="6629" spans="6:11" x14ac:dyDescent="0.25">
      <c r="F6629" s="12"/>
      <c r="K6629" s="5"/>
    </row>
    <row r="6630" spans="6:11" x14ac:dyDescent="0.25">
      <c r="F6630" s="12"/>
      <c r="K6630" s="5"/>
    </row>
    <row r="6631" spans="6:11" x14ac:dyDescent="0.25">
      <c r="F6631" s="12"/>
      <c r="K6631" s="5"/>
    </row>
    <row r="6632" spans="6:11" x14ac:dyDescent="0.25">
      <c r="F6632" s="12"/>
      <c r="K6632" s="5"/>
    </row>
    <row r="6633" spans="6:11" x14ac:dyDescent="0.25">
      <c r="F6633" s="12"/>
      <c r="K6633" s="5"/>
    </row>
    <row r="6634" spans="6:11" x14ac:dyDescent="0.25">
      <c r="F6634" s="12"/>
      <c r="K6634" s="5"/>
    </row>
    <row r="6635" spans="6:11" x14ac:dyDescent="0.25">
      <c r="F6635" s="12"/>
      <c r="K6635" s="5"/>
    </row>
    <row r="6636" spans="6:11" x14ac:dyDescent="0.25">
      <c r="F6636" s="12"/>
      <c r="K6636" s="5"/>
    </row>
    <row r="6637" spans="6:11" x14ac:dyDescent="0.25">
      <c r="F6637" s="12"/>
      <c r="K6637" s="5"/>
    </row>
    <row r="6638" spans="6:11" x14ac:dyDescent="0.25">
      <c r="F6638" s="12"/>
      <c r="K6638" s="5"/>
    </row>
    <row r="6639" spans="6:11" x14ac:dyDescent="0.25">
      <c r="F6639" s="12"/>
      <c r="K6639" s="5"/>
    </row>
    <row r="6640" spans="6:11" x14ac:dyDescent="0.25">
      <c r="F6640" s="12"/>
      <c r="K6640" s="5"/>
    </row>
    <row r="6641" spans="6:11" x14ac:dyDescent="0.25">
      <c r="F6641" s="12"/>
      <c r="K6641" s="5"/>
    </row>
    <row r="6642" spans="6:11" x14ac:dyDescent="0.25">
      <c r="F6642" s="12"/>
      <c r="K6642" s="5"/>
    </row>
    <row r="6643" spans="6:11" x14ac:dyDescent="0.25">
      <c r="F6643" s="12"/>
      <c r="K6643" s="5"/>
    </row>
    <row r="6644" spans="6:11" x14ac:dyDescent="0.25">
      <c r="F6644" s="12"/>
      <c r="K6644" s="5"/>
    </row>
    <row r="6645" spans="6:11" x14ac:dyDescent="0.25">
      <c r="F6645" s="12"/>
      <c r="K6645" s="5"/>
    </row>
    <row r="6646" spans="6:11" x14ac:dyDescent="0.25">
      <c r="F6646" s="12"/>
      <c r="K6646" s="5"/>
    </row>
    <row r="6647" spans="6:11" x14ac:dyDescent="0.25">
      <c r="F6647" s="12"/>
      <c r="K6647" s="5"/>
    </row>
    <row r="6648" spans="6:11" x14ac:dyDescent="0.25">
      <c r="F6648" s="12"/>
      <c r="K6648" s="5"/>
    </row>
    <row r="6649" spans="6:11" x14ac:dyDescent="0.25">
      <c r="F6649" s="12"/>
      <c r="K6649" s="5"/>
    </row>
    <row r="6650" spans="6:11" x14ac:dyDescent="0.25">
      <c r="F6650" s="12"/>
      <c r="K6650" s="5"/>
    </row>
    <row r="6651" spans="6:11" x14ac:dyDescent="0.25">
      <c r="F6651" s="12"/>
      <c r="K6651" s="5"/>
    </row>
    <row r="6652" spans="6:11" x14ac:dyDescent="0.25">
      <c r="F6652" s="12"/>
      <c r="K6652" s="5"/>
    </row>
    <row r="6653" spans="6:11" x14ac:dyDescent="0.25">
      <c r="F6653" s="12"/>
      <c r="K6653" s="5"/>
    </row>
    <row r="6654" spans="6:11" x14ac:dyDescent="0.25">
      <c r="F6654" s="12"/>
      <c r="K6654" s="5"/>
    </row>
    <row r="6655" spans="6:11" x14ac:dyDescent="0.25">
      <c r="F6655" s="12"/>
      <c r="K6655" s="5"/>
    </row>
    <row r="6656" spans="6:11" x14ac:dyDescent="0.25">
      <c r="F6656" s="12"/>
      <c r="K6656" s="5"/>
    </row>
    <row r="6657" spans="6:11" x14ac:dyDescent="0.25">
      <c r="F6657" s="12"/>
      <c r="K6657" s="5"/>
    </row>
    <row r="6658" spans="6:11" x14ac:dyDescent="0.25">
      <c r="F6658" s="12"/>
      <c r="K6658" s="5"/>
    </row>
    <row r="6659" spans="6:11" x14ac:dyDescent="0.25">
      <c r="F6659" s="12"/>
      <c r="K6659" s="5"/>
    </row>
    <row r="6660" spans="6:11" x14ac:dyDescent="0.25">
      <c r="F6660" s="12"/>
      <c r="K6660" s="5"/>
    </row>
    <row r="6661" spans="6:11" x14ac:dyDescent="0.25">
      <c r="F6661" s="12"/>
      <c r="K6661" s="5"/>
    </row>
    <row r="6662" spans="6:11" x14ac:dyDescent="0.25">
      <c r="F6662" s="12"/>
      <c r="K6662" s="5"/>
    </row>
    <row r="6663" spans="6:11" x14ac:dyDescent="0.25">
      <c r="F6663" s="12"/>
      <c r="K6663" s="5"/>
    </row>
    <row r="6664" spans="6:11" x14ac:dyDescent="0.25">
      <c r="F6664" s="12"/>
      <c r="K6664" s="5"/>
    </row>
    <row r="6665" spans="6:11" x14ac:dyDescent="0.25">
      <c r="F6665" s="12"/>
      <c r="K6665" s="5"/>
    </row>
    <row r="6666" spans="6:11" x14ac:dyDescent="0.25">
      <c r="F6666" s="12"/>
      <c r="K6666" s="5"/>
    </row>
    <row r="6667" spans="6:11" x14ac:dyDescent="0.25">
      <c r="F6667" s="12"/>
      <c r="K6667" s="5"/>
    </row>
    <row r="6668" spans="6:11" x14ac:dyDescent="0.25">
      <c r="F6668" s="12"/>
      <c r="K6668" s="5"/>
    </row>
    <row r="6669" spans="6:11" x14ac:dyDescent="0.25">
      <c r="F6669" s="12"/>
      <c r="K6669" s="5"/>
    </row>
    <row r="6670" spans="6:11" x14ac:dyDescent="0.25">
      <c r="F6670" s="12"/>
      <c r="K6670" s="5"/>
    </row>
    <row r="6671" spans="6:11" x14ac:dyDescent="0.25">
      <c r="F6671" s="12"/>
      <c r="K6671" s="5"/>
    </row>
    <row r="6672" spans="6:11" x14ac:dyDescent="0.25">
      <c r="F6672" s="12"/>
      <c r="K6672" s="5"/>
    </row>
    <row r="6673" spans="6:11" x14ac:dyDescent="0.25">
      <c r="F6673" s="12"/>
      <c r="K6673" s="5"/>
    </row>
    <row r="6674" spans="6:11" x14ac:dyDescent="0.25">
      <c r="F6674" s="12"/>
      <c r="K6674" s="5"/>
    </row>
    <row r="6675" spans="6:11" x14ac:dyDescent="0.25">
      <c r="F6675" s="12"/>
      <c r="K6675" s="5"/>
    </row>
    <row r="6676" spans="6:11" x14ac:dyDescent="0.25">
      <c r="F6676" s="12"/>
      <c r="K6676" s="5"/>
    </row>
    <row r="6677" spans="6:11" x14ac:dyDescent="0.25">
      <c r="F6677" s="12"/>
      <c r="K6677" s="5"/>
    </row>
    <row r="6678" spans="6:11" x14ac:dyDescent="0.25">
      <c r="F6678" s="12"/>
      <c r="K6678" s="5"/>
    </row>
    <row r="6679" spans="6:11" x14ac:dyDescent="0.25">
      <c r="F6679" s="12"/>
      <c r="K6679" s="5"/>
    </row>
    <row r="6680" spans="6:11" x14ac:dyDescent="0.25">
      <c r="F6680" s="12"/>
      <c r="K6680" s="5"/>
    </row>
    <row r="6681" spans="6:11" x14ac:dyDescent="0.25">
      <c r="F6681" s="12"/>
      <c r="K6681" s="5"/>
    </row>
    <row r="6682" spans="6:11" x14ac:dyDescent="0.25">
      <c r="F6682" s="12"/>
      <c r="K6682" s="5"/>
    </row>
    <row r="6683" spans="6:11" x14ac:dyDescent="0.25">
      <c r="F6683" s="12"/>
      <c r="K6683" s="5"/>
    </row>
    <row r="6684" spans="6:11" x14ac:dyDescent="0.25">
      <c r="F6684" s="12"/>
      <c r="K6684" s="5"/>
    </row>
    <row r="6685" spans="6:11" x14ac:dyDescent="0.25">
      <c r="F6685" s="12"/>
      <c r="K6685" s="5"/>
    </row>
    <row r="6686" spans="6:11" x14ac:dyDescent="0.25">
      <c r="F6686" s="12"/>
      <c r="K6686" s="5"/>
    </row>
    <row r="6687" spans="6:11" x14ac:dyDescent="0.25">
      <c r="F6687" s="12"/>
      <c r="K6687" s="5"/>
    </row>
    <row r="6688" spans="6:11" x14ac:dyDescent="0.25">
      <c r="F6688" s="12"/>
      <c r="K6688" s="5"/>
    </row>
    <row r="6689" spans="6:11" x14ac:dyDescent="0.25">
      <c r="F6689" s="12"/>
      <c r="K6689" s="5"/>
    </row>
    <row r="6690" spans="6:11" x14ac:dyDescent="0.25">
      <c r="F6690" s="12"/>
      <c r="K6690" s="5"/>
    </row>
    <row r="6691" spans="6:11" x14ac:dyDescent="0.25">
      <c r="F6691" s="12"/>
      <c r="K6691" s="5"/>
    </row>
    <row r="6692" spans="6:11" x14ac:dyDescent="0.25">
      <c r="F6692" s="12"/>
      <c r="K6692" s="5"/>
    </row>
    <row r="6693" spans="6:11" x14ac:dyDescent="0.25">
      <c r="F6693" s="12"/>
      <c r="K6693" s="5"/>
    </row>
    <row r="6694" spans="6:11" x14ac:dyDescent="0.25">
      <c r="F6694" s="12"/>
      <c r="K6694" s="5"/>
    </row>
    <row r="6695" spans="6:11" x14ac:dyDescent="0.25">
      <c r="F6695" s="12"/>
      <c r="K6695" s="5"/>
    </row>
    <row r="6696" spans="6:11" x14ac:dyDescent="0.25">
      <c r="F6696" s="12"/>
      <c r="K6696" s="5"/>
    </row>
    <row r="6697" spans="6:11" x14ac:dyDescent="0.25">
      <c r="F6697" s="12"/>
      <c r="K6697" s="5"/>
    </row>
    <row r="6698" spans="6:11" x14ac:dyDescent="0.25">
      <c r="F6698" s="12"/>
      <c r="K6698" s="5"/>
    </row>
    <row r="6699" spans="6:11" x14ac:dyDescent="0.25">
      <c r="F6699" s="12"/>
      <c r="K6699" s="5"/>
    </row>
    <row r="6700" spans="6:11" x14ac:dyDescent="0.25">
      <c r="F6700" s="12"/>
      <c r="K6700" s="5"/>
    </row>
    <row r="6701" spans="6:11" x14ac:dyDescent="0.25">
      <c r="F6701" s="12"/>
      <c r="K6701" s="5"/>
    </row>
    <row r="6702" spans="6:11" x14ac:dyDescent="0.25">
      <c r="F6702" s="12"/>
      <c r="K6702" s="5"/>
    </row>
    <row r="6703" spans="6:11" x14ac:dyDescent="0.25">
      <c r="F6703" s="12"/>
      <c r="K6703" s="5"/>
    </row>
    <row r="6704" spans="6:11" x14ac:dyDescent="0.25">
      <c r="F6704" s="12"/>
      <c r="K6704" s="5"/>
    </row>
    <row r="6705" spans="6:11" x14ac:dyDescent="0.25">
      <c r="F6705" s="12"/>
      <c r="K6705" s="5"/>
    </row>
    <row r="6706" spans="6:11" x14ac:dyDescent="0.25">
      <c r="F6706" s="12"/>
      <c r="K6706" s="5"/>
    </row>
    <row r="6707" spans="6:11" x14ac:dyDescent="0.25">
      <c r="F6707" s="12"/>
      <c r="K6707" s="5"/>
    </row>
    <row r="6708" spans="6:11" x14ac:dyDescent="0.25">
      <c r="F6708" s="12"/>
      <c r="K6708" s="5"/>
    </row>
    <row r="6709" spans="6:11" x14ac:dyDescent="0.25">
      <c r="F6709" s="12"/>
      <c r="K6709" s="5"/>
    </row>
    <row r="6710" spans="6:11" x14ac:dyDescent="0.25">
      <c r="F6710" s="12"/>
      <c r="K6710" s="5"/>
    </row>
    <row r="6711" spans="6:11" x14ac:dyDescent="0.25">
      <c r="F6711" s="12"/>
      <c r="K6711" s="5"/>
    </row>
    <row r="6712" spans="6:11" x14ac:dyDescent="0.25">
      <c r="F6712" s="12"/>
      <c r="K6712" s="5"/>
    </row>
    <row r="6713" spans="6:11" x14ac:dyDescent="0.25">
      <c r="F6713" s="12"/>
      <c r="K6713" s="5"/>
    </row>
    <row r="6714" spans="6:11" x14ac:dyDescent="0.25">
      <c r="F6714" s="12"/>
      <c r="K6714" s="5"/>
    </row>
    <row r="6715" spans="6:11" x14ac:dyDescent="0.25">
      <c r="F6715" s="12"/>
      <c r="K6715" s="5"/>
    </row>
    <row r="6716" spans="6:11" x14ac:dyDescent="0.25">
      <c r="F6716" s="12"/>
      <c r="K6716" s="5"/>
    </row>
    <row r="6717" spans="6:11" x14ac:dyDescent="0.25">
      <c r="F6717" s="12"/>
      <c r="K6717" s="5"/>
    </row>
    <row r="6718" spans="6:11" x14ac:dyDescent="0.25">
      <c r="F6718" s="12"/>
      <c r="K6718" s="5"/>
    </row>
    <row r="6719" spans="6:11" x14ac:dyDescent="0.25">
      <c r="F6719" s="12"/>
      <c r="K6719" s="5"/>
    </row>
    <row r="6720" spans="6:11" x14ac:dyDescent="0.25">
      <c r="F6720" s="12"/>
      <c r="K6720" s="5"/>
    </row>
    <row r="6721" spans="6:11" x14ac:dyDescent="0.25">
      <c r="F6721" s="12"/>
      <c r="K6721" s="5"/>
    </row>
    <row r="6722" spans="6:11" x14ac:dyDescent="0.25">
      <c r="F6722" s="12"/>
      <c r="K6722" s="5"/>
    </row>
    <row r="6723" spans="6:11" x14ac:dyDescent="0.25">
      <c r="F6723" s="12"/>
      <c r="K6723" s="5"/>
    </row>
    <row r="6724" spans="6:11" x14ac:dyDescent="0.25">
      <c r="F6724" s="12"/>
      <c r="K6724" s="5"/>
    </row>
    <row r="6725" spans="6:11" x14ac:dyDescent="0.25">
      <c r="F6725" s="12"/>
      <c r="K6725" s="5"/>
    </row>
    <row r="6726" spans="6:11" x14ac:dyDescent="0.25">
      <c r="F6726" s="12"/>
      <c r="K6726" s="5"/>
    </row>
    <row r="6727" spans="6:11" x14ac:dyDescent="0.25">
      <c r="F6727" s="12"/>
      <c r="K6727" s="5"/>
    </row>
    <row r="6728" spans="6:11" x14ac:dyDescent="0.25">
      <c r="F6728" s="12"/>
      <c r="K6728" s="5"/>
    </row>
    <row r="6729" spans="6:11" x14ac:dyDescent="0.25">
      <c r="F6729" s="12"/>
      <c r="K6729" s="5"/>
    </row>
    <row r="6730" spans="6:11" x14ac:dyDescent="0.25">
      <c r="F6730" s="12"/>
      <c r="K6730" s="5"/>
    </row>
    <row r="6731" spans="6:11" x14ac:dyDescent="0.25">
      <c r="F6731" s="12"/>
      <c r="K6731" s="5"/>
    </row>
    <row r="6732" spans="6:11" x14ac:dyDescent="0.25">
      <c r="F6732" s="12"/>
      <c r="K6732" s="5"/>
    </row>
    <row r="6733" spans="6:11" x14ac:dyDescent="0.25">
      <c r="F6733" s="12"/>
      <c r="K6733" s="5"/>
    </row>
    <row r="6734" spans="6:11" x14ac:dyDescent="0.25">
      <c r="F6734" s="12"/>
      <c r="K6734" s="5"/>
    </row>
    <row r="6735" spans="6:11" x14ac:dyDescent="0.25">
      <c r="F6735" s="12"/>
      <c r="K6735" s="5"/>
    </row>
    <row r="6736" spans="6:11" x14ac:dyDescent="0.25">
      <c r="F6736" s="12"/>
      <c r="K6736" s="5"/>
    </row>
    <row r="6737" spans="6:11" x14ac:dyDescent="0.25">
      <c r="F6737" s="12"/>
      <c r="K6737" s="5"/>
    </row>
    <row r="6738" spans="6:11" x14ac:dyDescent="0.25">
      <c r="F6738" s="12"/>
      <c r="K6738" s="5"/>
    </row>
    <row r="6739" spans="6:11" x14ac:dyDescent="0.25">
      <c r="F6739" s="12"/>
      <c r="K6739" s="5"/>
    </row>
    <row r="6740" spans="6:11" x14ac:dyDescent="0.25">
      <c r="F6740" s="12"/>
      <c r="K6740" s="5"/>
    </row>
    <row r="6741" spans="6:11" x14ac:dyDescent="0.25">
      <c r="F6741" s="12"/>
      <c r="K6741" s="5"/>
    </row>
    <row r="6742" spans="6:11" x14ac:dyDescent="0.25">
      <c r="F6742" s="12"/>
      <c r="K6742" s="5"/>
    </row>
    <row r="6743" spans="6:11" x14ac:dyDescent="0.25">
      <c r="F6743" s="12"/>
      <c r="K6743" s="5"/>
    </row>
    <row r="6744" spans="6:11" x14ac:dyDescent="0.25">
      <c r="F6744" s="12"/>
      <c r="K6744" s="5"/>
    </row>
    <row r="6745" spans="6:11" x14ac:dyDescent="0.25">
      <c r="F6745" s="12"/>
      <c r="K6745" s="5"/>
    </row>
    <row r="6746" spans="6:11" x14ac:dyDescent="0.25">
      <c r="F6746" s="12"/>
      <c r="K6746" s="5"/>
    </row>
    <row r="6747" spans="6:11" x14ac:dyDescent="0.25">
      <c r="F6747" s="12"/>
      <c r="K6747" s="5"/>
    </row>
    <row r="6748" spans="6:11" x14ac:dyDescent="0.25">
      <c r="F6748" s="12"/>
      <c r="K6748" s="5"/>
    </row>
    <row r="6749" spans="6:11" x14ac:dyDescent="0.25">
      <c r="F6749" s="12"/>
      <c r="K6749" s="5"/>
    </row>
    <row r="6750" spans="6:11" x14ac:dyDescent="0.25">
      <c r="F6750" s="12"/>
      <c r="K6750" s="5"/>
    </row>
    <row r="6751" spans="6:11" x14ac:dyDescent="0.25">
      <c r="F6751" s="12"/>
      <c r="K6751" s="5"/>
    </row>
    <row r="6752" spans="6:11" x14ac:dyDescent="0.25">
      <c r="F6752" s="12"/>
      <c r="K6752" s="5"/>
    </row>
    <row r="6753" spans="6:11" x14ac:dyDescent="0.25">
      <c r="F6753" s="12"/>
      <c r="K6753" s="5"/>
    </row>
    <row r="6754" spans="6:11" x14ac:dyDescent="0.25">
      <c r="F6754" s="12"/>
      <c r="K6754" s="5"/>
    </row>
    <row r="6755" spans="6:11" x14ac:dyDescent="0.25">
      <c r="F6755" s="12"/>
      <c r="K6755" s="5"/>
    </row>
    <row r="6756" spans="6:11" x14ac:dyDescent="0.25">
      <c r="F6756" s="12"/>
      <c r="K6756" s="5"/>
    </row>
    <row r="6757" spans="6:11" x14ac:dyDescent="0.25">
      <c r="F6757" s="12"/>
      <c r="K6757" s="5"/>
    </row>
    <row r="6758" spans="6:11" x14ac:dyDescent="0.25">
      <c r="F6758" s="12"/>
      <c r="K6758" s="5"/>
    </row>
    <row r="6759" spans="6:11" x14ac:dyDescent="0.25">
      <c r="F6759" s="12"/>
      <c r="K6759" s="5"/>
    </row>
    <row r="6760" spans="6:11" x14ac:dyDescent="0.25">
      <c r="F6760" s="12"/>
      <c r="K6760" s="5"/>
    </row>
    <row r="6761" spans="6:11" x14ac:dyDescent="0.25">
      <c r="F6761" s="12"/>
      <c r="K6761" s="5"/>
    </row>
    <row r="6762" spans="6:11" x14ac:dyDescent="0.25">
      <c r="F6762" s="12"/>
      <c r="K6762" s="5"/>
    </row>
    <row r="6763" spans="6:11" x14ac:dyDescent="0.25">
      <c r="F6763" s="12"/>
      <c r="K6763" s="5"/>
    </row>
    <row r="6764" spans="6:11" x14ac:dyDescent="0.25">
      <c r="F6764" s="12"/>
      <c r="K6764" s="5"/>
    </row>
    <row r="6765" spans="6:11" x14ac:dyDescent="0.25">
      <c r="F6765" s="12"/>
      <c r="K6765" s="5"/>
    </row>
    <row r="6766" spans="6:11" x14ac:dyDescent="0.25">
      <c r="F6766" s="12"/>
      <c r="K6766" s="5"/>
    </row>
    <row r="6767" spans="6:11" x14ac:dyDescent="0.25">
      <c r="F6767" s="12"/>
      <c r="K6767" s="5"/>
    </row>
    <row r="6768" spans="6:11" x14ac:dyDescent="0.25">
      <c r="F6768" s="12"/>
      <c r="K6768" s="5"/>
    </row>
    <row r="6769" spans="6:11" x14ac:dyDescent="0.25">
      <c r="F6769" s="12"/>
      <c r="K6769" s="5"/>
    </row>
    <row r="6770" spans="6:11" x14ac:dyDescent="0.25">
      <c r="F6770" s="12"/>
      <c r="K6770" s="5"/>
    </row>
    <row r="6771" spans="6:11" x14ac:dyDescent="0.25">
      <c r="F6771" s="12"/>
      <c r="K6771" s="5"/>
    </row>
    <row r="6772" spans="6:11" x14ac:dyDescent="0.25">
      <c r="F6772" s="12"/>
      <c r="K6772" s="5"/>
    </row>
    <row r="6773" spans="6:11" x14ac:dyDescent="0.25">
      <c r="F6773" s="12"/>
      <c r="K6773" s="5"/>
    </row>
    <row r="6774" spans="6:11" x14ac:dyDescent="0.25">
      <c r="F6774" s="12"/>
      <c r="K6774" s="5"/>
    </row>
    <row r="6775" spans="6:11" x14ac:dyDescent="0.25">
      <c r="F6775" s="12"/>
      <c r="K6775" s="5"/>
    </row>
    <row r="6776" spans="6:11" x14ac:dyDescent="0.25">
      <c r="F6776" s="12"/>
      <c r="K6776" s="5"/>
    </row>
    <row r="6777" spans="6:11" x14ac:dyDescent="0.25">
      <c r="F6777" s="12"/>
      <c r="K6777" s="5"/>
    </row>
    <row r="6778" spans="6:11" x14ac:dyDescent="0.25">
      <c r="F6778" s="12"/>
      <c r="K6778" s="5"/>
    </row>
    <row r="6779" spans="6:11" x14ac:dyDescent="0.25">
      <c r="F6779" s="12"/>
      <c r="K6779" s="5"/>
    </row>
    <row r="6780" spans="6:11" x14ac:dyDescent="0.25">
      <c r="F6780" s="12"/>
      <c r="K6780" s="5"/>
    </row>
    <row r="6781" spans="6:11" x14ac:dyDescent="0.25">
      <c r="F6781" s="12"/>
      <c r="K6781" s="5"/>
    </row>
    <row r="6782" spans="6:11" x14ac:dyDescent="0.25">
      <c r="F6782" s="12"/>
      <c r="K6782" s="5"/>
    </row>
    <row r="6783" spans="6:11" x14ac:dyDescent="0.25">
      <c r="F6783" s="12"/>
      <c r="K6783" s="5"/>
    </row>
    <row r="6784" spans="6:11" x14ac:dyDescent="0.25">
      <c r="F6784" s="12"/>
      <c r="K6784" s="5"/>
    </row>
    <row r="6785" spans="6:11" x14ac:dyDescent="0.25">
      <c r="F6785" s="12"/>
      <c r="K6785" s="5"/>
    </row>
    <row r="6786" spans="6:11" x14ac:dyDescent="0.25">
      <c r="F6786" s="12"/>
      <c r="K6786" s="5"/>
    </row>
    <row r="6787" spans="6:11" x14ac:dyDescent="0.25">
      <c r="F6787" s="12"/>
      <c r="K6787" s="5"/>
    </row>
    <row r="6788" spans="6:11" x14ac:dyDescent="0.25">
      <c r="F6788" s="12"/>
      <c r="K6788" s="5"/>
    </row>
    <row r="6789" spans="6:11" x14ac:dyDescent="0.25">
      <c r="F6789" s="12"/>
      <c r="K6789" s="5"/>
    </row>
    <row r="6790" spans="6:11" x14ac:dyDescent="0.25">
      <c r="F6790" s="12"/>
      <c r="K6790" s="5"/>
    </row>
    <row r="6791" spans="6:11" x14ac:dyDescent="0.25">
      <c r="F6791" s="12"/>
      <c r="K6791" s="5"/>
    </row>
    <row r="6792" spans="6:11" x14ac:dyDescent="0.25">
      <c r="F6792" s="12"/>
      <c r="K6792" s="5"/>
    </row>
    <row r="6793" spans="6:11" x14ac:dyDescent="0.25">
      <c r="F6793" s="12"/>
      <c r="K6793" s="5"/>
    </row>
    <row r="6794" spans="6:11" x14ac:dyDescent="0.25">
      <c r="F6794" s="12"/>
      <c r="K6794" s="5"/>
    </row>
    <row r="6795" spans="6:11" x14ac:dyDescent="0.25">
      <c r="F6795" s="12"/>
      <c r="K6795" s="5"/>
    </row>
    <row r="6796" spans="6:11" x14ac:dyDescent="0.25">
      <c r="F6796" s="12"/>
      <c r="K6796" s="5"/>
    </row>
    <row r="6797" spans="6:11" x14ac:dyDescent="0.25">
      <c r="F6797" s="12"/>
      <c r="K6797" s="5"/>
    </row>
    <row r="6798" spans="6:11" x14ac:dyDescent="0.25">
      <c r="F6798" s="12"/>
      <c r="K6798" s="5"/>
    </row>
    <row r="6799" spans="6:11" x14ac:dyDescent="0.25">
      <c r="F6799" s="12"/>
      <c r="K6799" s="5"/>
    </row>
    <row r="6800" spans="6:11" x14ac:dyDescent="0.25">
      <c r="F6800" s="12"/>
      <c r="K6800" s="5"/>
    </row>
    <row r="6801" spans="6:11" x14ac:dyDescent="0.25">
      <c r="F6801" s="12"/>
      <c r="K6801" s="5"/>
    </row>
    <row r="6802" spans="6:11" x14ac:dyDescent="0.25">
      <c r="F6802" s="12"/>
      <c r="K6802" s="5"/>
    </row>
    <row r="6803" spans="6:11" x14ac:dyDescent="0.25">
      <c r="F6803" s="12"/>
      <c r="K6803" s="5"/>
    </row>
    <row r="6804" spans="6:11" x14ac:dyDescent="0.25">
      <c r="F6804" s="12"/>
      <c r="K6804" s="5"/>
    </row>
    <row r="6805" spans="6:11" x14ac:dyDescent="0.25">
      <c r="F6805" s="12"/>
      <c r="K6805" s="5"/>
    </row>
    <row r="6806" spans="6:11" x14ac:dyDescent="0.25">
      <c r="F6806" s="12"/>
      <c r="K6806" s="5"/>
    </row>
    <row r="6807" spans="6:11" x14ac:dyDescent="0.25">
      <c r="F6807" s="12"/>
      <c r="K6807" s="5"/>
    </row>
    <row r="6808" spans="6:11" x14ac:dyDescent="0.25">
      <c r="F6808" s="12"/>
      <c r="K6808" s="5"/>
    </row>
    <row r="6809" spans="6:11" x14ac:dyDescent="0.25">
      <c r="F6809" s="12"/>
      <c r="K6809" s="5"/>
    </row>
    <row r="6810" spans="6:11" x14ac:dyDescent="0.25">
      <c r="F6810" s="12"/>
      <c r="K6810" s="5"/>
    </row>
    <row r="6811" spans="6:11" x14ac:dyDescent="0.25">
      <c r="F6811" s="12"/>
      <c r="K6811" s="5"/>
    </row>
    <row r="6812" spans="6:11" x14ac:dyDescent="0.25">
      <c r="F6812" s="12"/>
      <c r="K6812" s="5"/>
    </row>
    <row r="6813" spans="6:11" x14ac:dyDescent="0.25">
      <c r="F6813" s="12"/>
      <c r="K6813" s="5"/>
    </row>
    <row r="6814" spans="6:11" x14ac:dyDescent="0.25">
      <c r="F6814" s="12"/>
      <c r="K6814" s="5"/>
    </row>
    <row r="6815" spans="6:11" x14ac:dyDescent="0.25">
      <c r="F6815" s="12"/>
      <c r="K6815" s="5"/>
    </row>
    <row r="6816" spans="6:11" x14ac:dyDescent="0.25">
      <c r="F6816" s="12"/>
      <c r="K6816" s="5"/>
    </row>
    <row r="6817" spans="6:11" x14ac:dyDescent="0.25">
      <c r="F6817" s="12"/>
      <c r="K6817" s="5"/>
    </row>
    <row r="6818" spans="6:11" x14ac:dyDescent="0.25">
      <c r="F6818" s="12"/>
      <c r="K6818" s="5"/>
    </row>
    <row r="6819" spans="6:11" x14ac:dyDescent="0.25">
      <c r="F6819" s="12"/>
      <c r="K6819" s="5"/>
    </row>
    <row r="6820" spans="6:11" x14ac:dyDescent="0.25">
      <c r="F6820" s="12"/>
      <c r="K6820" s="5"/>
    </row>
    <row r="6821" spans="6:11" x14ac:dyDescent="0.25">
      <c r="F6821" s="12"/>
      <c r="K6821" s="5"/>
    </row>
    <row r="6822" spans="6:11" x14ac:dyDescent="0.25">
      <c r="F6822" s="12"/>
      <c r="K6822" s="5"/>
    </row>
    <row r="6823" spans="6:11" x14ac:dyDescent="0.25">
      <c r="F6823" s="12"/>
      <c r="K6823" s="5"/>
    </row>
    <row r="6824" spans="6:11" x14ac:dyDescent="0.25">
      <c r="F6824" s="12"/>
      <c r="K6824" s="5"/>
    </row>
    <row r="6825" spans="6:11" x14ac:dyDescent="0.25">
      <c r="F6825" s="12"/>
      <c r="K6825" s="5"/>
    </row>
    <row r="6826" spans="6:11" x14ac:dyDescent="0.25">
      <c r="F6826" s="12"/>
      <c r="K6826" s="5"/>
    </row>
    <row r="6827" spans="6:11" x14ac:dyDescent="0.25">
      <c r="F6827" s="12"/>
      <c r="K6827" s="5"/>
    </row>
    <row r="6828" spans="6:11" x14ac:dyDescent="0.25">
      <c r="F6828" s="12"/>
      <c r="K6828" s="5"/>
    </row>
    <row r="6829" spans="6:11" x14ac:dyDescent="0.25">
      <c r="F6829" s="12"/>
      <c r="K6829" s="5"/>
    </row>
    <row r="6830" spans="6:11" x14ac:dyDescent="0.25">
      <c r="F6830" s="12"/>
      <c r="K6830" s="5"/>
    </row>
    <row r="6831" spans="6:11" x14ac:dyDescent="0.25">
      <c r="F6831" s="12"/>
      <c r="K6831" s="5"/>
    </row>
    <row r="6832" spans="6:11" x14ac:dyDescent="0.25">
      <c r="F6832" s="12"/>
      <c r="K6832" s="5"/>
    </row>
    <row r="6833" spans="6:11" x14ac:dyDescent="0.25">
      <c r="F6833" s="12"/>
      <c r="K6833" s="5"/>
    </row>
    <row r="6834" spans="6:11" x14ac:dyDescent="0.25">
      <c r="F6834" s="12"/>
      <c r="K6834" s="5"/>
    </row>
    <row r="6835" spans="6:11" x14ac:dyDescent="0.25">
      <c r="F6835" s="12"/>
      <c r="K6835" s="5"/>
    </row>
    <row r="6836" spans="6:11" x14ac:dyDescent="0.25">
      <c r="F6836" s="12"/>
      <c r="K6836" s="5"/>
    </row>
    <row r="6837" spans="6:11" x14ac:dyDescent="0.25">
      <c r="F6837" s="12"/>
      <c r="K6837" s="5"/>
    </row>
    <row r="6838" spans="6:11" x14ac:dyDescent="0.25">
      <c r="F6838" s="12"/>
      <c r="K6838" s="5"/>
    </row>
    <row r="6839" spans="6:11" x14ac:dyDescent="0.25">
      <c r="F6839" s="12"/>
      <c r="K6839" s="5"/>
    </row>
    <row r="6840" spans="6:11" x14ac:dyDescent="0.25">
      <c r="F6840" s="12"/>
      <c r="K6840" s="5"/>
    </row>
    <row r="6841" spans="6:11" x14ac:dyDescent="0.25">
      <c r="F6841" s="12"/>
      <c r="K6841" s="5"/>
    </row>
    <row r="6842" spans="6:11" x14ac:dyDescent="0.25">
      <c r="F6842" s="12"/>
      <c r="K6842" s="5"/>
    </row>
    <row r="6843" spans="6:11" x14ac:dyDescent="0.25">
      <c r="F6843" s="12"/>
      <c r="K6843" s="5"/>
    </row>
    <row r="6844" spans="6:11" x14ac:dyDescent="0.25">
      <c r="F6844" s="12"/>
      <c r="K6844" s="5"/>
    </row>
    <row r="6845" spans="6:11" x14ac:dyDescent="0.25">
      <c r="F6845" s="12"/>
      <c r="K6845" s="5"/>
    </row>
    <row r="6846" spans="6:11" x14ac:dyDescent="0.25">
      <c r="F6846" s="12"/>
      <c r="K6846" s="5"/>
    </row>
    <row r="6847" spans="6:11" x14ac:dyDescent="0.25">
      <c r="F6847" s="12"/>
      <c r="K6847" s="5"/>
    </row>
    <row r="6848" spans="6:11" x14ac:dyDescent="0.25">
      <c r="F6848" s="12"/>
      <c r="K6848" s="5"/>
    </row>
    <row r="6849" spans="6:11" x14ac:dyDescent="0.25">
      <c r="F6849" s="12"/>
      <c r="K6849" s="5"/>
    </row>
    <row r="6850" spans="6:11" x14ac:dyDescent="0.25">
      <c r="F6850" s="12"/>
      <c r="K6850" s="5"/>
    </row>
    <row r="6851" spans="6:11" x14ac:dyDescent="0.25">
      <c r="F6851" s="12"/>
      <c r="K6851" s="5"/>
    </row>
    <row r="6852" spans="6:11" x14ac:dyDescent="0.25">
      <c r="F6852" s="12"/>
      <c r="K6852" s="5"/>
    </row>
    <row r="6853" spans="6:11" x14ac:dyDescent="0.25">
      <c r="F6853" s="12"/>
      <c r="K6853" s="5"/>
    </row>
    <row r="6854" spans="6:11" x14ac:dyDescent="0.25">
      <c r="F6854" s="12"/>
      <c r="K6854" s="5"/>
    </row>
    <row r="6855" spans="6:11" x14ac:dyDescent="0.25">
      <c r="F6855" s="12"/>
      <c r="K6855" s="5"/>
    </row>
    <row r="6856" spans="6:11" x14ac:dyDescent="0.25">
      <c r="F6856" s="12"/>
      <c r="K6856" s="5"/>
    </row>
    <row r="6857" spans="6:11" x14ac:dyDescent="0.25">
      <c r="F6857" s="12"/>
      <c r="K6857" s="5"/>
    </row>
    <row r="6858" spans="6:11" x14ac:dyDescent="0.25">
      <c r="F6858" s="12"/>
      <c r="K6858" s="5"/>
    </row>
    <row r="6859" spans="6:11" x14ac:dyDescent="0.25">
      <c r="F6859" s="12"/>
      <c r="K6859" s="5"/>
    </row>
    <row r="6860" spans="6:11" x14ac:dyDescent="0.25">
      <c r="F6860" s="12"/>
      <c r="K6860" s="5"/>
    </row>
    <row r="6861" spans="6:11" x14ac:dyDescent="0.25">
      <c r="F6861" s="12"/>
      <c r="K6861" s="5"/>
    </row>
    <row r="6862" spans="6:11" x14ac:dyDescent="0.25">
      <c r="F6862" s="12"/>
      <c r="K6862" s="5"/>
    </row>
    <row r="6863" spans="6:11" x14ac:dyDescent="0.25">
      <c r="F6863" s="12"/>
      <c r="K6863" s="5"/>
    </row>
    <row r="6864" spans="6:11" x14ac:dyDescent="0.25">
      <c r="F6864" s="12"/>
      <c r="K6864" s="5"/>
    </row>
    <row r="6865" spans="6:11" x14ac:dyDescent="0.25">
      <c r="F6865" s="12"/>
      <c r="K6865" s="5"/>
    </row>
    <row r="6866" spans="6:11" x14ac:dyDescent="0.25">
      <c r="F6866" s="12"/>
      <c r="K6866" s="5"/>
    </row>
    <row r="6867" spans="6:11" x14ac:dyDescent="0.25">
      <c r="F6867" s="12"/>
      <c r="K6867" s="5"/>
    </row>
    <row r="6868" spans="6:11" x14ac:dyDescent="0.25">
      <c r="F6868" s="12"/>
      <c r="K6868" s="5"/>
    </row>
    <row r="6869" spans="6:11" x14ac:dyDescent="0.25">
      <c r="F6869" s="12"/>
      <c r="K6869" s="5"/>
    </row>
    <row r="6870" spans="6:11" x14ac:dyDescent="0.25">
      <c r="F6870" s="12"/>
      <c r="K6870" s="5"/>
    </row>
    <row r="6871" spans="6:11" x14ac:dyDescent="0.25">
      <c r="F6871" s="12"/>
      <c r="K6871" s="5"/>
    </row>
    <row r="6872" spans="6:11" x14ac:dyDescent="0.25">
      <c r="F6872" s="12"/>
      <c r="K6872" s="5"/>
    </row>
    <row r="6873" spans="6:11" x14ac:dyDescent="0.25">
      <c r="F6873" s="12"/>
      <c r="K6873" s="5"/>
    </row>
    <row r="6874" spans="6:11" x14ac:dyDescent="0.25">
      <c r="F6874" s="12"/>
      <c r="K6874" s="5"/>
    </row>
    <row r="6875" spans="6:11" x14ac:dyDescent="0.25">
      <c r="F6875" s="12"/>
      <c r="K6875" s="5"/>
    </row>
    <row r="6876" spans="6:11" x14ac:dyDescent="0.25">
      <c r="F6876" s="12"/>
      <c r="K6876" s="5"/>
    </row>
    <row r="6877" spans="6:11" x14ac:dyDescent="0.25">
      <c r="F6877" s="12"/>
      <c r="K6877" s="5"/>
    </row>
    <row r="6878" spans="6:11" x14ac:dyDescent="0.25">
      <c r="F6878" s="12"/>
      <c r="K6878" s="5"/>
    </row>
    <row r="6879" spans="6:11" x14ac:dyDescent="0.25">
      <c r="F6879" s="12"/>
      <c r="K6879" s="5"/>
    </row>
    <row r="6880" spans="6:11" x14ac:dyDescent="0.25">
      <c r="F6880" s="12"/>
      <c r="K6880" s="5"/>
    </row>
    <row r="6881" spans="6:11" x14ac:dyDescent="0.25">
      <c r="F6881" s="12"/>
      <c r="K6881" s="5"/>
    </row>
    <row r="6882" spans="6:11" x14ac:dyDescent="0.25">
      <c r="F6882" s="12"/>
      <c r="K6882" s="5"/>
    </row>
    <row r="6883" spans="6:11" x14ac:dyDescent="0.25">
      <c r="F6883" s="12"/>
      <c r="K6883" s="5"/>
    </row>
    <row r="6884" spans="6:11" x14ac:dyDescent="0.25">
      <c r="F6884" s="12"/>
      <c r="K6884" s="5"/>
    </row>
    <row r="6885" spans="6:11" x14ac:dyDescent="0.25">
      <c r="F6885" s="12"/>
      <c r="K6885" s="5"/>
    </row>
    <row r="6886" spans="6:11" x14ac:dyDescent="0.25">
      <c r="F6886" s="12"/>
      <c r="K6886" s="5"/>
    </row>
    <row r="6887" spans="6:11" x14ac:dyDescent="0.25">
      <c r="F6887" s="12"/>
      <c r="K6887" s="5"/>
    </row>
    <row r="6888" spans="6:11" x14ac:dyDescent="0.25">
      <c r="F6888" s="12"/>
      <c r="K6888" s="5"/>
    </row>
    <row r="6889" spans="6:11" x14ac:dyDescent="0.25">
      <c r="F6889" s="12"/>
      <c r="K6889" s="5"/>
    </row>
    <row r="6890" spans="6:11" x14ac:dyDescent="0.25">
      <c r="F6890" s="12"/>
      <c r="K6890" s="5"/>
    </row>
    <row r="6891" spans="6:11" x14ac:dyDescent="0.25">
      <c r="F6891" s="12"/>
      <c r="K6891" s="5"/>
    </row>
    <row r="6892" spans="6:11" x14ac:dyDescent="0.25">
      <c r="F6892" s="12"/>
      <c r="K6892" s="5"/>
    </row>
    <row r="6893" spans="6:11" x14ac:dyDescent="0.25">
      <c r="F6893" s="12"/>
      <c r="K6893" s="5"/>
    </row>
    <row r="6894" spans="6:11" x14ac:dyDescent="0.25">
      <c r="F6894" s="12"/>
      <c r="K6894" s="5"/>
    </row>
    <row r="6895" spans="6:11" x14ac:dyDescent="0.25">
      <c r="F6895" s="12"/>
      <c r="K6895" s="5"/>
    </row>
    <row r="6896" spans="6:11" x14ac:dyDescent="0.25">
      <c r="F6896" s="12"/>
      <c r="K6896" s="5"/>
    </row>
    <row r="6897" spans="6:11" x14ac:dyDescent="0.25">
      <c r="F6897" s="12"/>
      <c r="K6897" s="5"/>
    </row>
    <row r="6898" spans="6:11" x14ac:dyDescent="0.25">
      <c r="F6898" s="12"/>
      <c r="K6898" s="5"/>
    </row>
    <row r="6899" spans="6:11" x14ac:dyDescent="0.25">
      <c r="F6899" s="12"/>
      <c r="K6899" s="5"/>
    </row>
    <row r="6900" spans="6:11" x14ac:dyDescent="0.25">
      <c r="F6900" s="12"/>
      <c r="K6900" s="5"/>
    </row>
    <row r="6901" spans="6:11" x14ac:dyDescent="0.25">
      <c r="F6901" s="12"/>
      <c r="K6901" s="5"/>
    </row>
    <row r="6902" spans="6:11" x14ac:dyDescent="0.25">
      <c r="F6902" s="12"/>
      <c r="K6902" s="5"/>
    </row>
    <row r="6903" spans="6:11" x14ac:dyDescent="0.25">
      <c r="F6903" s="12"/>
      <c r="K6903" s="5"/>
    </row>
    <row r="6904" spans="6:11" x14ac:dyDescent="0.25">
      <c r="F6904" s="12"/>
      <c r="K6904" s="5"/>
    </row>
    <row r="6905" spans="6:11" x14ac:dyDescent="0.25">
      <c r="F6905" s="12"/>
      <c r="K6905" s="5"/>
    </row>
    <row r="6906" spans="6:11" x14ac:dyDescent="0.25">
      <c r="F6906" s="12"/>
      <c r="K6906" s="5"/>
    </row>
    <row r="6907" spans="6:11" x14ac:dyDescent="0.25">
      <c r="F6907" s="12"/>
      <c r="K6907" s="5"/>
    </row>
    <row r="6908" spans="6:11" x14ac:dyDescent="0.25">
      <c r="F6908" s="12"/>
      <c r="K6908" s="5"/>
    </row>
    <row r="6909" spans="6:11" x14ac:dyDescent="0.25">
      <c r="F6909" s="12"/>
      <c r="K6909" s="5"/>
    </row>
    <row r="6910" spans="6:11" x14ac:dyDescent="0.25">
      <c r="F6910" s="12"/>
      <c r="K6910" s="5"/>
    </row>
    <row r="6911" spans="6:11" x14ac:dyDescent="0.25">
      <c r="F6911" s="12"/>
      <c r="K6911" s="5"/>
    </row>
    <row r="6912" spans="6:11" x14ac:dyDescent="0.25">
      <c r="F6912" s="12"/>
      <c r="K6912" s="5"/>
    </row>
    <row r="6913" spans="6:11" x14ac:dyDescent="0.25">
      <c r="F6913" s="12"/>
      <c r="K6913" s="5"/>
    </row>
    <row r="6914" spans="6:11" x14ac:dyDescent="0.25">
      <c r="F6914" s="12"/>
      <c r="K6914" s="5"/>
    </row>
    <row r="6915" spans="6:11" x14ac:dyDescent="0.25">
      <c r="F6915" s="12"/>
      <c r="K6915" s="5"/>
    </row>
    <row r="6916" spans="6:11" x14ac:dyDescent="0.25">
      <c r="F6916" s="12"/>
      <c r="K6916" s="5"/>
    </row>
    <row r="6917" spans="6:11" x14ac:dyDescent="0.25">
      <c r="F6917" s="12"/>
      <c r="K6917" s="5"/>
    </row>
    <row r="6918" spans="6:11" x14ac:dyDescent="0.25">
      <c r="F6918" s="12"/>
      <c r="K6918" s="5"/>
    </row>
    <row r="6919" spans="6:11" x14ac:dyDescent="0.25">
      <c r="F6919" s="12"/>
      <c r="K6919" s="5"/>
    </row>
    <row r="6920" spans="6:11" x14ac:dyDescent="0.25">
      <c r="F6920" s="12"/>
      <c r="K6920" s="5"/>
    </row>
    <row r="6921" spans="6:11" x14ac:dyDescent="0.25">
      <c r="F6921" s="12"/>
      <c r="K6921" s="5"/>
    </row>
    <row r="6922" spans="6:11" x14ac:dyDescent="0.25">
      <c r="F6922" s="12"/>
      <c r="K6922" s="5"/>
    </row>
    <row r="6923" spans="6:11" x14ac:dyDescent="0.25">
      <c r="F6923" s="12"/>
      <c r="K6923" s="5"/>
    </row>
    <row r="6924" spans="6:11" x14ac:dyDescent="0.25">
      <c r="F6924" s="12"/>
      <c r="K6924" s="5"/>
    </row>
    <row r="6925" spans="6:11" x14ac:dyDescent="0.25">
      <c r="F6925" s="12"/>
      <c r="K6925" s="5"/>
    </row>
    <row r="6926" spans="6:11" x14ac:dyDescent="0.25">
      <c r="F6926" s="12"/>
      <c r="K6926" s="5"/>
    </row>
    <row r="6927" spans="6:11" x14ac:dyDescent="0.25">
      <c r="F6927" s="12"/>
      <c r="K6927" s="5"/>
    </row>
    <row r="6928" spans="6:11" x14ac:dyDescent="0.25">
      <c r="F6928" s="12"/>
      <c r="K6928" s="5"/>
    </row>
    <row r="6929" spans="6:11" x14ac:dyDescent="0.25">
      <c r="F6929" s="12"/>
      <c r="K6929" s="5"/>
    </row>
    <row r="6930" spans="6:11" x14ac:dyDescent="0.25">
      <c r="F6930" s="12"/>
      <c r="K6930" s="5"/>
    </row>
    <row r="6931" spans="6:11" x14ac:dyDescent="0.25">
      <c r="F6931" s="12"/>
      <c r="K6931" s="5"/>
    </row>
    <row r="6932" spans="6:11" x14ac:dyDescent="0.25">
      <c r="F6932" s="12"/>
      <c r="K6932" s="5"/>
    </row>
    <row r="6933" spans="6:11" x14ac:dyDescent="0.25">
      <c r="F6933" s="12"/>
      <c r="K6933" s="5"/>
    </row>
    <row r="6934" spans="6:11" x14ac:dyDescent="0.25">
      <c r="F6934" s="12"/>
      <c r="K6934" s="5"/>
    </row>
    <row r="6935" spans="6:11" x14ac:dyDescent="0.25">
      <c r="F6935" s="12"/>
      <c r="K6935" s="5"/>
    </row>
    <row r="6936" spans="6:11" x14ac:dyDescent="0.25">
      <c r="F6936" s="12"/>
      <c r="K6936" s="5"/>
    </row>
    <row r="6937" spans="6:11" x14ac:dyDescent="0.25">
      <c r="F6937" s="12"/>
      <c r="K6937" s="5"/>
    </row>
    <row r="6938" spans="6:11" x14ac:dyDescent="0.25">
      <c r="F6938" s="12"/>
      <c r="K6938" s="5"/>
    </row>
    <row r="6939" spans="6:11" x14ac:dyDescent="0.25">
      <c r="F6939" s="12"/>
      <c r="K6939" s="5"/>
    </row>
    <row r="6940" spans="6:11" x14ac:dyDescent="0.25">
      <c r="F6940" s="12"/>
      <c r="K6940" s="5"/>
    </row>
    <row r="6941" spans="6:11" x14ac:dyDescent="0.25">
      <c r="F6941" s="12"/>
      <c r="K6941" s="5"/>
    </row>
    <row r="6942" spans="6:11" x14ac:dyDescent="0.25">
      <c r="F6942" s="12"/>
      <c r="K6942" s="5"/>
    </row>
    <row r="6943" spans="6:11" x14ac:dyDescent="0.25">
      <c r="F6943" s="12"/>
      <c r="K6943" s="5"/>
    </row>
    <row r="6944" spans="6:11" x14ac:dyDescent="0.25">
      <c r="F6944" s="12"/>
      <c r="K6944" s="5"/>
    </row>
    <row r="6945" spans="6:11" x14ac:dyDescent="0.25">
      <c r="F6945" s="12"/>
      <c r="K6945" s="5"/>
    </row>
    <row r="6946" spans="6:11" x14ac:dyDescent="0.25">
      <c r="F6946" s="12"/>
      <c r="K6946" s="5"/>
    </row>
    <row r="6947" spans="6:11" x14ac:dyDescent="0.25">
      <c r="F6947" s="12"/>
      <c r="K6947" s="5"/>
    </row>
    <row r="6948" spans="6:11" x14ac:dyDescent="0.25">
      <c r="F6948" s="12"/>
      <c r="K6948" s="5"/>
    </row>
    <row r="6949" spans="6:11" x14ac:dyDescent="0.25">
      <c r="F6949" s="12"/>
      <c r="K6949" s="5"/>
    </row>
    <row r="6950" spans="6:11" x14ac:dyDescent="0.25">
      <c r="F6950" s="12"/>
      <c r="K6950" s="5"/>
    </row>
    <row r="6951" spans="6:11" x14ac:dyDescent="0.25">
      <c r="F6951" s="12"/>
      <c r="K6951" s="5"/>
    </row>
    <row r="6952" spans="6:11" x14ac:dyDescent="0.25">
      <c r="F6952" s="12"/>
      <c r="K6952" s="5"/>
    </row>
    <row r="6953" spans="6:11" x14ac:dyDescent="0.25">
      <c r="F6953" s="12"/>
      <c r="K6953" s="5"/>
    </row>
    <row r="6954" spans="6:11" x14ac:dyDescent="0.25">
      <c r="F6954" s="12"/>
      <c r="K6954" s="5"/>
    </row>
    <row r="6955" spans="6:11" x14ac:dyDescent="0.25">
      <c r="F6955" s="12"/>
      <c r="K6955" s="5"/>
    </row>
    <row r="6956" spans="6:11" x14ac:dyDescent="0.25">
      <c r="F6956" s="12"/>
      <c r="K6956" s="5"/>
    </row>
    <row r="6957" spans="6:11" x14ac:dyDescent="0.25">
      <c r="F6957" s="12"/>
      <c r="K6957" s="5"/>
    </row>
    <row r="6958" spans="6:11" x14ac:dyDescent="0.25">
      <c r="F6958" s="12"/>
      <c r="K6958" s="5"/>
    </row>
    <row r="6959" spans="6:11" x14ac:dyDescent="0.25">
      <c r="F6959" s="12"/>
      <c r="K6959" s="5"/>
    </row>
    <row r="6960" spans="6:11" x14ac:dyDescent="0.25">
      <c r="F6960" s="12"/>
      <c r="K6960" s="5"/>
    </row>
    <row r="6961" spans="6:11" x14ac:dyDescent="0.25">
      <c r="F6961" s="12"/>
      <c r="K6961" s="5"/>
    </row>
    <row r="6962" spans="6:11" x14ac:dyDescent="0.25">
      <c r="F6962" s="12"/>
      <c r="K6962" s="5"/>
    </row>
    <row r="6963" spans="6:11" x14ac:dyDescent="0.25">
      <c r="F6963" s="12"/>
      <c r="K6963" s="5"/>
    </row>
    <row r="6964" spans="6:11" x14ac:dyDescent="0.25">
      <c r="F6964" s="12"/>
      <c r="K6964" s="5"/>
    </row>
    <row r="6965" spans="6:11" x14ac:dyDescent="0.25">
      <c r="F6965" s="12"/>
      <c r="K6965" s="5"/>
    </row>
    <row r="6966" spans="6:11" x14ac:dyDescent="0.25">
      <c r="F6966" s="12"/>
      <c r="K6966" s="5"/>
    </row>
    <row r="6967" spans="6:11" x14ac:dyDescent="0.25">
      <c r="F6967" s="12"/>
      <c r="K6967" s="5"/>
    </row>
    <row r="6968" spans="6:11" x14ac:dyDescent="0.25">
      <c r="F6968" s="12"/>
      <c r="K6968" s="5"/>
    </row>
    <row r="6969" spans="6:11" x14ac:dyDescent="0.25">
      <c r="F6969" s="12"/>
      <c r="K6969" s="5"/>
    </row>
    <row r="6970" spans="6:11" x14ac:dyDescent="0.25">
      <c r="F6970" s="12"/>
      <c r="K6970" s="5"/>
    </row>
    <row r="6971" spans="6:11" x14ac:dyDescent="0.25">
      <c r="F6971" s="12"/>
      <c r="K6971" s="5"/>
    </row>
    <row r="6972" spans="6:11" x14ac:dyDescent="0.25">
      <c r="F6972" s="12"/>
      <c r="K6972" s="5"/>
    </row>
    <row r="6973" spans="6:11" x14ac:dyDescent="0.25">
      <c r="F6973" s="12"/>
      <c r="K6973" s="5"/>
    </row>
    <row r="6974" spans="6:11" x14ac:dyDescent="0.25">
      <c r="F6974" s="12"/>
      <c r="K6974" s="5"/>
    </row>
    <row r="6975" spans="6:11" x14ac:dyDescent="0.25">
      <c r="F6975" s="12"/>
      <c r="K6975" s="5"/>
    </row>
    <row r="6976" spans="6:11" x14ac:dyDescent="0.25">
      <c r="F6976" s="12"/>
      <c r="K6976" s="5"/>
    </row>
    <row r="6977" spans="6:11" x14ac:dyDescent="0.25">
      <c r="F6977" s="12"/>
      <c r="K6977" s="5"/>
    </row>
    <row r="6978" spans="6:11" x14ac:dyDescent="0.25">
      <c r="F6978" s="12"/>
      <c r="K6978" s="5"/>
    </row>
    <row r="6979" spans="6:11" x14ac:dyDescent="0.25">
      <c r="F6979" s="12"/>
      <c r="K6979" s="5"/>
    </row>
    <row r="6980" spans="6:11" x14ac:dyDescent="0.25">
      <c r="F6980" s="12"/>
      <c r="K6980" s="5"/>
    </row>
    <row r="6981" spans="6:11" x14ac:dyDescent="0.25">
      <c r="F6981" s="12"/>
      <c r="K6981" s="5"/>
    </row>
    <row r="6982" spans="6:11" x14ac:dyDescent="0.25">
      <c r="F6982" s="12"/>
      <c r="K6982" s="5"/>
    </row>
    <row r="6983" spans="6:11" x14ac:dyDescent="0.25">
      <c r="F6983" s="12"/>
      <c r="K6983" s="5"/>
    </row>
    <row r="6984" spans="6:11" x14ac:dyDescent="0.25">
      <c r="F6984" s="12"/>
      <c r="K6984" s="5"/>
    </row>
    <row r="6985" spans="6:11" x14ac:dyDescent="0.25">
      <c r="F6985" s="12"/>
      <c r="K6985" s="5"/>
    </row>
    <row r="6986" spans="6:11" x14ac:dyDescent="0.25">
      <c r="F6986" s="12"/>
      <c r="K6986" s="5"/>
    </row>
    <row r="6987" spans="6:11" x14ac:dyDescent="0.25">
      <c r="F6987" s="12"/>
      <c r="K6987" s="5"/>
    </row>
    <row r="6988" spans="6:11" x14ac:dyDescent="0.25">
      <c r="F6988" s="12"/>
      <c r="K6988" s="5"/>
    </row>
    <row r="6989" spans="6:11" x14ac:dyDescent="0.25">
      <c r="F6989" s="12"/>
      <c r="K6989" s="5"/>
    </row>
    <row r="6990" spans="6:11" x14ac:dyDescent="0.25">
      <c r="F6990" s="12"/>
      <c r="K6990" s="5"/>
    </row>
    <row r="6991" spans="6:11" x14ac:dyDescent="0.25">
      <c r="F6991" s="12"/>
      <c r="K6991" s="5"/>
    </row>
    <row r="6992" spans="6:11" x14ac:dyDescent="0.25">
      <c r="F6992" s="12"/>
      <c r="K6992" s="5"/>
    </row>
    <row r="6993" spans="6:11" x14ac:dyDescent="0.25">
      <c r="F6993" s="12"/>
      <c r="K6993" s="5"/>
    </row>
    <row r="6994" spans="6:11" x14ac:dyDescent="0.25">
      <c r="F6994" s="12"/>
      <c r="K6994" s="5"/>
    </row>
    <row r="6995" spans="6:11" x14ac:dyDescent="0.25">
      <c r="F6995" s="12"/>
      <c r="K6995" s="5"/>
    </row>
    <row r="6996" spans="6:11" x14ac:dyDescent="0.25">
      <c r="F6996" s="12"/>
      <c r="K6996" s="5"/>
    </row>
    <row r="6997" spans="6:11" x14ac:dyDescent="0.25">
      <c r="F6997" s="12"/>
      <c r="K6997" s="5"/>
    </row>
    <row r="6998" spans="6:11" x14ac:dyDescent="0.25">
      <c r="F6998" s="12"/>
      <c r="K6998" s="5"/>
    </row>
    <row r="6999" spans="6:11" x14ac:dyDescent="0.25">
      <c r="F6999" s="12"/>
      <c r="K6999" s="5"/>
    </row>
    <row r="7000" spans="6:11" x14ac:dyDescent="0.25">
      <c r="F7000" s="12"/>
      <c r="K7000" s="5"/>
    </row>
    <row r="7001" spans="6:11" x14ac:dyDescent="0.25">
      <c r="F7001" s="12"/>
      <c r="K7001" s="5"/>
    </row>
    <row r="7002" spans="6:11" x14ac:dyDescent="0.25">
      <c r="F7002" s="12"/>
      <c r="K7002" s="5"/>
    </row>
    <row r="7003" spans="6:11" x14ac:dyDescent="0.25">
      <c r="F7003" s="12"/>
      <c r="K7003" s="5"/>
    </row>
    <row r="7004" spans="6:11" x14ac:dyDescent="0.25">
      <c r="F7004" s="12"/>
      <c r="K7004" s="5"/>
    </row>
    <row r="7005" spans="6:11" x14ac:dyDescent="0.25">
      <c r="F7005" s="12"/>
      <c r="K7005" s="5"/>
    </row>
    <row r="7006" spans="6:11" x14ac:dyDescent="0.25">
      <c r="F7006" s="12"/>
      <c r="K7006" s="5"/>
    </row>
    <row r="7007" spans="6:11" x14ac:dyDescent="0.25">
      <c r="F7007" s="12"/>
      <c r="K7007" s="5"/>
    </row>
    <row r="7008" spans="6:11" x14ac:dyDescent="0.25">
      <c r="F7008" s="12"/>
      <c r="K7008" s="5"/>
    </row>
    <row r="7009" spans="6:11" x14ac:dyDescent="0.25">
      <c r="F7009" s="12"/>
      <c r="K7009" s="5"/>
    </row>
    <row r="7010" spans="6:11" x14ac:dyDescent="0.25">
      <c r="F7010" s="12"/>
      <c r="K7010" s="5"/>
    </row>
    <row r="7011" spans="6:11" x14ac:dyDescent="0.25">
      <c r="F7011" s="12"/>
      <c r="K7011" s="5"/>
    </row>
    <row r="7012" spans="6:11" x14ac:dyDescent="0.25">
      <c r="F7012" s="12"/>
      <c r="K7012" s="5"/>
    </row>
    <row r="7013" spans="6:11" x14ac:dyDescent="0.25">
      <c r="F7013" s="12"/>
      <c r="K7013" s="5"/>
    </row>
    <row r="7014" spans="6:11" x14ac:dyDescent="0.25">
      <c r="F7014" s="12"/>
      <c r="K7014" s="5"/>
    </row>
    <row r="7015" spans="6:11" x14ac:dyDescent="0.25">
      <c r="F7015" s="12"/>
      <c r="K7015" s="5"/>
    </row>
    <row r="7016" spans="6:11" x14ac:dyDescent="0.25">
      <c r="F7016" s="12"/>
      <c r="K7016" s="5"/>
    </row>
    <row r="7017" spans="6:11" x14ac:dyDescent="0.25">
      <c r="F7017" s="12"/>
      <c r="K7017" s="5"/>
    </row>
    <row r="7018" spans="6:11" x14ac:dyDescent="0.25">
      <c r="F7018" s="12"/>
      <c r="K7018" s="5"/>
    </row>
    <row r="7019" spans="6:11" x14ac:dyDescent="0.25">
      <c r="F7019" s="12"/>
      <c r="K7019" s="5"/>
    </row>
    <row r="7020" spans="6:11" x14ac:dyDescent="0.25">
      <c r="F7020" s="12"/>
      <c r="K7020" s="5"/>
    </row>
    <row r="7021" spans="6:11" x14ac:dyDescent="0.25">
      <c r="F7021" s="12"/>
      <c r="K7021" s="5"/>
    </row>
    <row r="7022" spans="6:11" x14ac:dyDescent="0.25">
      <c r="F7022" s="12"/>
      <c r="K7022" s="5"/>
    </row>
    <row r="7023" spans="6:11" x14ac:dyDescent="0.25">
      <c r="F7023" s="12"/>
      <c r="K7023" s="5"/>
    </row>
    <row r="7024" spans="6:11" x14ac:dyDescent="0.25">
      <c r="F7024" s="12"/>
      <c r="K7024" s="5"/>
    </row>
    <row r="7025" spans="6:11" x14ac:dyDescent="0.25">
      <c r="F7025" s="12"/>
      <c r="K7025" s="5"/>
    </row>
    <row r="7026" spans="6:11" x14ac:dyDescent="0.25">
      <c r="F7026" s="12"/>
      <c r="K7026" s="5"/>
    </row>
    <row r="7027" spans="6:11" x14ac:dyDescent="0.25">
      <c r="F7027" s="12"/>
      <c r="K7027" s="5"/>
    </row>
    <row r="7028" spans="6:11" x14ac:dyDescent="0.25">
      <c r="F7028" s="12"/>
      <c r="K7028" s="5"/>
    </row>
    <row r="7029" spans="6:11" x14ac:dyDescent="0.25">
      <c r="F7029" s="12"/>
      <c r="K7029" s="5"/>
    </row>
    <row r="7030" spans="6:11" x14ac:dyDescent="0.25">
      <c r="F7030" s="12"/>
      <c r="K7030" s="5"/>
    </row>
    <row r="7031" spans="6:11" x14ac:dyDescent="0.25">
      <c r="F7031" s="12"/>
      <c r="K7031" s="5"/>
    </row>
    <row r="7032" spans="6:11" x14ac:dyDescent="0.25">
      <c r="F7032" s="12"/>
      <c r="K7032" s="5"/>
    </row>
    <row r="7033" spans="6:11" x14ac:dyDescent="0.25">
      <c r="F7033" s="12"/>
      <c r="K7033" s="5"/>
    </row>
    <row r="7034" spans="6:11" x14ac:dyDescent="0.25">
      <c r="F7034" s="12"/>
      <c r="K7034" s="5"/>
    </row>
    <row r="7035" spans="6:11" x14ac:dyDescent="0.25">
      <c r="F7035" s="12"/>
      <c r="K7035" s="5"/>
    </row>
    <row r="7036" spans="6:11" x14ac:dyDescent="0.25">
      <c r="F7036" s="12"/>
      <c r="K7036" s="5"/>
    </row>
    <row r="7037" spans="6:11" x14ac:dyDescent="0.25">
      <c r="F7037" s="12"/>
      <c r="K7037" s="5"/>
    </row>
    <row r="7038" spans="6:11" x14ac:dyDescent="0.25">
      <c r="F7038" s="12"/>
      <c r="K7038" s="5"/>
    </row>
    <row r="7039" spans="6:11" x14ac:dyDescent="0.25">
      <c r="F7039" s="12"/>
      <c r="K7039" s="5"/>
    </row>
    <row r="7040" spans="6:11" x14ac:dyDescent="0.25">
      <c r="F7040" s="12"/>
      <c r="K7040" s="5"/>
    </row>
    <row r="7041" spans="6:11" x14ac:dyDescent="0.25">
      <c r="F7041" s="12"/>
      <c r="K7041" s="5"/>
    </row>
    <row r="7042" spans="6:11" x14ac:dyDescent="0.25">
      <c r="F7042" s="12"/>
      <c r="K7042" s="5"/>
    </row>
    <row r="7043" spans="6:11" x14ac:dyDescent="0.25">
      <c r="F7043" s="12"/>
      <c r="K7043" s="5"/>
    </row>
    <row r="7044" spans="6:11" x14ac:dyDescent="0.25">
      <c r="F7044" s="12"/>
      <c r="K7044" s="5"/>
    </row>
    <row r="7045" spans="6:11" x14ac:dyDescent="0.25">
      <c r="F7045" s="12"/>
      <c r="K7045" s="5"/>
    </row>
    <row r="7046" spans="6:11" x14ac:dyDescent="0.25">
      <c r="F7046" s="12"/>
      <c r="K7046" s="5"/>
    </row>
    <row r="7047" spans="6:11" x14ac:dyDescent="0.25">
      <c r="F7047" s="12"/>
      <c r="K7047" s="5"/>
    </row>
    <row r="7048" spans="6:11" x14ac:dyDescent="0.25">
      <c r="F7048" s="12"/>
      <c r="K7048" s="5"/>
    </row>
    <row r="7049" spans="6:11" x14ac:dyDescent="0.25">
      <c r="F7049" s="12"/>
      <c r="K7049" s="5"/>
    </row>
    <row r="7050" spans="6:11" x14ac:dyDescent="0.25">
      <c r="F7050" s="12"/>
      <c r="K7050" s="5"/>
    </row>
    <row r="7051" spans="6:11" x14ac:dyDescent="0.25">
      <c r="F7051" s="12"/>
      <c r="K7051" s="5"/>
    </row>
    <row r="7052" spans="6:11" x14ac:dyDescent="0.25">
      <c r="F7052" s="12"/>
      <c r="K7052" s="5"/>
    </row>
    <row r="7053" spans="6:11" x14ac:dyDescent="0.25">
      <c r="F7053" s="12"/>
      <c r="K7053" s="5"/>
    </row>
    <row r="7054" spans="6:11" x14ac:dyDescent="0.25">
      <c r="F7054" s="12"/>
      <c r="K7054" s="5"/>
    </row>
    <row r="7055" spans="6:11" x14ac:dyDescent="0.25">
      <c r="F7055" s="12"/>
      <c r="K7055" s="5"/>
    </row>
    <row r="7056" spans="6:11" x14ac:dyDescent="0.25">
      <c r="F7056" s="12"/>
      <c r="K7056" s="5"/>
    </row>
    <row r="7057" spans="6:11" x14ac:dyDescent="0.25">
      <c r="F7057" s="12"/>
      <c r="K7057" s="5"/>
    </row>
    <row r="7058" spans="6:11" x14ac:dyDescent="0.25">
      <c r="F7058" s="12"/>
      <c r="K7058" s="5"/>
    </row>
    <row r="7059" spans="6:11" x14ac:dyDescent="0.25">
      <c r="F7059" s="12"/>
      <c r="K7059" s="5"/>
    </row>
    <row r="7060" spans="6:11" x14ac:dyDescent="0.25">
      <c r="F7060" s="12"/>
      <c r="K7060" s="5"/>
    </row>
    <row r="7061" spans="6:11" x14ac:dyDescent="0.25">
      <c r="F7061" s="12"/>
      <c r="K7061" s="5"/>
    </row>
    <row r="7062" spans="6:11" x14ac:dyDescent="0.25">
      <c r="F7062" s="12"/>
      <c r="K7062" s="5"/>
    </row>
    <row r="7063" spans="6:11" x14ac:dyDescent="0.25">
      <c r="F7063" s="12"/>
      <c r="K7063" s="5"/>
    </row>
    <row r="7064" spans="6:11" x14ac:dyDescent="0.25">
      <c r="F7064" s="12"/>
      <c r="K7064" s="5"/>
    </row>
    <row r="7065" spans="6:11" x14ac:dyDescent="0.25">
      <c r="F7065" s="12"/>
      <c r="K7065" s="5"/>
    </row>
    <row r="7066" spans="6:11" x14ac:dyDescent="0.25">
      <c r="F7066" s="12"/>
      <c r="K7066" s="5"/>
    </row>
    <row r="7067" spans="6:11" x14ac:dyDescent="0.25">
      <c r="F7067" s="12"/>
      <c r="K7067" s="5"/>
    </row>
    <row r="7068" spans="6:11" x14ac:dyDescent="0.25">
      <c r="F7068" s="12"/>
      <c r="K7068" s="5"/>
    </row>
    <row r="7069" spans="6:11" x14ac:dyDescent="0.25">
      <c r="F7069" s="12"/>
      <c r="K7069" s="5"/>
    </row>
    <row r="7070" spans="6:11" x14ac:dyDescent="0.25">
      <c r="F7070" s="12"/>
      <c r="K7070" s="5"/>
    </row>
    <row r="7071" spans="6:11" x14ac:dyDescent="0.25">
      <c r="F7071" s="12"/>
      <c r="K7071" s="5"/>
    </row>
    <row r="7072" spans="6:11" x14ac:dyDescent="0.25">
      <c r="F7072" s="12"/>
      <c r="K7072" s="5"/>
    </row>
    <row r="7073" spans="6:11" x14ac:dyDescent="0.25">
      <c r="F7073" s="12"/>
      <c r="K7073" s="5"/>
    </row>
    <row r="7074" spans="6:11" x14ac:dyDescent="0.25">
      <c r="F7074" s="12"/>
      <c r="K7074" s="5"/>
    </row>
    <row r="7075" spans="6:11" x14ac:dyDescent="0.25">
      <c r="F7075" s="12"/>
      <c r="K7075" s="5"/>
    </row>
    <row r="7076" spans="6:11" x14ac:dyDescent="0.25">
      <c r="F7076" s="12"/>
      <c r="K7076" s="5"/>
    </row>
    <row r="7077" spans="6:11" x14ac:dyDescent="0.25">
      <c r="F7077" s="12"/>
      <c r="K7077" s="5"/>
    </row>
    <row r="7078" spans="6:11" x14ac:dyDescent="0.25">
      <c r="F7078" s="12"/>
      <c r="K7078" s="5"/>
    </row>
    <row r="7079" spans="6:11" x14ac:dyDescent="0.25">
      <c r="F7079" s="12"/>
      <c r="K7079" s="5"/>
    </row>
    <row r="7080" spans="6:11" x14ac:dyDescent="0.25">
      <c r="F7080" s="12"/>
      <c r="K7080" s="5"/>
    </row>
    <row r="7081" spans="6:11" x14ac:dyDescent="0.25">
      <c r="F7081" s="12"/>
      <c r="K7081" s="5"/>
    </row>
    <row r="7082" spans="6:11" x14ac:dyDescent="0.25">
      <c r="F7082" s="12"/>
      <c r="K7082" s="5"/>
    </row>
    <row r="7083" spans="6:11" x14ac:dyDescent="0.25">
      <c r="F7083" s="12"/>
      <c r="K7083" s="5"/>
    </row>
    <row r="7084" spans="6:11" x14ac:dyDescent="0.25">
      <c r="F7084" s="12"/>
      <c r="K7084" s="5"/>
    </row>
    <row r="7085" spans="6:11" x14ac:dyDescent="0.25">
      <c r="F7085" s="12"/>
      <c r="K7085" s="5"/>
    </row>
    <row r="7086" spans="6:11" x14ac:dyDescent="0.25">
      <c r="F7086" s="12"/>
      <c r="K7086" s="5"/>
    </row>
    <row r="7087" spans="6:11" x14ac:dyDescent="0.25">
      <c r="F7087" s="12"/>
      <c r="K7087" s="5"/>
    </row>
    <row r="7088" spans="6:11" x14ac:dyDescent="0.25">
      <c r="F7088" s="12"/>
      <c r="K7088" s="5"/>
    </row>
    <row r="7089" spans="6:11" x14ac:dyDescent="0.25">
      <c r="F7089" s="12"/>
      <c r="K7089" s="5"/>
    </row>
  </sheetData>
  <phoneticPr fontId="1" type="noConversion"/>
  <pageMargins left="0.75" right="0.75" top="1" bottom="1" header="0.5" footer="0.5"/>
  <pageSetup paperSize="9" orientation="landscape" r:id="rId1"/>
  <headerFooter alignWithMargins="0">
    <oddHeader>&amp;C&amp;"Calibri"&amp;10&amp;K000000OFFICIAL&amp;1#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"/>
  <sheetViews>
    <sheetView workbookViewId="0">
      <selection activeCell="B15" sqref="B15"/>
    </sheetView>
  </sheetViews>
  <sheetFormatPr defaultRowHeight="12.5" x14ac:dyDescent="0.25"/>
  <sheetData/>
  <phoneticPr fontId="1" type="noConversion"/>
  <pageMargins left="0.75" right="0.75" top="1" bottom="1" header="0.5" footer="0.5"/>
  <pageSetup paperSize="9" orientation="portrait" r:id="rId1"/>
  <headerFooter alignWithMargins="0">
    <oddHeader>&amp;C&amp;"Calibri"&amp;10&amp;K000000OFFICIAL&amp;1#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1103"/>
  <sheetViews>
    <sheetView topLeftCell="A1037" workbookViewId="0">
      <selection activeCell="A1062" sqref="A1062"/>
    </sheetView>
  </sheetViews>
  <sheetFormatPr defaultColWidth="9.1796875" defaultRowHeight="12.5" x14ac:dyDescent="0.25"/>
  <cols>
    <col min="1" max="17" width="8.81640625" customWidth="1"/>
  </cols>
  <sheetData>
    <row r="1" spans="1:18" ht="13" x14ac:dyDescent="0.3">
      <c r="A1" s="11" t="s">
        <v>2011</v>
      </c>
    </row>
    <row r="2" spans="1:18" ht="13" x14ac:dyDescent="0.3">
      <c r="A2" s="11"/>
    </row>
    <row r="3" spans="1:18" x14ac:dyDescent="0.25">
      <c r="A3" t="s">
        <v>1585</v>
      </c>
      <c r="B3" t="s">
        <v>1585</v>
      </c>
      <c r="C3" t="s">
        <v>1585</v>
      </c>
      <c r="D3" t="s">
        <v>1583</v>
      </c>
      <c r="E3" t="s">
        <v>1586</v>
      </c>
      <c r="F3" t="s">
        <v>1573</v>
      </c>
      <c r="G3" t="s">
        <v>1570</v>
      </c>
      <c r="H3" t="s">
        <v>1581</v>
      </c>
      <c r="I3" t="s">
        <v>1575</v>
      </c>
      <c r="J3" t="s">
        <v>1579</v>
      </c>
      <c r="K3" t="s">
        <v>1582</v>
      </c>
      <c r="L3" t="s">
        <v>1580</v>
      </c>
      <c r="M3" t="s">
        <v>1584</v>
      </c>
      <c r="N3" t="s">
        <v>1587</v>
      </c>
      <c r="O3" t="s">
        <v>1574</v>
      </c>
      <c r="P3" t="s">
        <v>1576</v>
      </c>
      <c r="Q3" t="s">
        <v>1577</v>
      </c>
      <c r="R3" t="s">
        <v>1578</v>
      </c>
    </row>
    <row r="4" spans="1:18" x14ac:dyDescent="0.25">
      <c r="A4" t="s">
        <v>1588</v>
      </c>
      <c r="B4" t="s">
        <v>1568</v>
      </c>
      <c r="C4" t="s">
        <v>1589</v>
      </c>
      <c r="D4" t="s">
        <v>1590</v>
      </c>
      <c r="E4" t="s">
        <v>1590</v>
      </c>
      <c r="F4" t="s">
        <v>1590</v>
      </c>
      <c r="G4" t="s">
        <v>1590</v>
      </c>
      <c r="H4" t="s">
        <v>1590</v>
      </c>
      <c r="I4" t="s">
        <v>1590</v>
      </c>
      <c r="J4" t="s">
        <v>1590</v>
      </c>
      <c r="K4" t="s">
        <v>1590</v>
      </c>
      <c r="L4" t="s">
        <v>1590</v>
      </c>
      <c r="M4" t="s">
        <v>1591</v>
      </c>
      <c r="N4" t="s">
        <v>1592</v>
      </c>
      <c r="O4" t="s">
        <v>1590</v>
      </c>
      <c r="P4" t="s">
        <v>1590</v>
      </c>
      <c r="Q4" t="s">
        <v>1593</v>
      </c>
      <c r="R4" t="s">
        <v>1593</v>
      </c>
    </row>
    <row r="5" spans="1:18" x14ac:dyDescent="0.25">
      <c r="A5">
        <v>140</v>
      </c>
      <c r="B5">
        <v>0.21</v>
      </c>
      <c r="C5">
        <f>ROUNDDOWN(0.00954545454545454,0)</f>
        <v>0</v>
      </c>
      <c r="D5">
        <v>1.7</v>
      </c>
      <c r="F5">
        <v>0.14000000000000001</v>
      </c>
      <c r="G5">
        <v>-1.19</v>
      </c>
      <c r="H5">
        <v>0.06</v>
      </c>
      <c r="I5">
        <v>3.59</v>
      </c>
      <c r="J5">
        <v>1.43</v>
      </c>
      <c r="K5">
        <v>-1.57</v>
      </c>
      <c r="L5">
        <v>-0.13</v>
      </c>
      <c r="M5">
        <v>54.16</v>
      </c>
      <c r="O5">
        <v>1.78</v>
      </c>
      <c r="P5">
        <v>0.63</v>
      </c>
      <c r="Q5">
        <v>0</v>
      </c>
      <c r="R5">
        <v>0</v>
      </c>
    </row>
    <row r="6" spans="1:18" x14ac:dyDescent="0.25">
      <c r="A6">
        <v>140</v>
      </c>
      <c r="B6">
        <v>0.42</v>
      </c>
      <c r="C6">
        <f>ROUNDDOWN(0.0190909090909091,0)</f>
        <v>0</v>
      </c>
      <c r="D6">
        <v>1.52</v>
      </c>
      <c r="F6">
        <v>0.27</v>
      </c>
      <c r="G6">
        <v>-1.07</v>
      </c>
      <c r="H6">
        <v>-7.0000000000000007E-2</v>
      </c>
      <c r="I6">
        <v>3.59</v>
      </c>
      <c r="J6">
        <v>1.36</v>
      </c>
      <c r="K6">
        <v>-1.67</v>
      </c>
      <c r="L6">
        <v>-0.36</v>
      </c>
      <c r="M6">
        <v>54.16</v>
      </c>
      <c r="O6">
        <v>1.79</v>
      </c>
      <c r="P6">
        <v>0.64</v>
      </c>
      <c r="Q6">
        <v>0</v>
      </c>
      <c r="R6">
        <v>0</v>
      </c>
    </row>
    <row r="7" spans="1:18" x14ac:dyDescent="0.25">
      <c r="A7">
        <v>140</v>
      </c>
      <c r="B7">
        <v>0.63</v>
      </c>
      <c r="C7">
        <f>ROUNDDOWN(0.0286363636363636,0)</f>
        <v>0</v>
      </c>
      <c r="D7">
        <v>1.37</v>
      </c>
      <c r="F7">
        <v>0.43</v>
      </c>
      <c r="G7">
        <v>-0.91</v>
      </c>
      <c r="H7">
        <v>-0.11</v>
      </c>
      <c r="I7">
        <v>3.58</v>
      </c>
      <c r="J7">
        <v>1.3</v>
      </c>
      <c r="K7">
        <v>-1.66</v>
      </c>
      <c r="L7">
        <v>-0.51</v>
      </c>
      <c r="M7">
        <v>54.16</v>
      </c>
      <c r="O7">
        <v>1.8</v>
      </c>
      <c r="P7">
        <v>0.64</v>
      </c>
      <c r="Q7">
        <v>0</v>
      </c>
      <c r="R7">
        <v>0</v>
      </c>
    </row>
    <row r="8" spans="1:18" x14ac:dyDescent="0.25">
      <c r="A8">
        <v>140</v>
      </c>
      <c r="B8">
        <v>0.84</v>
      </c>
      <c r="C8">
        <f>ROUNDDOWN(0.0381818181818182,0)</f>
        <v>0</v>
      </c>
      <c r="D8">
        <v>1.23</v>
      </c>
      <c r="F8">
        <v>0.56000000000000005</v>
      </c>
      <c r="G8">
        <v>-0.77</v>
      </c>
      <c r="H8">
        <v>-0.18</v>
      </c>
      <c r="I8">
        <v>3.49</v>
      </c>
      <c r="J8">
        <v>1.25</v>
      </c>
      <c r="K8">
        <v>-1.65</v>
      </c>
      <c r="L8">
        <v>-0.72</v>
      </c>
      <c r="M8">
        <v>54.16</v>
      </c>
      <c r="O8">
        <v>1.8</v>
      </c>
      <c r="P8">
        <v>0.65</v>
      </c>
      <c r="Q8">
        <v>0</v>
      </c>
      <c r="R8">
        <v>0</v>
      </c>
    </row>
    <row r="9" spans="1:18" x14ac:dyDescent="0.25">
      <c r="A9">
        <v>140</v>
      </c>
      <c r="B9">
        <v>1.05</v>
      </c>
      <c r="C9">
        <f>ROUNDDOWN(0.0477272727272727,0)</f>
        <v>0</v>
      </c>
      <c r="D9">
        <v>1.1499999999999999</v>
      </c>
      <c r="F9">
        <v>0.64</v>
      </c>
      <c r="G9">
        <v>-0.67</v>
      </c>
      <c r="H9">
        <v>-0.36</v>
      </c>
      <c r="I9">
        <v>3.37</v>
      </c>
      <c r="J9">
        <v>1.2</v>
      </c>
      <c r="K9">
        <v>-1.74</v>
      </c>
      <c r="L9">
        <v>-1.03</v>
      </c>
      <c r="M9">
        <v>54.16</v>
      </c>
      <c r="O9">
        <v>1.81</v>
      </c>
      <c r="P9">
        <v>0.66</v>
      </c>
      <c r="Q9">
        <v>0</v>
      </c>
      <c r="R9">
        <v>0</v>
      </c>
    </row>
    <row r="10" spans="1:18" x14ac:dyDescent="0.25">
      <c r="A10">
        <v>140</v>
      </c>
      <c r="B10">
        <v>1.26</v>
      </c>
      <c r="C10">
        <f>ROUNDDOWN(0.0572727272727273,0)</f>
        <v>0</v>
      </c>
      <c r="D10">
        <v>1.1299999999999999</v>
      </c>
      <c r="F10">
        <v>0.69</v>
      </c>
      <c r="G10">
        <v>-0.61</v>
      </c>
      <c r="H10">
        <v>-0.47</v>
      </c>
      <c r="I10">
        <v>3.33</v>
      </c>
      <c r="J10">
        <v>1.1599999999999999</v>
      </c>
      <c r="K10">
        <v>-1.79</v>
      </c>
      <c r="L10">
        <v>-1.23</v>
      </c>
      <c r="M10">
        <v>54.16</v>
      </c>
      <c r="O10">
        <v>1.81</v>
      </c>
      <c r="P10">
        <v>0.66</v>
      </c>
      <c r="Q10">
        <v>0</v>
      </c>
      <c r="R10">
        <v>0</v>
      </c>
    </row>
    <row r="11" spans="1:18" x14ac:dyDescent="0.25">
      <c r="A11">
        <v>140</v>
      </c>
      <c r="B11">
        <v>1.47</v>
      </c>
      <c r="C11">
        <f>ROUNDDOWN(0.0668181818181818,0)</f>
        <v>0</v>
      </c>
      <c r="D11">
        <v>1.19</v>
      </c>
      <c r="F11">
        <v>0.72</v>
      </c>
      <c r="G11">
        <v>-0.55000000000000004</v>
      </c>
      <c r="H11">
        <v>-0.43</v>
      </c>
      <c r="I11">
        <v>3.4</v>
      </c>
      <c r="J11">
        <v>1.1299999999999999</v>
      </c>
      <c r="K11">
        <v>-1.74</v>
      </c>
      <c r="L11">
        <v>-1.2</v>
      </c>
      <c r="M11">
        <v>54.16</v>
      </c>
      <c r="O11">
        <v>1.82</v>
      </c>
      <c r="P11">
        <v>0.67</v>
      </c>
      <c r="Q11">
        <v>0</v>
      </c>
      <c r="R11">
        <v>0</v>
      </c>
    </row>
    <row r="12" spans="1:18" x14ac:dyDescent="0.25">
      <c r="A12">
        <v>140</v>
      </c>
      <c r="B12">
        <v>1.68</v>
      </c>
      <c r="C12">
        <f>ROUNDDOWN(0.0763636363636364,0)</f>
        <v>0</v>
      </c>
      <c r="D12">
        <v>1.29</v>
      </c>
      <c r="F12">
        <v>0.76</v>
      </c>
      <c r="G12">
        <v>-0.49</v>
      </c>
      <c r="H12">
        <v>-0.3</v>
      </c>
      <c r="I12">
        <v>3.56</v>
      </c>
      <c r="J12">
        <v>1.1100000000000001</v>
      </c>
      <c r="K12">
        <v>-1.65</v>
      </c>
      <c r="L12">
        <v>-1.05</v>
      </c>
      <c r="M12">
        <v>54.16</v>
      </c>
      <c r="O12">
        <v>1.83</v>
      </c>
      <c r="P12">
        <v>0.68</v>
      </c>
      <c r="Q12">
        <v>0</v>
      </c>
      <c r="R12">
        <v>0</v>
      </c>
    </row>
    <row r="13" spans="1:18" x14ac:dyDescent="0.25">
      <c r="A13">
        <v>140</v>
      </c>
      <c r="B13">
        <v>1.89</v>
      </c>
      <c r="C13">
        <f>ROUNDDOWN(0.0859090909090909,0)</f>
        <v>0</v>
      </c>
      <c r="D13">
        <v>1.35</v>
      </c>
      <c r="F13">
        <v>0.75</v>
      </c>
      <c r="G13">
        <v>-0.47</v>
      </c>
      <c r="H13">
        <v>-0.26</v>
      </c>
      <c r="I13">
        <v>3.74</v>
      </c>
      <c r="J13">
        <v>1.1000000000000001</v>
      </c>
      <c r="K13">
        <v>-1.66</v>
      </c>
      <c r="L13">
        <v>-0.98</v>
      </c>
      <c r="M13">
        <v>54.16</v>
      </c>
      <c r="O13">
        <v>1.83</v>
      </c>
      <c r="P13">
        <v>0.69</v>
      </c>
      <c r="Q13">
        <v>0</v>
      </c>
      <c r="R13">
        <v>0</v>
      </c>
    </row>
    <row r="14" spans="1:18" x14ac:dyDescent="0.25">
      <c r="A14">
        <v>140</v>
      </c>
      <c r="B14">
        <v>2.1</v>
      </c>
      <c r="C14">
        <f>ROUNDDOWN(0.0954545454545455,0)</f>
        <v>0</v>
      </c>
      <c r="D14">
        <v>1.34</v>
      </c>
      <c r="F14">
        <v>0.76</v>
      </c>
      <c r="G14">
        <v>-0.44</v>
      </c>
      <c r="H14">
        <v>-0.21</v>
      </c>
      <c r="I14">
        <v>3.92</v>
      </c>
      <c r="J14">
        <v>1.0900000000000001</v>
      </c>
      <c r="K14">
        <v>-1.65</v>
      </c>
      <c r="L14">
        <v>-0.92</v>
      </c>
      <c r="M14">
        <v>54.16</v>
      </c>
      <c r="O14">
        <v>1.84</v>
      </c>
      <c r="P14">
        <v>0.69</v>
      </c>
      <c r="Q14">
        <v>0</v>
      </c>
      <c r="R14">
        <v>0</v>
      </c>
    </row>
    <row r="15" spans="1:18" x14ac:dyDescent="0.25">
      <c r="A15">
        <v>140</v>
      </c>
      <c r="B15">
        <v>2.31</v>
      </c>
      <c r="C15">
        <f>ROUNDDOWN(0.105,0)</f>
        <v>0</v>
      </c>
      <c r="D15">
        <v>1.18</v>
      </c>
      <c r="F15">
        <v>0.76</v>
      </c>
      <c r="G15">
        <v>-0.42</v>
      </c>
      <c r="H15">
        <v>-0.05</v>
      </c>
      <c r="I15">
        <v>4.05</v>
      </c>
      <c r="J15">
        <v>1.0900000000000001</v>
      </c>
      <c r="K15">
        <v>-1.51</v>
      </c>
      <c r="L15">
        <v>-0.77</v>
      </c>
      <c r="M15">
        <v>54.16</v>
      </c>
      <c r="O15">
        <v>1.85</v>
      </c>
      <c r="P15">
        <v>0.7</v>
      </c>
      <c r="Q15">
        <v>0</v>
      </c>
      <c r="R15">
        <v>0</v>
      </c>
    </row>
    <row r="16" spans="1:18" x14ac:dyDescent="0.25">
      <c r="A16">
        <v>140</v>
      </c>
      <c r="B16">
        <v>2.52</v>
      </c>
      <c r="C16">
        <f>ROUNDDOWN(0.114545454545455,0)</f>
        <v>0</v>
      </c>
      <c r="D16">
        <v>1</v>
      </c>
      <c r="F16">
        <v>0.76</v>
      </c>
      <c r="G16">
        <v>-0.39</v>
      </c>
      <c r="H16">
        <v>0.12</v>
      </c>
      <c r="I16">
        <v>4.1500000000000004</v>
      </c>
      <c r="J16">
        <v>1.0900000000000001</v>
      </c>
      <c r="K16">
        <v>-1.34</v>
      </c>
      <c r="L16">
        <v>-0.63</v>
      </c>
      <c r="M16">
        <v>54.16</v>
      </c>
      <c r="O16">
        <v>1.85</v>
      </c>
      <c r="P16">
        <v>0.71</v>
      </c>
      <c r="Q16">
        <v>0</v>
      </c>
      <c r="R16">
        <v>0</v>
      </c>
    </row>
    <row r="17" spans="1:18" x14ac:dyDescent="0.25">
      <c r="A17">
        <v>140</v>
      </c>
      <c r="B17">
        <v>2.73</v>
      </c>
      <c r="C17">
        <f>ROUNDDOWN(0.124090909090909,0)</f>
        <v>0</v>
      </c>
      <c r="D17">
        <v>0.82</v>
      </c>
      <c r="F17">
        <v>0.78</v>
      </c>
      <c r="G17">
        <v>-0.33</v>
      </c>
      <c r="H17">
        <v>0.28000000000000003</v>
      </c>
      <c r="I17">
        <v>4.25</v>
      </c>
      <c r="J17">
        <v>1.0900000000000001</v>
      </c>
      <c r="K17">
        <v>-1.18</v>
      </c>
      <c r="L17">
        <v>-0.52</v>
      </c>
      <c r="M17">
        <v>54.16</v>
      </c>
      <c r="O17">
        <v>1.86</v>
      </c>
      <c r="P17">
        <v>0.71</v>
      </c>
      <c r="Q17">
        <v>0</v>
      </c>
      <c r="R17">
        <v>0</v>
      </c>
    </row>
    <row r="18" spans="1:18" x14ac:dyDescent="0.25">
      <c r="A18">
        <v>140</v>
      </c>
      <c r="B18">
        <v>2.94</v>
      </c>
      <c r="C18">
        <f>ROUNDDOWN(0.133636363636364,0)</f>
        <v>0</v>
      </c>
      <c r="D18">
        <v>0.66</v>
      </c>
      <c r="F18">
        <v>0.8</v>
      </c>
      <c r="G18">
        <v>-0.28000000000000003</v>
      </c>
      <c r="H18">
        <v>0.38</v>
      </c>
      <c r="I18">
        <v>4.26</v>
      </c>
      <c r="J18">
        <v>1.08</v>
      </c>
      <c r="K18">
        <v>-1.05</v>
      </c>
      <c r="L18">
        <v>-0.5</v>
      </c>
      <c r="M18">
        <v>54.17</v>
      </c>
      <c r="O18">
        <v>1.87</v>
      </c>
      <c r="P18">
        <v>0.72</v>
      </c>
      <c r="Q18">
        <v>0</v>
      </c>
      <c r="R18">
        <v>0</v>
      </c>
    </row>
    <row r="19" spans="1:18" x14ac:dyDescent="0.25">
      <c r="A19">
        <v>140</v>
      </c>
      <c r="B19">
        <v>3.15</v>
      </c>
      <c r="C19">
        <f>ROUNDDOWN(0.143181818181818,0)</f>
        <v>0</v>
      </c>
      <c r="D19">
        <v>0.53</v>
      </c>
      <c r="F19">
        <v>0.87</v>
      </c>
      <c r="G19">
        <v>-0.17</v>
      </c>
      <c r="H19">
        <v>0.49</v>
      </c>
      <c r="I19">
        <v>4.1500000000000004</v>
      </c>
      <c r="J19">
        <v>1.07</v>
      </c>
      <c r="K19">
        <v>-0.85</v>
      </c>
      <c r="L19">
        <v>-0.53</v>
      </c>
      <c r="M19">
        <v>54.17</v>
      </c>
      <c r="O19">
        <v>1.87</v>
      </c>
      <c r="P19">
        <v>0.72</v>
      </c>
      <c r="Q19">
        <v>0</v>
      </c>
      <c r="R19">
        <v>0</v>
      </c>
    </row>
    <row r="20" spans="1:18" x14ac:dyDescent="0.25">
      <c r="A20">
        <v>140</v>
      </c>
      <c r="B20">
        <v>3.36</v>
      </c>
      <c r="C20">
        <f>ROUNDDOWN(0.152727272727273,0)</f>
        <v>0</v>
      </c>
      <c r="D20">
        <v>0.31</v>
      </c>
      <c r="F20">
        <v>0.96</v>
      </c>
      <c r="G20">
        <v>-0.04</v>
      </c>
      <c r="H20">
        <v>0.46</v>
      </c>
      <c r="I20">
        <v>3.9</v>
      </c>
      <c r="J20">
        <v>1.05</v>
      </c>
      <c r="K20">
        <v>-0.75</v>
      </c>
      <c r="L20">
        <v>-0.77</v>
      </c>
      <c r="M20">
        <v>54.17</v>
      </c>
      <c r="O20">
        <v>1.88</v>
      </c>
      <c r="P20">
        <v>0.72</v>
      </c>
      <c r="Q20">
        <v>0</v>
      </c>
      <c r="R20">
        <v>0</v>
      </c>
    </row>
    <row r="21" spans="1:18" x14ac:dyDescent="0.25">
      <c r="A21">
        <v>140</v>
      </c>
      <c r="B21">
        <v>3.57</v>
      </c>
      <c r="C21">
        <f>ROUNDDOWN(0.162272727272727,0)</f>
        <v>0</v>
      </c>
      <c r="D21">
        <v>0.14000000000000001</v>
      </c>
      <c r="F21">
        <v>1.06</v>
      </c>
      <c r="G21">
        <v>0.1</v>
      </c>
      <c r="H21">
        <v>0.51</v>
      </c>
      <c r="I21">
        <v>3.74</v>
      </c>
      <c r="J21">
        <v>1.04</v>
      </c>
      <c r="K21">
        <v>-0.61</v>
      </c>
      <c r="L21">
        <v>-0.86</v>
      </c>
      <c r="M21">
        <v>54.17</v>
      </c>
      <c r="O21">
        <v>1.88</v>
      </c>
      <c r="P21">
        <v>0.73</v>
      </c>
      <c r="Q21">
        <v>0</v>
      </c>
      <c r="R21">
        <v>0</v>
      </c>
    </row>
    <row r="22" spans="1:18" x14ac:dyDescent="0.25">
      <c r="A22">
        <v>140</v>
      </c>
      <c r="B22">
        <v>3.78</v>
      </c>
      <c r="C22">
        <f>ROUNDDOWN(0.171818181818182,0)</f>
        <v>0</v>
      </c>
      <c r="D22">
        <v>0.09</v>
      </c>
      <c r="F22">
        <v>1.1100000000000001</v>
      </c>
      <c r="G22">
        <v>0.2</v>
      </c>
      <c r="H22">
        <v>0.56999999999999995</v>
      </c>
      <c r="I22">
        <v>3.67</v>
      </c>
      <c r="J22">
        <v>1.04</v>
      </c>
      <c r="K22">
        <v>-0.52</v>
      </c>
      <c r="L22">
        <v>-0.89</v>
      </c>
      <c r="M22">
        <v>54.17</v>
      </c>
      <c r="O22">
        <v>1.89</v>
      </c>
      <c r="P22">
        <v>0.73</v>
      </c>
      <c r="Q22">
        <v>0</v>
      </c>
      <c r="R22">
        <v>0</v>
      </c>
    </row>
    <row r="23" spans="1:18" x14ac:dyDescent="0.25">
      <c r="A23">
        <v>140</v>
      </c>
      <c r="B23">
        <v>3.9899999999999998</v>
      </c>
      <c r="C23">
        <f>ROUNDDOWN(0.181363636363636,0)</f>
        <v>0</v>
      </c>
      <c r="D23">
        <v>0.19</v>
      </c>
      <c r="F23">
        <v>1.1200000000000001</v>
      </c>
      <c r="G23">
        <v>0.26</v>
      </c>
      <c r="H23">
        <v>0.55000000000000004</v>
      </c>
      <c r="I23">
        <v>3.69</v>
      </c>
      <c r="J23">
        <v>1.04</v>
      </c>
      <c r="K23">
        <v>-0.55000000000000004</v>
      </c>
      <c r="L23">
        <v>-0.96</v>
      </c>
      <c r="M23">
        <v>54.17</v>
      </c>
      <c r="O23">
        <v>1.9</v>
      </c>
      <c r="P23">
        <v>0.74</v>
      </c>
      <c r="Q23">
        <v>0</v>
      </c>
      <c r="R23">
        <v>0</v>
      </c>
    </row>
    <row r="24" spans="1:18" x14ac:dyDescent="0.25">
      <c r="A24">
        <v>140</v>
      </c>
      <c r="B24">
        <v>4.2</v>
      </c>
      <c r="C24">
        <f>ROUNDDOWN(0.190909090909091,0)</f>
        <v>0</v>
      </c>
      <c r="D24">
        <v>0.51</v>
      </c>
      <c r="F24">
        <v>1.1100000000000001</v>
      </c>
      <c r="G24">
        <v>0.31</v>
      </c>
      <c r="H24">
        <v>0.28000000000000003</v>
      </c>
      <c r="I24">
        <v>3.88</v>
      </c>
      <c r="J24">
        <v>1.05</v>
      </c>
      <c r="K24">
        <v>-0.91</v>
      </c>
      <c r="L24">
        <v>-1.17</v>
      </c>
      <c r="M24">
        <v>54.17</v>
      </c>
      <c r="O24">
        <v>1.9</v>
      </c>
      <c r="P24">
        <v>0.74</v>
      </c>
      <c r="Q24">
        <v>0</v>
      </c>
      <c r="R24">
        <v>0</v>
      </c>
    </row>
    <row r="25" spans="1:18" x14ac:dyDescent="0.25">
      <c r="A25">
        <v>140</v>
      </c>
      <c r="B25">
        <v>4.41</v>
      </c>
      <c r="C25">
        <f>ROUNDDOWN(0.200454545454545,0)</f>
        <v>0</v>
      </c>
      <c r="D25">
        <v>0.83</v>
      </c>
      <c r="F25">
        <v>1.06</v>
      </c>
      <c r="G25">
        <v>0.31</v>
      </c>
      <c r="H25">
        <v>0.08</v>
      </c>
      <c r="I25">
        <v>4.17</v>
      </c>
      <c r="J25">
        <v>1.08</v>
      </c>
      <c r="K25">
        <v>-1.21</v>
      </c>
      <c r="L25">
        <v>-1.27</v>
      </c>
      <c r="M25">
        <v>54.17</v>
      </c>
      <c r="O25">
        <v>1.91</v>
      </c>
      <c r="P25">
        <v>0.75</v>
      </c>
      <c r="Q25">
        <v>0</v>
      </c>
      <c r="R25">
        <v>0</v>
      </c>
    </row>
    <row r="26" spans="1:18" x14ac:dyDescent="0.25">
      <c r="A26">
        <v>140</v>
      </c>
      <c r="B26">
        <v>4.62</v>
      </c>
      <c r="C26">
        <f>ROUNDDOWN(0.21,0)</f>
        <v>0</v>
      </c>
      <c r="D26">
        <v>1.07</v>
      </c>
      <c r="F26">
        <v>1</v>
      </c>
      <c r="G26">
        <v>0.31</v>
      </c>
      <c r="H26">
        <v>0.09</v>
      </c>
      <c r="I26">
        <v>4.47</v>
      </c>
      <c r="J26">
        <v>1.1299999999999999</v>
      </c>
      <c r="K26">
        <v>-1.32</v>
      </c>
      <c r="L26">
        <v>-1.1599999999999999</v>
      </c>
      <c r="M26">
        <v>54.17</v>
      </c>
      <c r="O26">
        <v>1.91</v>
      </c>
      <c r="P26">
        <v>0.75</v>
      </c>
      <c r="Q26">
        <v>0</v>
      </c>
      <c r="R26">
        <v>0</v>
      </c>
    </row>
    <row r="27" spans="1:18" x14ac:dyDescent="0.25">
      <c r="A27">
        <v>140</v>
      </c>
      <c r="B27">
        <v>4.83</v>
      </c>
      <c r="C27">
        <f>ROUNDDOWN(0.219545454545455,0)</f>
        <v>0</v>
      </c>
      <c r="D27">
        <v>1.1100000000000001</v>
      </c>
      <c r="F27">
        <v>0.9</v>
      </c>
      <c r="G27">
        <v>0.27</v>
      </c>
      <c r="H27">
        <v>0.11</v>
      </c>
      <c r="I27">
        <v>4.67</v>
      </c>
      <c r="J27">
        <v>1.21</v>
      </c>
      <c r="K27">
        <v>-1.33</v>
      </c>
      <c r="L27">
        <v>-1.08</v>
      </c>
      <c r="M27">
        <v>54.17</v>
      </c>
      <c r="O27">
        <v>1.92</v>
      </c>
      <c r="P27">
        <v>0.76</v>
      </c>
      <c r="Q27">
        <v>0</v>
      </c>
      <c r="R27">
        <v>0</v>
      </c>
    </row>
    <row r="28" spans="1:18" x14ac:dyDescent="0.25">
      <c r="A28">
        <v>140</v>
      </c>
      <c r="B28">
        <v>5.04</v>
      </c>
      <c r="C28">
        <f>ROUNDDOWN(0.229090909090909,0)</f>
        <v>0</v>
      </c>
      <c r="D28">
        <v>1.1499999999999999</v>
      </c>
      <c r="F28">
        <v>0.84</v>
      </c>
      <c r="G28">
        <v>0.25</v>
      </c>
      <c r="H28">
        <v>0.02</v>
      </c>
      <c r="I28">
        <v>4.8899999999999997</v>
      </c>
      <c r="J28">
        <v>1.3</v>
      </c>
      <c r="K28">
        <v>-1.47</v>
      </c>
      <c r="L28">
        <v>-1.1299999999999999</v>
      </c>
      <c r="M28">
        <v>54.17</v>
      </c>
      <c r="O28">
        <v>1.92</v>
      </c>
      <c r="P28">
        <v>0.77</v>
      </c>
      <c r="Q28">
        <v>0</v>
      </c>
      <c r="R28">
        <v>0</v>
      </c>
    </row>
    <row r="29" spans="1:18" x14ac:dyDescent="0.25">
      <c r="A29">
        <v>140</v>
      </c>
      <c r="B29">
        <v>5.25</v>
      </c>
      <c r="C29">
        <f>ROUNDDOWN(0.238636363636364,0)</f>
        <v>0</v>
      </c>
      <c r="D29">
        <v>1.27</v>
      </c>
      <c r="F29">
        <v>0.81</v>
      </c>
      <c r="G29">
        <v>0.27</v>
      </c>
      <c r="H29">
        <v>-0.14000000000000001</v>
      </c>
      <c r="I29">
        <v>5.19</v>
      </c>
      <c r="J29">
        <v>1.42</v>
      </c>
      <c r="K29">
        <v>-1.7</v>
      </c>
      <c r="L29">
        <v>-1.18</v>
      </c>
      <c r="M29">
        <v>54.17</v>
      </c>
      <c r="O29">
        <v>1.93</v>
      </c>
      <c r="P29">
        <v>0.77</v>
      </c>
      <c r="Q29">
        <v>0</v>
      </c>
      <c r="R29">
        <v>0</v>
      </c>
    </row>
    <row r="30" spans="1:18" x14ac:dyDescent="0.25">
      <c r="A30">
        <v>140</v>
      </c>
      <c r="B30">
        <v>5.46</v>
      </c>
      <c r="C30">
        <f>ROUNDDOWN(0.248181818181818,0)</f>
        <v>0</v>
      </c>
      <c r="D30">
        <v>1.57</v>
      </c>
      <c r="F30">
        <v>0.79</v>
      </c>
      <c r="G30">
        <v>0.3</v>
      </c>
      <c r="H30">
        <v>-0.14000000000000001</v>
      </c>
      <c r="I30">
        <v>5.62</v>
      </c>
      <c r="J30">
        <v>1.54</v>
      </c>
      <c r="K30">
        <v>-1.81</v>
      </c>
      <c r="L30">
        <v>-1.03</v>
      </c>
      <c r="M30">
        <v>54.17</v>
      </c>
      <c r="O30">
        <v>1.93</v>
      </c>
      <c r="P30">
        <v>0.78</v>
      </c>
      <c r="Q30">
        <v>0</v>
      </c>
      <c r="R30">
        <v>0</v>
      </c>
    </row>
    <row r="31" spans="1:18" x14ac:dyDescent="0.25">
      <c r="A31">
        <v>140</v>
      </c>
      <c r="B31">
        <v>5.67</v>
      </c>
      <c r="C31">
        <f>ROUNDDOWN(0.257727272727273,0)</f>
        <v>0</v>
      </c>
      <c r="D31">
        <v>1.92</v>
      </c>
      <c r="F31">
        <v>0.84</v>
      </c>
      <c r="G31">
        <v>0.4</v>
      </c>
      <c r="H31">
        <v>-0.09</v>
      </c>
      <c r="I31">
        <v>6.07</v>
      </c>
      <c r="J31">
        <v>1.67</v>
      </c>
      <c r="K31">
        <v>-1.88</v>
      </c>
      <c r="L31">
        <v>-0.84</v>
      </c>
      <c r="M31">
        <v>54.17</v>
      </c>
      <c r="O31">
        <v>1.94</v>
      </c>
      <c r="P31">
        <v>0.79</v>
      </c>
      <c r="Q31">
        <v>0</v>
      </c>
      <c r="R31">
        <v>0</v>
      </c>
    </row>
    <row r="32" spans="1:18" x14ac:dyDescent="0.25">
      <c r="A32">
        <v>140</v>
      </c>
      <c r="B32">
        <v>5.88</v>
      </c>
      <c r="C32">
        <f>ROUNDDOWN(0.267272727272727,0)</f>
        <v>0</v>
      </c>
      <c r="D32">
        <v>2.19</v>
      </c>
      <c r="F32">
        <v>0.89</v>
      </c>
      <c r="G32">
        <v>0.5</v>
      </c>
      <c r="H32">
        <v>-0.08</v>
      </c>
      <c r="I32">
        <v>6.43</v>
      </c>
      <c r="J32">
        <v>1.81</v>
      </c>
      <c r="K32">
        <v>-1.92</v>
      </c>
      <c r="L32">
        <v>-0.74</v>
      </c>
      <c r="M32">
        <v>54.17</v>
      </c>
      <c r="O32">
        <v>1.94</v>
      </c>
      <c r="P32">
        <v>0.8</v>
      </c>
      <c r="Q32">
        <v>0</v>
      </c>
      <c r="R32">
        <v>0</v>
      </c>
    </row>
    <row r="33" spans="1:18" x14ac:dyDescent="0.25">
      <c r="A33">
        <v>140</v>
      </c>
      <c r="B33">
        <v>6.09</v>
      </c>
      <c r="C33">
        <f>ROUNDDOWN(0.276818181818182,0)</f>
        <v>0</v>
      </c>
      <c r="D33">
        <v>2.35</v>
      </c>
      <c r="F33">
        <v>1</v>
      </c>
      <c r="G33">
        <v>0.67</v>
      </c>
      <c r="H33">
        <v>-0.19</v>
      </c>
      <c r="I33">
        <v>6.61</v>
      </c>
      <c r="J33">
        <v>1.94</v>
      </c>
      <c r="K33">
        <v>-1.98</v>
      </c>
      <c r="L33">
        <v>-0.85</v>
      </c>
      <c r="M33">
        <v>54.17</v>
      </c>
      <c r="O33">
        <v>1.95</v>
      </c>
      <c r="P33">
        <v>0.8</v>
      </c>
      <c r="Q33">
        <v>0</v>
      </c>
      <c r="R33">
        <v>0</v>
      </c>
    </row>
    <row r="34" spans="1:18" x14ac:dyDescent="0.25">
      <c r="A34">
        <v>140</v>
      </c>
      <c r="B34">
        <v>6.3</v>
      </c>
      <c r="C34">
        <f>ROUNDDOWN(0.286363636363636,0)</f>
        <v>0</v>
      </c>
      <c r="D34">
        <v>2.4900000000000002</v>
      </c>
      <c r="F34">
        <v>1.06</v>
      </c>
      <c r="G34">
        <v>0.79</v>
      </c>
      <c r="H34">
        <v>-0.21</v>
      </c>
      <c r="I34">
        <v>6.64</v>
      </c>
      <c r="J34">
        <v>2.0499999999999998</v>
      </c>
      <c r="K34">
        <v>-1.88</v>
      </c>
      <c r="L34">
        <v>-0.95</v>
      </c>
      <c r="M34">
        <v>54.17</v>
      </c>
      <c r="O34">
        <v>1.95</v>
      </c>
      <c r="P34">
        <v>0.81</v>
      </c>
      <c r="Q34">
        <v>0</v>
      </c>
      <c r="R34">
        <v>0</v>
      </c>
    </row>
    <row r="35" spans="1:18" x14ac:dyDescent="0.25">
      <c r="A35">
        <v>140</v>
      </c>
      <c r="B35">
        <v>6.51</v>
      </c>
      <c r="C35">
        <f>ROUNDDOWN(0.295909090909091,0)</f>
        <v>0</v>
      </c>
      <c r="D35">
        <v>2.82</v>
      </c>
      <c r="F35">
        <v>1.0900000000000001</v>
      </c>
      <c r="G35">
        <v>0.89</v>
      </c>
      <c r="H35">
        <v>-0.17</v>
      </c>
      <c r="I35">
        <v>6.72</v>
      </c>
      <c r="J35">
        <v>2.14</v>
      </c>
      <c r="K35">
        <v>-1.74</v>
      </c>
      <c r="L35">
        <v>-0.95</v>
      </c>
      <c r="M35">
        <v>54.17</v>
      </c>
      <c r="O35">
        <v>1.96</v>
      </c>
      <c r="P35">
        <v>0.82</v>
      </c>
      <c r="Q35">
        <v>0</v>
      </c>
      <c r="R35">
        <v>0</v>
      </c>
    </row>
    <row r="36" spans="1:18" x14ac:dyDescent="0.25">
      <c r="A36">
        <v>140</v>
      </c>
      <c r="B36">
        <v>6.72</v>
      </c>
      <c r="C36">
        <f>ROUNDDOWN(0.305454545454545,0)</f>
        <v>0</v>
      </c>
      <c r="D36">
        <v>3.08</v>
      </c>
      <c r="F36">
        <v>1.1000000000000001</v>
      </c>
      <c r="G36">
        <v>0.97</v>
      </c>
      <c r="H36">
        <v>-7.0000000000000007E-2</v>
      </c>
      <c r="I36">
        <v>6.81</v>
      </c>
      <c r="J36">
        <v>2.2200000000000002</v>
      </c>
      <c r="K36">
        <v>-1.56</v>
      </c>
      <c r="L36">
        <v>-0.88</v>
      </c>
      <c r="M36">
        <v>54.17</v>
      </c>
      <c r="O36">
        <v>1.96</v>
      </c>
      <c r="P36">
        <v>0.82</v>
      </c>
      <c r="Q36">
        <v>0</v>
      </c>
      <c r="R36">
        <v>0</v>
      </c>
    </row>
    <row r="37" spans="1:18" x14ac:dyDescent="0.25">
      <c r="A37">
        <v>140</v>
      </c>
      <c r="B37">
        <v>6.93</v>
      </c>
      <c r="C37">
        <f>ROUNDDOWN(0.315,0)</f>
        <v>0</v>
      </c>
      <c r="D37">
        <v>3.17</v>
      </c>
      <c r="F37">
        <v>1.05</v>
      </c>
      <c r="G37">
        <v>1</v>
      </c>
      <c r="H37">
        <v>0.01</v>
      </c>
      <c r="I37">
        <v>6.85</v>
      </c>
      <c r="J37">
        <v>2.29</v>
      </c>
      <c r="K37">
        <v>-1.38</v>
      </c>
      <c r="L37">
        <v>-0.87</v>
      </c>
      <c r="M37">
        <v>54.17</v>
      </c>
      <c r="O37">
        <v>1.97</v>
      </c>
      <c r="P37">
        <v>0.83</v>
      </c>
      <c r="Q37">
        <v>0</v>
      </c>
      <c r="R37">
        <v>0</v>
      </c>
    </row>
    <row r="38" spans="1:18" x14ac:dyDescent="0.25">
      <c r="A38">
        <v>140</v>
      </c>
      <c r="B38">
        <v>7.14</v>
      </c>
      <c r="C38">
        <f>ROUNDDOWN(0.324545454545455,0)</f>
        <v>0</v>
      </c>
      <c r="D38">
        <v>3.09</v>
      </c>
      <c r="F38">
        <v>0.99</v>
      </c>
      <c r="G38">
        <v>1.01</v>
      </c>
      <c r="H38">
        <v>0.12</v>
      </c>
      <c r="I38">
        <v>6.78</v>
      </c>
      <c r="J38">
        <v>2.33</v>
      </c>
      <c r="K38">
        <v>-1.1200000000000001</v>
      </c>
      <c r="L38">
        <v>-0.88</v>
      </c>
      <c r="M38">
        <v>54.18</v>
      </c>
      <c r="O38">
        <v>1.97</v>
      </c>
      <c r="P38">
        <v>0.84</v>
      </c>
      <c r="Q38">
        <v>0</v>
      </c>
      <c r="R38">
        <v>0</v>
      </c>
    </row>
    <row r="39" spans="1:18" x14ac:dyDescent="0.25">
      <c r="A39">
        <v>140</v>
      </c>
      <c r="B39">
        <v>7.35</v>
      </c>
      <c r="C39">
        <f>ROUNDDOWN(0.334090909090909,0)</f>
        <v>0</v>
      </c>
      <c r="D39">
        <v>2.89</v>
      </c>
      <c r="F39">
        <v>0.91</v>
      </c>
      <c r="G39">
        <v>0.99</v>
      </c>
      <c r="H39">
        <v>0.24</v>
      </c>
      <c r="I39">
        <v>6.77</v>
      </c>
      <c r="J39">
        <v>2.36</v>
      </c>
      <c r="K39">
        <v>-0.9</v>
      </c>
      <c r="L39">
        <v>-0.83</v>
      </c>
      <c r="M39">
        <v>54.18</v>
      </c>
      <c r="O39">
        <v>1.97</v>
      </c>
      <c r="P39">
        <v>0.84</v>
      </c>
      <c r="Q39">
        <v>0</v>
      </c>
      <c r="R39">
        <v>0</v>
      </c>
    </row>
    <row r="40" spans="1:18" x14ac:dyDescent="0.25">
      <c r="A40">
        <v>140</v>
      </c>
      <c r="B40">
        <v>7.56</v>
      </c>
      <c r="C40">
        <f>ROUNDDOWN(0.343636363636364,0)</f>
        <v>0</v>
      </c>
      <c r="D40">
        <v>2.69</v>
      </c>
      <c r="F40">
        <v>0.85</v>
      </c>
      <c r="G40">
        <v>1</v>
      </c>
      <c r="H40">
        <v>0.41</v>
      </c>
      <c r="I40">
        <v>6.85</v>
      </c>
      <c r="J40">
        <v>2.37</v>
      </c>
      <c r="K40">
        <v>-0.68</v>
      </c>
      <c r="L40">
        <v>-0.7</v>
      </c>
      <c r="M40">
        <v>54.18</v>
      </c>
      <c r="O40">
        <v>1.98</v>
      </c>
      <c r="P40">
        <v>0.85</v>
      </c>
      <c r="Q40">
        <v>0</v>
      </c>
      <c r="R40">
        <v>0</v>
      </c>
    </row>
    <row r="41" spans="1:18" x14ac:dyDescent="0.25">
      <c r="A41">
        <v>140</v>
      </c>
      <c r="B41">
        <v>7.77</v>
      </c>
      <c r="C41">
        <f>ROUNDDOWN(0.353181818181818,0)</f>
        <v>0</v>
      </c>
      <c r="D41">
        <v>2.4500000000000002</v>
      </c>
      <c r="F41">
        <v>0.77</v>
      </c>
      <c r="G41">
        <v>0.98</v>
      </c>
      <c r="H41">
        <v>0.53</v>
      </c>
      <c r="I41">
        <v>6.92</v>
      </c>
      <c r="J41">
        <v>2.37</v>
      </c>
      <c r="K41">
        <v>-0.51</v>
      </c>
      <c r="L41">
        <v>-0.62</v>
      </c>
      <c r="M41">
        <v>54.18</v>
      </c>
      <c r="O41">
        <v>1.98</v>
      </c>
      <c r="P41">
        <v>0.86</v>
      </c>
      <c r="Q41">
        <v>0</v>
      </c>
      <c r="R41">
        <v>0</v>
      </c>
    </row>
    <row r="42" spans="1:18" x14ac:dyDescent="0.25">
      <c r="A42">
        <v>140</v>
      </c>
      <c r="B42">
        <v>7.9799999999999995</v>
      </c>
      <c r="C42">
        <f>ROUNDDOWN(0.362727272727273,0)</f>
        <v>0</v>
      </c>
      <c r="D42">
        <v>2.21</v>
      </c>
      <c r="F42">
        <v>0.68</v>
      </c>
      <c r="G42">
        <v>0.95</v>
      </c>
      <c r="H42">
        <v>0.61</v>
      </c>
      <c r="I42">
        <v>6.88</v>
      </c>
      <c r="J42">
        <v>2.35</v>
      </c>
      <c r="K42">
        <v>-0.34</v>
      </c>
      <c r="L42">
        <v>-0.65</v>
      </c>
      <c r="M42">
        <v>54.18</v>
      </c>
      <c r="O42">
        <v>1.98</v>
      </c>
      <c r="P42">
        <v>0.86</v>
      </c>
      <c r="Q42">
        <v>0</v>
      </c>
      <c r="R42">
        <v>0</v>
      </c>
    </row>
    <row r="43" spans="1:18" x14ac:dyDescent="0.25">
      <c r="A43">
        <v>140</v>
      </c>
      <c r="B43">
        <v>8.19</v>
      </c>
      <c r="C43">
        <f>ROUNDDOWN(0.372272727272727,0)</f>
        <v>0</v>
      </c>
      <c r="D43">
        <v>1.87</v>
      </c>
      <c r="F43">
        <v>0.56999999999999995</v>
      </c>
      <c r="G43">
        <v>0.9</v>
      </c>
      <c r="H43">
        <v>0.69</v>
      </c>
      <c r="I43">
        <v>6.76</v>
      </c>
      <c r="J43">
        <v>2.33</v>
      </c>
      <c r="K43">
        <v>-0.14000000000000001</v>
      </c>
      <c r="L43">
        <v>-0.7</v>
      </c>
      <c r="M43">
        <v>54.18</v>
      </c>
      <c r="O43">
        <v>1.99</v>
      </c>
      <c r="P43">
        <v>0.87</v>
      </c>
      <c r="Q43">
        <v>0</v>
      </c>
      <c r="R43">
        <v>0</v>
      </c>
    </row>
    <row r="44" spans="1:18" x14ac:dyDescent="0.25">
      <c r="A44">
        <v>140</v>
      </c>
      <c r="B44">
        <v>8.4</v>
      </c>
      <c r="C44">
        <f>ROUNDDOWN(0.381818181818182,0)</f>
        <v>0</v>
      </c>
      <c r="D44">
        <v>1.43</v>
      </c>
      <c r="F44">
        <v>0.49</v>
      </c>
      <c r="G44">
        <v>0.87</v>
      </c>
      <c r="H44">
        <v>0.69</v>
      </c>
      <c r="I44">
        <v>6.62</v>
      </c>
      <c r="J44">
        <v>2.2999999999999998</v>
      </c>
      <c r="K44">
        <v>-0.01</v>
      </c>
      <c r="L44">
        <v>-0.82</v>
      </c>
      <c r="M44">
        <v>54.18</v>
      </c>
      <c r="O44">
        <v>1.99</v>
      </c>
      <c r="P44">
        <v>0.88</v>
      </c>
      <c r="Q44">
        <v>0</v>
      </c>
      <c r="R44">
        <v>0</v>
      </c>
    </row>
    <row r="45" spans="1:18" x14ac:dyDescent="0.25">
      <c r="A45">
        <v>140</v>
      </c>
      <c r="B45">
        <v>8.61</v>
      </c>
      <c r="C45">
        <f>ROUNDDOWN(0.391363636363636,0)</f>
        <v>0</v>
      </c>
      <c r="D45">
        <v>0.97</v>
      </c>
      <c r="F45">
        <v>0.45</v>
      </c>
      <c r="G45">
        <v>0.88</v>
      </c>
      <c r="H45">
        <v>0.66</v>
      </c>
      <c r="I45">
        <v>6.59</v>
      </c>
      <c r="J45">
        <v>2.2599999999999998</v>
      </c>
      <c r="K45">
        <v>0.01</v>
      </c>
      <c r="L45">
        <v>-0.92</v>
      </c>
      <c r="M45">
        <v>54.18</v>
      </c>
      <c r="O45">
        <v>2</v>
      </c>
      <c r="P45">
        <v>0.89</v>
      </c>
      <c r="Q45">
        <v>0</v>
      </c>
      <c r="R45">
        <v>0</v>
      </c>
    </row>
    <row r="46" spans="1:18" x14ac:dyDescent="0.25">
      <c r="A46">
        <v>140</v>
      </c>
      <c r="B46">
        <v>8.82</v>
      </c>
      <c r="C46">
        <f>ROUNDDOWN(0.400909090909091,0)</f>
        <v>0</v>
      </c>
      <c r="D46">
        <v>0.64</v>
      </c>
      <c r="F46">
        <v>0.42</v>
      </c>
      <c r="G46">
        <v>0.9</v>
      </c>
      <c r="H46">
        <v>0.68</v>
      </c>
      <c r="I46">
        <v>6.71</v>
      </c>
      <c r="J46">
        <v>2.2200000000000002</v>
      </c>
      <c r="K46">
        <v>0.01</v>
      </c>
      <c r="L46">
        <v>-0.89</v>
      </c>
      <c r="M46">
        <v>54.18</v>
      </c>
      <c r="O46">
        <v>2</v>
      </c>
      <c r="P46">
        <v>0.9</v>
      </c>
      <c r="Q46">
        <v>0</v>
      </c>
      <c r="R46">
        <v>0</v>
      </c>
    </row>
    <row r="47" spans="1:18" x14ac:dyDescent="0.25">
      <c r="A47">
        <v>140</v>
      </c>
      <c r="B47">
        <v>9.0299999999999994</v>
      </c>
      <c r="C47">
        <f>ROUNDDOWN(0.410454545454545,0)</f>
        <v>0</v>
      </c>
      <c r="D47">
        <v>0.44</v>
      </c>
      <c r="F47">
        <v>0.42</v>
      </c>
      <c r="G47">
        <v>0.95</v>
      </c>
      <c r="H47">
        <v>0.82</v>
      </c>
      <c r="I47">
        <v>6.88</v>
      </c>
      <c r="J47">
        <v>2.1800000000000002</v>
      </c>
      <c r="K47">
        <v>0.11</v>
      </c>
      <c r="L47">
        <v>-0.71</v>
      </c>
      <c r="M47">
        <v>54.18</v>
      </c>
      <c r="O47">
        <v>2</v>
      </c>
      <c r="P47">
        <v>0.91</v>
      </c>
      <c r="Q47">
        <v>0</v>
      </c>
      <c r="R47">
        <v>0</v>
      </c>
    </row>
    <row r="48" spans="1:18" x14ac:dyDescent="0.25">
      <c r="A48">
        <v>140</v>
      </c>
      <c r="B48">
        <v>9.24</v>
      </c>
      <c r="C48">
        <f>ROUNDDOWN(0.42,0)</f>
        <v>0</v>
      </c>
      <c r="D48">
        <v>0.42</v>
      </c>
      <c r="F48">
        <v>0.41</v>
      </c>
      <c r="G48">
        <v>0.98</v>
      </c>
      <c r="H48">
        <v>0.92</v>
      </c>
      <c r="I48">
        <v>7.02</v>
      </c>
      <c r="J48">
        <v>2.14</v>
      </c>
      <c r="K48">
        <v>0.18</v>
      </c>
      <c r="L48">
        <v>-0.59</v>
      </c>
      <c r="M48">
        <v>54.18</v>
      </c>
      <c r="O48">
        <v>2.0099999999999998</v>
      </c>
      <c r="P48">
        <v>0.92</v>
      </c>
      <c r="Q48">
        <v>0</v>
      </c>
      <c r="R48">
        <v>0</v>
      </c>
    </row>
    <row r="49" spans="1:18" x14ac:dyDescent="0.25">
      <c r="A49">
        <v>140</v>
      </c>
      <c r="B49">
        <v>9.4499999999999993</v>
      </c>
      <c r="C49">
        <f>ROUNDDOWN(0.429545454545455,0)</f>
        <v>0</v>
      </c>
      <c r="D49">
        <v>0.47</v>
      </c>
      <c r="F49">
        <v>0.37</v>
      </c>
      <c r="G49">
        <v>0.99</v>
      </c>
      <c r="H49">
        <v>0.92</v>
      </c>
      <c r="I49">
        <v>7.11</v>
      </c>
      <c r="J49">
        <v>2.1</v>
      </c>
      <c r="K49">
        <v>0.18</v>
      </c>
      <c r="L49">
        <v>-0.61</v>
      </c>
      <c r="M49">
        <v>54.18</v>
      </c>
      <c r="O49">
        <v>2.0099999999999998</v>
      </c>
      <c r="P49">
        <v>0.93</v>
      </c>
      <c r="Q49">
        <v>0</v>
      </c>
      <c r="R49">
        <v>0</v>
      </c>
    </row>
    <row r="50" spans="1:18" x14ac:dyDescent="0.25">
      <c r="A50">
        <v>140</v>
      </c>
      <c r="B50">
        <v>9.66</v>
      </c>
      <c r="C50">
        <f>ROUNDDOWN(0.439090909090909,0)</f>
        <v>0</v>
      </c>
      <c r="D50">
        <v>0.5</v>
      </c>
      <c r="F50">
        <v>0.3</v>
      </c>
      <c r="G50">
        <v>0.97</v>
      </c>
      <c r="H50">
        <v>0.86</v>
      </c>
      <c r="I50">
        <v>7.22</v>
      </c>
      <c r="J50">
        <v>2.0699999999999998</v>
      </c>
      <c r="K50">
        <v>0.1</v>
      </c>
      <c r="L50">
        <v>-0.68</v>
      </c>
      <c r="M50">
        <v>54.18</v>
      </c>
      <c r="O50">
        <v>2.0099999999999998</v>
      </c>
      <c r="P50">
        <v>0.94</v>
      </c>
      <c r="Q50">
        <v>0</v>
      </c>
      <c r="R50">
        <v>0</v>
      </c>
    </row>
    <row r="51" spans="1:18" x14ac:dyDescent="0.25">
      <c r="A51">
        <v>140</v>
      </c>
      <c r="B51">
        <v>9.8699999999999992</v>
      </c>
      <c r="C51">
        <f>ROUNDDOWN(0.448636363636364,0)</f>
        <v>0</v>
      </c>
      <c r="D51">
        <v>0.55000000000000004</v>
      </c>
      <c r="F51">
        <v>0.22</v>
      </c>
      <c r="G51">
        <v>0.94</v>
      </c>
      <c r="H51">
        <v>0.89</v>
      </c>
      <c r="I51">
        <v>7.37</v>
      </c>
      <c r="J51">
        <v>2.0499999999999998</v>
      </c>
      <c r="K51">
        <v>0.1</v>
      </c>
      <c r="L51">
        <v>-0.62</v>
      </c>
      <c r="M51">
        <v>54.18</v>
      </c>
      <c r="O51">
        <v>2.0099999999999998</v>
      </c>
      <c r="P51">
        <v>0.95</v>
      </c>
      <c r="Q51">
        <v>0</v>
      </c>
      <c r="R51">
        <v>0</v>
      </c>
    </row>
    <row r="52" spans="1:18" x14ac:dyDescent="0.25">
      <c r="A52">
        <v>140</v>
      </c>
      <c r="B52">
        <v>10.08</v>
      </c>
      <c r="C52">
        <f>ROUNDDOWN(0.458181818181818,0)</f>
        <v>0</v>
      </c>
      <c r="D52">
        <v>0.63</v>
      </c>
      <c r="F52">
        <v>0.14000000000000001</v>
      </c>
      <c r="G52">
        <v>0.89</v>
      </c>
      <c r="H52">
        <v>0.93</v>
      </c>
      <c r="I52">
        <v>7.48</v>
      </c>
      <c r="J52">
        <v>2.0499999999999998</v>
      </c>
      <c r="K52">
        <v>0.13</v>
      </c>
      <c r="L52">
        <v>-0.57999999999999996</v>
      </c>
      <c r="M52">
        <v>54.18</v>
      </c>
      <c r="O52">
        <v>2.02</v>
      </c>
      <c r="P52">
        <v>0.97</v>
      </c>
      <c r="Q52">
        <v>0</v>
      </c>
      <c r="R52">
        <v>0</v>
      </c>
    </row>
    <row r="53" spans="1:18" x14ac:dyDescent="0.25">
      <c r="A53">
        <v>140</v>
      </c>
      <c r="B53">
        <v>10.29</v>
      </c>
      <c r="C53">
        <f>ROUNDDOWN(0.467727272727273,0)</f>
        <v>0</v>
      </c>
      <c r="D53">
        <v>0.74</v>
      </c>
      <c r="F53">
        <v>0.04</v>
      </c>
      <c r="G53">
        <v>0.83</v>
      </c>
      <c r="H53">
        <v>0.86</v>
      </c>
      <c r="I53">
        <v>7.51</v>
      </c>
      <c r="J53">
        <v>2.06</v>
      </c>
      <c r="K53">
        <v>0.09</v>
      </c>
      <c r="L53">
        <v>-0.69</v>
      </c>
      <c r="M53">
        <v>54.18</v>
      </c>
      <c r="O53">
        <v>2.02</v>
      </c>
      <c r="P53">
        <v>0.98</v>
      </c>
      <c r="Q53">
        <v>0</v>
      </c>
      <c r="R53">
        <v>0</v>
      </c>
    </row>
    <row r="54" spans="1:18" x14ac:dyDescent="0.25">
      <c r="A54">
        <v>140</v>
      </c>
      <c r="B54">
        <v>10.5</v>
      </c>
      <c r="C54">
        <f>ROUNDDOWN(0.477272727272727,0)</f>
        <v>0</v>
      </c>
      <c r="D54">
        <v>0.71</v>
      </c>
      <c r="F54">
        <v>-0.1</v>
      </c>
      <c r="G54">
        <v>0.72</v>
      </c>
      <c r="H54">
        <v>0.72</v>
      </c>
      <c r="I54">
        <v>7.48</v>
      </c>
      <c r="J54">
        <v>2.08</v>
      </c>
      <c r="K54">
        <v>0.01</v>
      </c>
      <c r="L54">
        <v>-0.89</v>
      </c>
      <c r="M54">
        <v>54.18</v>
      </c>
      <c r="O54">
        <v>2.02</v>
      </c>
      <c r="P54">
        <v>0.99</v>
      </c>
      <c r="Q54">
        <v>0</v>
      </c>
      <c r="R54">
        <v>0</v>
      </c>
    </row>
    <row r="55" spans="1:18" x14ac:dyDescent="0.25">
      <c r="A55">
        <v>140</v>
      </c>
      <c r="B55">
        <v>10.709999999999999</v>
      </c>
      <c r="C55">
        <f>ROUNDDOWN(0.486818181818182,0)</f>
        <v>0</v>
      </c>
      <c r="D55">
        <v>0.6</v>
      </c>
      <c r="F55">
        <v>-0.22</v>
      </c>
      <c r="G55">
        <v>0.63</v>
      </c>
      <c r="H55">
        <v>0.64</v>
      </c>
      <c r="I55">
        <v>7.46</v>
      </c>
      <c r="J55">
        <v>2.11</v>
      </c>
      <c r="K55">
        <v>-0.01</v>
      </c>
      <c r="L55">
        <v>-1.02</v>
      </c>
      <c r="M55">
        <v>54.18</v>
      </c>
      <c r="O55">
        <v>2.02</v>
      </c>
      <c r="P55">
        <v>1.01</v>
      </c>
      <c r="Q55">
        <v>0</v>
      </c>
      <c r="R55">
        <v>0</v>
      </c>
    </row>
    <row r="56" spans="1:18" x14ac:dyDescent="0.25">
      <c r="A56">
        <v>140</v>
      </c>
      <c r="B56">
        <v>10.92</v>
      </c>
      <c r="C56">
        <f>ROUNDDOWN(0.496363636363636,0)</f>
        <v>0</v>
      </c>
      <c r="D56">
        <v>0.5</v>
      </c>
      <c r="F56">
        <v>-0.3</v>
      </c>
      <c r="G56">
        <v>0.56000000000000005</v>
      </c>
      <c r="H56">
        <v>0.61</v>
      </c>
      <c r="I56">
        <v>7.43</v>
      </c>
      <c r="J56">
        <v>2.15</v>
      </c>
      <c r="K56">
        <v>0.02</v>
      </c>
      <c r="L56">
        <v>-1.08</v>
      </c>
      <c r="M56">
        <v>54.18</v>
      </c>
      <c r="O56">
        <v>2.0299999999999998</v>
      </c>
      <c r="P56">
        <v>1.02</v>
      </c>
      <c r="Q56">
        <v>0</v>
      </c>
      <c r="R56">
        <v>0</v>
      </c>
    </row>
    <row r="57" spans="1:18" x14ac:dyDescent="0.25">
      <c r="A57">
        <v>140</v>
      </c>
      <c r="B57">
        <v>11.129999999999999</v>
      </c>
      <c r="C57">
        <f>ROUNDDOWN(0.505909090909091,0)</f>
        <v>0</v>
      </c>
      <c r="D57">
        <v>0.41</v>
      </c>
      <c r="F57">
        <v>-0.37</v>
      </c>
      <c r="G57">
        <v>0.51</v>
      </c>
      <c r="H57">
        <v>0.52</v>
      </c>
      <c r="I57">
        <v>7.29</v>
      </c>
      <c r="J57">
        <v>2.21</v>
      </c>
      <c r="K57">
        <v>0.04</v>
      </c>
      <c r="L57">
        <v>-1.26</v>
      </c>
      <c r="M57">
        <v>54.19</v>
      </c>
      <c r="O57">
        <v>2.0299999999999998</v>
      </c>
      <c r="P57">
        <v>1.04</v>
      </c>
      <c r="Q57">
        <v>0</v>
      </c>
      <c r="R57">
        <v>0</v>
      </c>
    </row>
    <row r="58" spans="1:18" x14ac:dyDescent="0.25">
      <c r="A58">
        <v>140</v>
      </c>
      <c r="B58">
        <v>11.34</v>
      </c>
      <c r="C58">
        <f>ROUNDDOWN(0.515454545454545,0)</f>
        <v>0</v>
      </c>
      <c r="D58">
        <v>0.28000000000000003</v>
      </c>
      <c r="F58">
        <v>-0.45</v>
      </c>
      <c r="G58">
        <v>0.44</v>
      </c>
      <c r="H58">
        <v>0.39</v>
      </c>
      <c r="I58">
        <v>7.04</v>
      </c>
      <c r="J58">
        <v>2.2599999999999998</v>
      </c>
      <c r="K58">
        <v>7.0000000000000007E-2</v>
      </c>
      <c r="L58">
        <v>-1.5</v>
      </c>
      <c r="M58">
        <v>54.19</v>
      </c>
      <c r="O58">
        <v>2.0299999999999998</v>
      </c>
      <c r="P58">
        <v>1.05</v>
      </c>
      <c r="Q58">
        <v>0</v>
      </c>
      <c r="R58">
        <v>0</v>
      </c>
    </row>
    <row r="59" spans="1:18" x14ac:dyDescent="0.25">
      <c r="A59">
        <v>140</v>
      </c>
      <c r="B59">
        <v>11.549999999999999</v>
      </c>
      <c r="C59">
        <f>ROUNDDOWN(0.525,0)</f>
        <v>0</v>
      </c>
      <c r="D59">
        <v>0.21</v>
      </c>
      <c r="F59">
        <v>-0.52</v>
      </c>
      <c r="G59">
        <v>0.38</v>
      </c>
      <c r="H59">
        <v>0.3</v>
      </c>
      <c r="I59">
        <v>6.83</v>
      </c>
      <c r="J59">
        <v>2.3199999999999998</v>
      </c>
      <c r="K59">
        <v>0.12</v>
      </c>
      <c r="L59">
        <v>-1.67</v>
      </c>
      <c r="M59">
        <v>54.19</v>
      </c>
      <c r="O59">
        <v>2.0299999999999998</v>
      </c>
      <c r="P59">
        <v>1.07</v>
      </c>
      <c r="Q59">
        <v>0</v>
      </c>
      <c r="R59">
        <v>0</v>
      </c>
    </row>
    <row r="60" spans="1:18" x14ac:dyDescent="0.25">
      <c r="A60">
        <v>140</v>
      </c>
      <c r="B60">
        <v>11.76</v>
      </c>
      <c r="C60">
        <f>ROUNDDOWN(0.534545454545455,0)</f>
        <v>0</v>
      </c>
      <c r="D60">
        <v>0.13</v>
      </c>
      <c r="F60">
        <v>-0.56000000000000005</v>
      </c>
      <c r="G60">
        <v>0.35</v>
      </c>
      <c r="H60">
        <v>0.27</v>
      </c>
      <c r="I60">
        <v>6.72</v>
      </c>
      <c r="J60">
        <v>2.37</v>
      </c>
      <c r="K60">
        <v>0.16</v>
      </c>
      <c r="L60">
        <v>-1.72</v>
      </c>
      <c r="M60">
        <v>54.19</v>
      </c>
      <c r="O60">
        <v>2.0299999999999998</v>
      </c>
      <c r="P60">
        <v>1.08</v>
      </c>
      <c r="Q60">
        <v>0</v>
      </c>
      <c r="R60">
        <v>0</v>
      </c>
    </row>
    <row r="61" spans="1:18" x14ac:dyDescent="0.25">
      <c r="A61">
        <v>140</v>
      </c>
      <c r="B61">
        <v>11.969999999999999</v>
      </c>
      <c r="C61">
        <f>ROUNDDOWN(0.544090909090909,0)</f>
        <v>0</v>
      </c>
      <c r="D61">
        <v>0.01</v>
      </c>
      <c r="F61">
        <v>-0.57999999999999996</v>
      </c>
      <c r="G61">
        <v>0.33</v>
      </c>
      <c r="H61">
        <v>0.23</v>
      </c>
      <c r="I61">
        <v>6.71</v>
      </c>
      <c r="J61">
        <v>2.42</v>
      </c>
      <c r="K61">
        <v>0.14000000000000001</v>
      </c>
      <c r="L61">
        <v>-1.71</v>
      </c>
      <c r="M61">
        <v>54.19</v>
      </c>
      <c r="O61">
        <v>2.0299999999999998</v>
      </c>
      <c r="P61">
        <v>1.1000000000000001</v>
      </c>
      <c r="Q61">
        <v>0</v>
      </c>
      <c r="R61">
        <v>0</v>
      </c>
    </row>
    <row r="62" spans="1:18" x14ac:dyDescent="0.25">
      <c r="A62">
        <v>140</v>
      </c>
      <c r="B62">
        <v>12.18</v>
      </c>
      <c r="C62">
        <f>ROUNDDOWN(0.553636363636364,0)</f>
        <v>0</v>
      </c>
      <c r="D62">
        <v>-0.09</v>
      </c>
      <c r="F62">
        <v>-0.61</v>
      </c>
      <c r="G62">
        <v>0.3</v>
      </c>
      <c r="H62">
        <v>0.21</v>
      </c>
      <c r="I62">
        <v>6.78</v>
      </c>
      <c r="J62">
        <v>2.4500000000000002</v>
      </c>
      <c r="K62">
        <v>0.1</v>
      </c>
      <c r="L62">
        <v>-1.66</v>
      </c>
      <c r="M62">
        <v>54.19</v>
      </c>
      <c r="O62">
        <v>2.04</v>
      </c>
      <c r="P62">
        <v>1.1100000000000001</v>
      </c>
      <c r="Q62">
        <v>0</v>
      </c>
      <c r="R62">
        <v>0</v>
      </c>
    </row>
    <row r="63" spans="1:18" x14ac:dyDescent="0.25">
      <c r="A63">
        <v>140</v>
      </c>
      <c r="B63">
        <v>12.389999999999999</v>
      </c>
      <c r="C63">
        <f>ROUNDDOWN(0.563181818181818,0)</f>
        <v>0</v>
      </c>
      <c r="D63">
        <v>-0.05</v>
      </c>
      <c r="F63">
        <v>-0.68</v>
      </c>
      <c r="G63">
        <v>0.22</v>
      </c>
      <c r="H63">
        <v>0.25</v>
      </c>
      <c r="I63">
        <v>6.97</v>
      </c>
      <c r="J63">
        <v>2.48</v>
      </c>
      <c r="K63">
        <v>7.0000000000000007E-2</v>
      </c>
      <c r="L63">
        <v>-1.48</v>
      </c>
      <c r="M63">
        <v>54.19</v>
      </c>
      <c r="O63">
        <v>2.04</v>
      </c>
      <c r="P63">
        <v>1.1299999999999999</v>
      </c>
      <c r="Q63">
        <v>0</v>
      </c>
      <c r="R63">
        <v>0</v>
      </c>
    </row>
    <row r="64" spans="1:18" x14ac:dyDescent="0.25">
      <c r="A64">
        <v>140</v>
      </c>
      <c r="B64">
        <v>12.6</v>
      </c>
      <c r="C64">
        <f>ROUNDDOWN(0.572727272727273,0)</f>
        <v>0</v>
      </c>
      <c r="D64">
        <v>0.21</v>
      </c>
      <c r="F64">
        <v>-0.77</v>
      </c>
      <c r="G64">
        <v>0.13</v>
      </c>
      <c r="H64">
        <v>0.33</v>
      </c>
      <c r="I64">
        <v>7.32</v>
      </c>
      <c r="J64">
        <v>2.5</v>
      </c>
      <c r="K64">
        <v>0.01</v>
      </c>
      <c r="L64">
        <v>-1.19</v>
      </c>
      <c r="M64">
        <v>54.19</v>
      </c>
      <c r="O64">
        <v>2.04</v>
      </c>
      <c r="P64">
        <v>1.1399999999999999</v>
      </c>
      <c r="Q64">
        <v>0</v>
      </c>
      <c r="R64">
        <v>0</v>
      </c>
    </row>
    <row r="65" spans="1:18" x14ac:dyDescent="0.25">
      <c r="A65">
        <v>140</v>
      </c>
      <c r="B65">
        <v>12.809999999999999</v>
      </c>
      <c r="C65">
        <f>ROUNDDOWN(0.582272727272727,0)</f>
        <v>0</v>
      </c>
      <c r="D65">
        <v>0.49</v>
      </c>
      <c r="F65">
        <v>-0.82</v>
      </c>
      <c r="G65">
        <v>0.06</v>
      </c>
      <c r="H65">
        <v>0.36</v>
      </c>
      <c r="I65">
        <v>7.71</v>
      </c>
      <c r="J65">
        <v>2.5099999999999998</v>
      </c>
      <c r="K65">
        <v>-0.12</v>
      </c>
      <c r="L65">
        <v>-0.96</v>
      </c>
      <c r="M65">
        <v>54.19</v>
      </c>
      <c r="O65">
        <v>2.04</v>
      </c>
      <c r="P65">
        <v>1.1599999999999999</v>
      </c>
      <c r="Q65">
        <v>0</v>
      </c>
      <c r="R65">
        <v>0</v>
      </c>
    </row>
    <row r="66" spans="1:18" x14ac:dyDescent="0.25">
      <c r="A66">
        <v>140</v>
      </c>
      <c r="B66">
        <v>13.02</v>
      </c>
      <c r="C66">
        <f>ROUNDDOWN(0.591818181818182,0)</f>
        <v>0</v>
      </c>
      <c r="D66">
        <v>0.77</v>
      </c>
      <c r="F66">
        <v>-0.86</v>
      </c>
      <c r="G66">
        <v>0.01</v>
      </c>
      <c r="H66">
        <v>0.35</v>
      </c>
      <c r="I66">
        <v>8.14</v>
      </c>
      <c r="J66">
        <v>2.52</v>
      </c>
      <c r="K66">
        <v>-0.28999999999999998</v>
      </c>
      <c r="L66">
        <v>-0.76</v>
      </c>
      <c r="M66">
        <v>54.19</v>
      </c>
      <c r="O66">
        <v>2.04</v>
      </c>
      <c r="P66">
        <v>1.17</v>
      </c>
      <c r="Q66">
        <v>0</v>
      </c>
      <c r="R66">
        <v>0</v>
      </c>
    </row>
    <row r="67" spans="1:18" x14ac:dyDescent="0.25">
      <c r="A67">
        <v>140</v>
      </c>
      <c r="B67">
        <v>13.229999999999999</v>
      </c>
      <c r="C67">
        <f>ROUNDDOWN(0.601363636363636,0)</f>
        <v>0</v>
      </c>
      <c r="D67">
        <v>1.03</v>
      </c>
      <c r="F67">
        <v>-0.88</v>
      </c>
      <c r="G67">
        <v>-0.03</v>
      </c>
      <c r="H67">
        <v>0.38</v>
      </c>
      <c r="I67">
        <v>8.52</v>
      </c>
      <c r="J67">
        <v>2.52</v>
      </c>
      <c r="K67">
        <v>-0.37</v>
      </c>
      <c r="L67">
        <v>-0.56000000000000005</v>
      </c>
      <c r="M67">
        <v>54.19</v>
      </c>
      <c r="O67">
        <v>2.04</v>
      </c>
      <c r="P67">
        <v>1.19</v>
      </c>
      <c r="Q67">
        <v>0</v>
      </c>
      <c r="R67">
        <v>0</v>
      </c>
    </row>
    <row r="68" spans="1:18" x14ac:dyDescent="0.25">
      <c r="A68">
        <v>140</v>
      </c>
      <c r="B68">
        <v>13.44</v>
      </c>
      <c r="C68">
        <f>ROUNDDOWN(0.610909090909091,0)</f>
        <v>0</v>
      </c>
      <c r="D68">
        <v>1.28</v>
      </c>
      <c r="F68">
        <v>-0.86</v>
      </c>
      <c r="G68">
        <v>-0.03</v>
      </c>
      <c r="H68">
        <v>0.41</v>
      </c>
      <c r="I68">
        <v>8.8000000000000007</v>
      </c>
      <c r="J68">
        <v>2.52</v>
      </c>
      <c r="K68">
        <v>-0.4</v>
      </c>
      <c r="L68">
        <v>-0.42</v>
      </c>
      <c r="M68">
        <v>54.19</v>
      </c>
      <c r="O68">
        <v>2.04</v>
      </c>
      <c r="P68">
        <v>1.2</v>
      </c>
      <c r="Q68">
        <v>0</v>
      </c>
      <c r="R68">
        <v>0</v>
      </c>
    </row>
    <row r="69" spans="1:18" x14ac:dyDescent="0.25">
      <c r="A69">
        <v>140</v>
      </c>
      <c r="B69">
        <v>13.65</v>
      </c>
      <c r="C69">
        <f>ROUNDDOWN(0.620454545454545,0)</f>
        <v>0</v>
      </c>
      <c r="D69">
        <v>1.52</v>
      </c>
      <c r="F69">
        <v>-0.82</v>
      </c>
      <c r="G69">
        <v>0</v>
      </c>
      <c r="H69">
        <v>0.37</v>
      </c>
      <c r="I69">
        <v>8.99</v>
      </c>
      <c r="J69">
        <v>2.52</v>
      </c>
      <c r="K69">
        <v>-0.45</v>
      </c>
      <c r="L69">
        <v>-0.39</v>
      </c>
      <c r="M69">
        <v>54.19</v>
      </c>
      <c r="O69">
        <v>2.04</v>
      </c>
      <c r="P69">
        <v>1.21</v>
      </c>
      <c r="Q69">
        <v>0</v>
      </c>
      <c r="R69">
        <v>0</v>
      </c>
    </row>
    <row r="70" spans="1:18" x14ac:dyDescent="0.25">
      <c r="A70">
        <v>140</v>
      </c>
      <c r="B70">
        <v>13.86</v>
      </c>
      <c r="C70">
        <f>ROUNDDOWN(0.63,0)</f>
        <v>0</v>
      </c>
      <c r="D70">
        <v>1.65</v>
      </c>
      <c r="F70">
        <v>-0.74</v>
      </c>
      <c r="G70">
        <v>0.06</v>
      </c>
      <c r="H70">
        <v>0.31</v>
      </c>
      <c r="I70">
        <v>9.11</v>
      </c>
      <c r="J70">
        <v>2.5299999999999998</v>
      </c>
      <c r="K70">
        <v>-0.49</v>
      </c>
      <c r="L70">
        <v>-0.44</v>
      </c>
      <c r="M70">
        <v>54.19</v>
      </c>
      <c r="O70">
        <v>2.04</v>
      </c>
      <c r="P70">
        <v>1.23</v>
      </c>
      <c r="Q70">
        <v>0</v>
      </c>
      <c r="R70">
        <v>0</v>
      </c>
    </row>
    <row r="71" spans="1:18" x14ac:dyDescent="0.25">
      <c r="A71">
        <v>140</v>
      </c>
      <c r="B71">
        <v>14.07</v>
      </c>
      <c r="C71">
        <f>ROUNDDOWN(0.639545454545455,0)</f>
        <v>0</v>
      </c>
      <c r="D71">
        <v>1.77</v>
      </c>
      <c r="F71">
        <v>-0.66</v>
      </c>
      <c r="G71">
        <v>0.13</v>
      </c>
      <c r="H71">
        <v>0.34</v>
      </c>
      <c r="I71">
        <v>9.1999999999999993</v>
      </c>
      <c r="J71">
        <v>2.5299999999999998</v>
      </c>
      <c r="K71">
        <v>-0.4</v>
      </c>
      <c r="L71">
        <v>-0.4</v>
      </c>
      <c r="M71">
        <v>54.19</v>
      </c>
      <c r="O71">
        <v>2.04</v>
      </c>
      <c r="P71">
        <v>1.24</v>
      </c>
      <c r="Q71">
        <v>0</v>
      </c>
      <c r="R71">
        <v>0</v>
      </c>
    </row>
    <row r="72" spans="1:18" x14ac:dyDescent="0.25">
      <c r="A72">
        <v>140</v>
      </c>
      <c r="B72">
        <v>14.28</v>
      </c>
      <c r="C72">
        <f>ROUNDDOWN(0.649090909090909,0)</f>
        <v>0</v>
      </c>
      <c r="D72">
        <v>2.0099999999999998</v>
      </c>
      <c r="F72">
        <v>-0.55000000000000004</v>
      </c>
      <c r="G72">
        <v>0.22</v>
      </c>
      <c r="H72">
        <v>0.45</v>
      </c>
      <c r="I72">
        <v>9.2899999999999991</v>
      </c>
      <c r="J72">
        <v>2.54</v>
      </c>
      <c r="K72">
        <v>-0.26</v>
      </c>
      <c r="L72">
        <v>-0.28000000000000003</v>
      </c>
      <c r="M72">
        <v>54.19</v>
      </c>
      <c r="O72">
        <v>2.04</v>
      </c>
      <c r="P72">
        <v>1.25</v>
      </c>
      <c r="Q72">
        <v>0</v>
      </c>
      <c r="R72">
        <v>0</v>
      </c>
    </row>
    <row r="73" spans="1:18" x14ac:dyDescent="0.25">
      <c r="A73">
        <v>140</v>
      </c>
      <c r="B73">
        <v>14.49</v>
      </c>
      <c r="C73">
        <f>ROUNDDOWN(0.658636363636364,0)</f>
        <v>0</v>
      </c>
      <c r="D73">
        <v>2.37</v>
      </c>
      <c r="F73">
        <v>-0.47</v>
      </c>
      <c r="G73">
        <v>0.3</v>
      </c>
      <c r="H73">
        <v>0.5</v>
      </c>
      <c r="I73">
        <v>9.41</v>
      </c>
      <c r="J73">
        <v>2.54</v>
      </c>
      <c r="K73">
        <v>-0.19</v>
      </c>
      <c r="L73">
        <v>-0.21</v>
      </c>
      <c r="M73">
        <v>54.19</v>
      </c>
      <c r="O73">
        <v>2.04</v>
      </c>
      <c r="P73">
        <v>1.27</v>
      </c>
      <c r="Q73">
        <v>0</v>
      </c>
      <c r="R73">
        <v>0</v>
      </c>
    </row>
    <row r="74" spans="1:18" x14ac:dyDescent="0.25">
      <c r="A74">
        <v>140</v>
      </c>
      <c r="B74">
        <v>14.7</v>
      </c>
      <c r="C74">
        <f>ROUNDDOWN(0.668181818181818,0)</f>
        <v>0</v>
      </c>
      <c r="D74">
        <v>2.69</v>
      </c>
      <c r="F74">
        <v>-0.45</v>
      </c>
      <c r="G74">
        <v>0.31</v>
      </c>
      <c r="H74">
        <v>0.48</v>
      </c>
      <c r="I74">
        <v>9.52</v>
      </c>
      <c r="J74">
        <v>2.54</v>
      </c>
      <c r="K74">
        <v>-0.19</v>
      </c>
      <c r="L74">
        <v>-0.22</v>
      </c>
      <c r="M74">
        <v>54.19</v>
      </c>
      <c r="O74">
        <v>2.04</v>
      </c>
      <c r="P74">
        <v>1.28</v>
      </c>
      <c r="Q74">
        <v>0</v>
      </c>
      <c r="R74">
        <v>0</v>
      </c>
    </row>
    <row r="75" spans="1:18" x14ac:dyDescent="0.25">
      <c r="A75">
        <v>140</v>
      </c>
      <c r="B75">
        <v>14.91</v>
      </c>
      <c r="C75">
        <f>ROUNDDOWN(0.677727272727273,0)</f>
        <v>0</v>
      </c>
      <c r="D75">
        <v>2.89</v>
      </c>
      <c r="F75">
        <v>-0.46</v>
      </c>
      <c r="G75">
        <v>0.3</v>
      </c>
      <c r="H75">
        <v>0.48</v>
      </c>
      <c r="I75">
        <v>9.61</v>
      </c>
      <c r="J75">
        <v>2.5299999999999998</v>
      </c>
      <c r="K75">
        <v>-0.15</v>
      </c>
      <c r="L75">
        <v>-0.22</v>
      </c>
      <c r="M75">
        <v>54.19</v>
      </c>
      <c r="O75">
        <v>2.04</v>
      </c>
      <c r="P75">
        <v>1.29</v>
      </c>
      <c r="Q75">
        <v>0</v>
      </c>
      <c r="R75">
        <v>0</v>
      </c>
    </row>
    <row r="76" spans="1:18" x14ac:dyDescent="0.25">
      <c r="A76">
        <v>140</v>
      </c>
      <c r="B76">
        <v>15.12</v>
      </c>
      <c r="C76">
        <f>ROUNDDOWN(0.687272727272727,0)</f>
        <v>0</v>
      </c>
      <c r="D76">
        <v>2.95</v>
      </c>
      <c r="F76">
        <v>-0.48</v>
      </c>
      <c r="G76">
        <v>0.27</v>
      </c>
      <c r="H76">
        <v>0.55000000000000004</v>
      </c>
      <c r="I76">
        <v>9.66</v>
      </c>
      <c r="J76">
        <v>2.5099999999999998</v>
      </c>
      <c r="K76">
        <v>-0.02</v>
      </c>
      <c r="L76">
        <v>-0.16</v>
      </c>
      <c r="M76">
        <v>54.19</v>
      </c>
      <c r="O76">
        <v>2.04</v>
      </c>
      <c r="P76">
        <v>1.3</v>
      </c>
      <c r="Q76">
        <v>0</v>
      </c>
      <c r="R76">
        <v>0</v>
      </c>
    </row>
    <row r="77" spans="1:18" x14ac:dyDescent="0.25">
      <c r="A77">
        <v>140</v>
      </c>
      <c r="B77">
        <v>15.33</v>
      </c>
      <c r="C77">
        <f>ROUNDDOWN(0.696818181818182,0)</f>
        <v>0</v>
      </c>
      <c r="D77">
        <v>2.91</v>
      </c>
      <c r="F77">
        <v>-0.49</v>
      </c>
      <c r="G77">
        <v>0.25</v>
      </c>
      <c r="H77">
        <v>0.59</v>
      </c>
      <c r="I77">
        <v>9.69</v>
      </c>
      <c r="J77">
        <v>2.48</v>
      </c>
      <c r="K77">
        <v>7.0000000000000007E-2</v>
      </c>
      <c r="L77">
        <v>-0.15</v>
      </c>
      <c r="M77">
        <v>54.19</v>
      </c>
      <c r="O77">
        <v>2.04</v>
      </c>
      <c r="P77">
        <v>1.31</v>
      </c>
      <c r="Q77">
        <v>0</v>
      </c>
      <c r="R77">
        <v>0</v>
      </c>
    </row>
    <row r="78" spans="1:18" x14ac:dyDescent="0.25">
      <c r="A78">
        <v>140</v>
      </c>
      <c r="B78">
        <v>15.54</v>
      </c>
      <c r="C78">
        <f>ROUNDDOWN(0.706363636363636,0)</f>
        <v>0</v>
      </c>
      <c r="D78">
        <v>2.79</v>
      </c>
      <c r="F78">
        <v>-0.48</v>
      </c>
      <c r="G78">
        <v>0.25</v>
      </c>
      <c r="H78">
        <v>0.56000000000000005</v>
      </c>
      <c r="I78">
        <v>9.76</v>
      </c>
      <c r="J78">
        <v>2.44</v>
      </c>
      <c r="K78">
        <v>0.08</v>
      </c>
      <c r="L78">
        <v>-0.18</v>
      </c>
      <c r="M78">
        <v>54.2</v>
      </c>
      <c r="O78">
        <v>2.0299999999999998</v>
      </c>
      <c r="P78">
        <v>1.32</v>
      </c>
      <c r="Q78">
        <v>0</v>
      </c>
      <c r="R78">
        <v>0</v>
      </c>
    </row>
    <row r="79" spans="1:18" x14ac:dyDescent="0.25">
      <c r="A79">
        <v>140</v>
      </c>
      <c r="B79">
        <v>15.75</v>
      </c>
      <c r="C79">
        <f>ROUNDDOWN(0.715909090909091,0)</f>
        <v>0</v>
      </c>
      <c r="D79">
        <v>2.58</v>
      </c>
      <c r="F79">
        <v>-0.48</v>
      </c>
      <c r="G79">
        <v>0.24</v>
      </c>
      <c r="H79">
        <v>0.54</v>
      </c>
      <c r="I79">
        <v>9.9</v>
      </c>
      <c r="J79">
        <v>2.4</v>
      </c>
      <c r="K79">
        <v>0.06</v>
      </c>
      <c r="L79">
        <v>-0.17</v>
      </c>
      <c r="M79">
        <v>54.2</v>
      </c>
      <c r="O79">
        <v>2.0299999999999998</v>
      </c>
      <c r="P79">
        <v>1.33</v>
      </c>
      <c r="Q79">
        <v>0</v>
      </c>
      <c r="R79">
        <v>0</v>
      </c>
    </row>
    <row r="80" spans="1:18" x14ac:dyDescent="0.25">
      <c r="A80">
        <v>140</v>
      </c>
      <c r="B80">
        <v>15.959999999999999</v>
      </c>
      <c r="C80">
        <f>ROUNDDOWN(0.725454545454545,0)</f>
        <v>0</v>
      </c>
      <c r="D80">
        <v>2.36</v>
      </c>
      <c r="F80">
        <v>-0.42</v>
      </c>
      <c r="G80">
        <v>0.28999999999999998</v>
      </c>
      <c r="H80">
        <v>0.61</v>
      </c>
      <c r="I80">
        <v>10.07</v>
      </c>
      <c r="J80">
        <v>2.35</v>
      </c>
      <c r="K80">
        <v>0.11</v>
      </c>
      <c r="L80">
        <v>-0.05</v>
      </c>
      <c r="M80">
        <v>54.2</v>
      </c>
      <c r="O80">
        <v>2.0299999999999998</v>
      </c>
      <c r="P80">
        <v>1.34</v>
      </c>
      <c r="Q80">
        <v>0</v>
      </c>
      <c r="R80">
        <v>0</v>
      </c>
    </row>
    <row r="81" spans="1:18" x14ac:dyDescent="0.25">
      <c r="A81">
        <v>140</v>
      </c>
      <c r="B81">
        <v>16.169999999999998</v>
      </c>
      <c r="C81">
        <f>ROUNDDOWN(0.735,0)</f>
        <v>0</v>
      </c>
      <c r="D81">
        <v>2</v>
      </c>
      <c r="F81">
        <v>-0.35</v>
      </c>
      <c r="G81">
        <v>0.36</v>
      </c>
      <c r="H81">
        <v>0.71</v>
      </c>
      <c r="I81">
        <v>10.14</v>
      </c>
      <c r="J81">
        <v>2.29</v>
      </c>
      <c r="K81">
        <v>0.24</v>
      </c>
      <c r="L81">
        <v>0.03</v>
      </c>
      <c r="M81">
        <v>54.2</v>
      </c>
      <c r="O81">
        <v>2.0299999999999998</v>
      </c>
      <c r="P81">
        <v>1.35</v>
      </c>
      <c r="Q81">
        <v>0</v>
      </c>
      <c r="R81">
        <v>0</v>
      </c>
    </row>
    <row r="82" spans="1:18" x14ac:dyDescent="0.25">
      <c r="A82">
        <v>140</v>
      </c>
      <c r="B82">
        <v>16.38</v>
      </c>
      <c r="C82">
        <f>ROUNDDOWN(0.744545454545455,0)</f>
        <v>0</v>
      </c>
      <c r="D82">
        <v>1.55</v>
      </c>
      <c r="F82">
        <v>-0.24</v>
      </c>
      <c r="G82">
        <v>0.46</v>
      </c>
      <c r="H82">
        <v>0.78</v>
      </c>
      <c r="I82">
        <v>10.07</v>
      </c>
      <c r="J82">
        <v>2.2400000000000002</v>
      </c>
      <c r="K82">
        <v>0.4</v>
      </c>
      <c r="L82">
        <v>0.02</v>
      </c>
      <c r="M82">
        <v>54.2</v>
      </c>
      <c r="O82">
        <v>2.0299999999999998</v>
      </c>
      <c r="P82">
        <v>1.36</v>
      </c>
      <c r="Q82">
        <v>0</v>
      </c>
      <c r="R82">
        <v>0</v>
      </c>
    </row>
    <row r="83" spans="1:18" x14ac:dyDescent="0.25">
      <c r="A83">
        <v>140</v>
      </c>
      <c r="B83">
        <v>16.59</v>
      </c>
      <c r="C83">
        <f>ROUNDDOWN(0.754090909090909,0)</f>
        <v>0</v>
      </c>
      <c r="D83">
        <v>1.08</v>
      </c>
      <c r="F83">
        <v>-0.14000000000000001</v>
      </c>
      <c r="G83">
        <v>0.56999999999999995</v>
      </c>
      <c r="H83">
        <v>0.84</v>
      </c>
      <c r="I83">
        <v>9.8800000000000008</v>
      </c>
      <c r="J83">
        <v>2.1800000000000002</v>
      </c>
      <c r="K83">
        <v>0.59</v>
      </c>
      <c r="L83">
        <v>-0.05</v>
      </c>
      <c r="M83">
        <v>54.2</v>
      </c>
      <c r="O83">
        <v>2.0299999999999998</v>
      </c>
      <c r="P83">
        <v>1.37</v>
      </c>
      <c r="Q83">
        <v>0</v>
      </c>
      <c r="R83">
        <v>0</v>
      </c>
    </row>
    <row r="84" spans="1:18" x14ac:dyDescent="0.25">
      <c r="A84">
        <v>140</v>
      </c>
      <c r="B84">
        <v>16.8</v>
      </c>
      <c r="C84">
        <f>ROUNDDOWN(0.763636363636364,0)</f>
        <v>0</v>
      </c>
      <c r="D84">
        <v>0.72</v>
      </c>
      <c r="F84">
        <v>0</v>
      </c>
      <c r="G84">
        <v>0.71</v>
      </c>
      <c r="H84">
        <v>0.94</v>
      </c>
      <c r="I84">
        <v>9.7200000000000006</v>
      </c>
      <c r="J84">
        <v>2.12</v>
      </c>
      <c r="K84">
        <v>0.81</v>
      </c>
      <c r="L84">
        <v>-0.05</v>
      </c>
      <c r="M84">
        <v>54.2</v>
      </c>
      <c r="O84">
        <v>2.02</v>
      </c>
      <c r="P84">
        <v>1.38</v>
      </c>
      <c r="Q84">
        <v>0</v>
      </c>
      <c r="R84">
        <v>0</v>
      </c>
    </row>
    <row r="85" spans="1:18" x14ac:dyDescent="0.25">
      <c r="A85">
        <v>140</v>
      </c>
      <c r="B85">
        <v>17.009999999999998</v>
      </c>
      <c r="C85">
        <f>ROUNDDOWN(0.773181818181818,0)</f>
        <v>0</v>
      </c>
      <c r="D85">
        <v>0.43</v>
      </c>
      <c r="F85">
        <v>0.08</v>
      </c>
      <c r="G85">
        <v>0.8</v>
      </c>
      <c r="H85">
        <v>1.03</v>
      </c>
      <c r="I85">
        <v>9.5399999999999991</v>
      </c>
      <c r="J85">
        <v>2.08</v>
      </c>
      <c r="K85">
        <v>1</v>
      </c>
      <c r="L85">
        <v>-7.0000000000000007E-2</v>
      </c>
      <c r="M85">
        <v>54.2</v>
      </c>
      <c r="O85">
        <v>2.02</v>
      </c>
      <c r="P85">
        <v>1.39</v>
      </c>
      <c r="Q85">
        <v>0</v>
      </c>
      <c r="R85">
        <v>0</v>
      </c>
    </row>
    <row r="86" spans="1:18" x14ac:dyDescent="0.25">
      <c r="A86">
        <v>140</v>
      </c>
      <c r="B86">
        <v>17.22</v>
      </c>
      <c r="C86">
        <f>ROUNDDOWN(0.782727272727273,0)</f>
        <v>0</v>
      </c>
      <c r="D86">
        <v>0.11</v>
      </c>
      <c r="F86">
        <v>0.18</v>
      </c>
      <c r="G86">
        <v>0.91</v>
      </c>
      <c r="H86">
        <v>1.1000000000000001</v>
      </c>
      <c r="I86">
        <v>9.3000000000000007</v>
      </c>
      <c r="J86">
        <v>2.0299999999999998</v>
      </c>
      <c r="K86">
        <v>1.17</v>
      </c>
      <c r="L86">
        <v>-0.14000000000000001</v>
      </c>
      <c r="M86">
        <v>54.2</v>
      </c>
      <c r="O86">
        <v>2.02</v>
      </c>
      <c r="P86">
        <v>1.4</v>
      </c>
      <c r="Q86">
        <v>0</v>
      </c>
      <c r="R86">
        <v>0</v>
      </c>
    </row>
    <row r="87" spans="1:18" x14ac:dyDescent="0.25">
      <c r="A87">
        <v>140</v>
      </c>
      <c r="B87">
        <v>17.43</v>
      </c>
      <c r="C87">
        <f>ROUNDDOWN(0.792272727272727,0)</f>
        <v>0</v>
      </c>
      <c r="D87">
        <v>-0.3</v>
      </c>
      <c r="F87">
        <v>0.25</v>
      </c>
      <c r="G87">
        <v>1.01</v>
      </c>
      <c r="H87">
        <v>1.1399999999999999</v>
      </c>
      <c r="I87">
        <v>8.99</v>
      </c>
      <c r="J87">
        <v>2</v>
      </c>
      <c r="K87">
        <v>1.35</v>
      </c>
      <c r="L87">
        <v>-0.25</v>
      </c>
      <c r="M87">
        <v>54.2</v>
      </c>
      <c r="O87">
        <v>2.02</v>
      </c>
      <c r="P87">
        <v>1.41</v>
      </c>
      <c r="Q87">
        <v>0</v>
      </c>
      <c r="R87">
        <v>0</v>
      </c>
    </row>
    <row r="88" spans="1:18" x14ac:dyDescent="0.25">
      <c r="A88">
        <v>140</v>
      </c>
      <c r="B88">
        <v>17.64</v>
      </c>
      <c r="C88">
        <f>ROUNDDOWN(0.801818181818182,0)</f>
        <v>0</v>
      </c>
      <c r="D88">
        <v>-0.65</v>
      </c>
      <c r="F88">
        <v>0.28000000000000003</v>
      </c>
      <c r="G88">
        <v>1.06</v>
      </c>
      <c r="H88">
        <v>1.19</v>
      </c>
      <c r="I88">
        <v>8.76</v>
      </c>
      <c r="J88">
        <v>1.96</v>
      </c>
      <c r="K88">
        <v>1.47</v>
      </c>
      <c r="L88">
        <v>-0.3</v>
      </c>
      <c r="M88">
        <v>54.2</v>
      </c>
      <c r="O88">
        <v>2.0099999999999998</v>
      </c>
      <c r="P88">
        <v>1.42</v>
      </c>
      <c r="Q88">
        <v>0</v>
      </c>
      <c r="R88">
        <v>0</v>
      </c>
    </row>
    <row r="89" spans="1:18" x14ac:dyDescent="0.25">
      <c r="A89">
        <v>140</v>
      </c>
      <c r="B89">
        <v>17.849999999999998</v>
      </c>
      <c r="C89">
        <f>ROUNDDOWN(0.811363636363636,0)</f>
        <v>0</v>
      </c>
      <c r="D89">
        <v>-0.82</v>
      </c>
      <c r="F89">
        <v>0.3</v>
      </c>
      <c r="G89">
        <v>1.1000000000000001</v>
      </c>
      <c r="H89">
        <v>1.17</v>
      </c>
      <c r="I89">
        <v>8.7100000000000009</v>
      </c>
      <c r="J89">
        <v>1.93</v>
      </c>
      <c r="K89">
        <v>1.44</v>
      </c>
      <c r="L89">
        <v>-0.32</v>
      </c>
      <c r="M89">
        <v>54.2</v>
      </c>
      <c r="O89">
        <v>2.0099999999999998</v>
      </c>
      <c r="P89">
        <v>1.42</v>
      </c>
      <c r="Q89">
        <v>0</v>
      </c>
      <c r="R89">
        <v>0</v>
      </c>
    </row>
    <row r="90" spans="1:18" x14ac:dyDescent="0.25">
      <c r="A90">
        <v>140</v>
      </c>
      <c r="B90">
        <v>18.059999999999999</v>
      </c>
      <c r="C90">
        <f>ROUNDDOWN(0.820909090909091,0)</f>
        <v>0</v>
      </c>
      <c r="D90">
        <v>-0.8</v>
      </c>
      <c r="F90">
        <v>0.3</v>
      </c>
      <c r="G90">
        <v>1.1200000000000001</v>
      </c>
      <c r="H90">
        <v>1.1200000000000001</v>
      </c>
      <c r="I90">
        <v>8.81</v>
      </c>
      <c r="J90">
        <v>1.9</v>
      </c>
      <c r="K90">
        <v>1.29</v>
      </c>
      <c r="L90">
        <v>-0.3</v>
      </c>
      <c r="M90">
        <v>54.2</v>
      </c>
      <c r="O90">
        <v>2.0099999999999998</v>
      </c>
      <c r="P90">
        <v>1.43</v>
      </c>
      <c r="Q90">
        <v>0</v>
      </c>
      <c r="R90">
        <v>0</v>
      </c>
    </row>
    <row r="91" spans="1:18" x14ac:dyDescent="0.25">
      <c r="A91">
        <v>140</v>
      </c>
      <c r="B91">
        <v>18.27</v>
      </c>
      <c r="C91">
        <f>ROUNDDOWN(0.830454545454545,0)</f>
        <v>0</v>
      </c>
      <c r="D91">
        <v>-0.61</v>
      </c>
      <c r="F91">
        <v>0.32</v>
      </c>
      <c r="G91">
        <v>1.1599999999999999</v>
      </c>
      <c r="H91">
        <v>1.04</v>
      </c>
      <c r="I91">
        <v>9.0500000000000007</v>
      </c>
      <c r="J91">
        <v>1.86</v>
      </c>
      <c r="K91">
        <v>1.06</v>
      </c>
      <c r="L91">
        <v>-0.24</v>
      </c>
      <c r="M91">
        <v>54.2</v>
      </c>
      <c r="O91">
        <v>2.0099999999999998</v>
      </c>
      <c r="P91">
        <v>1.44</v>
      </c>
      <c r="Q91">
        <v>0</v>
      </c>
      <c r="R91">
        <v>0</v>
      </c>
    </row>
    <row r="92" spans="1:18" x14ac:dyDescent="0.25">
      <c r="A92">
        <v>140</v>
      </c>
      <c r="B92">
        <v>18.48</v>
      </c>
      <c r="C92">
        <f>ROUNDDOWN(0.84,0)</f>
        <v>0</v>
      </c>
      <c r="D92">
        <v>-0.41</v>
      </c>
      <c r="F92">
        <v>0.33</v>
      </c>
      <c r="G92">
        <v>1.19</v>
      </c>
      <c r="H92">
        <v>0.95</v>
      </c>
      <c r="I92">
        <v>9.2799999999999994</v>
      </c>
      <c r="J92">
        <v>1.83</v>
      </c>
      <c r="K92">
        <v>0.82</v>
      </c>
      <c r="L92">
        <v>-0.21</v>
      </c>
      <c r="M92">
        <v>54.2</v>
      </c>
      <c r="O92">
        <v>2</v>
      </c>
      <c r="P92">
        <v>1.45</v>
      </c>
      <c r="Q92">
        <v>0</v>
      </c>
      <c r="R92">
        <v>0</v>
      </c>
    </row>
    <row r="93" spans="1:18" x14ac:dyDescent="0.25">
      <c r="A93">
        <v>140</v>
      </c>
      <c r="B93">
        <v>18.689999999999998</v>
      </c>
      <c r="C93">
        <f>ROUNDDOWN(0.849545454545454,0)</f>
        <v>0</v>
      </c>
      <c r="D93">
        <v>-0.23</v>
      </c>
      <c r="F93">
        <v>0.31</v>
      </c>
      <c r="G93">
        <v>1.21</v>
      </c>
      <c r="H93">
        <v>0.81</v>
      </c>
      <c r="I93">
        <v>9.5299999999999994</v>
      </c>
      <c r="J93">
        <v>1.81</v>
      </c>
      <c r="K93">
        <v>0.56000000000000005</v>
      </c>
      <c r="L93">
        <v>-0.21</v>
      </c>
      <c r="M93">
        <v>54.2</v>
      </c>
      <c r="O93">
        <v>2</v>
      </c>
      <c r="P93">
        <v>1.45</v>
      </c>
      <c r="Q93">
        <v>0</v>
      </c>
      <c r="R93">
        <v>0</v>
      </c>
    </row>
    <row r="94" spans="1:18" x14ac:dyDescent="0.25">
      <c r="A94">
        <v>140</v>
      </c>
      <c r="B94">
        <v>18.899999999999999</v>
      </c>
      <c r="C94">
        <f>ROUNDDOWN(0.859090909090909,0)</f>
        <v>0</v>
      </c>
      <c r="D94">
        <v>-0.15</v>
      </c>
      <c r="F94">
        <v>0.28000000000000003</v>
      </c>
      <c r="G94">
        <v>1.2</v>
      </c>
      <c r="H94">
        <v>0.68</v>
      </c>
      <c r="I94">
        <v>9.75</v>
      </c>
      <c r="J94">
        <v>1.8</v>
      </c>
      <c r="K94">
        <v>0.33</v>
      </c>
      <c r="L94">
        <v>-0.22</v>
      </c>
      <c r="M94">
        <v>54.2</v>
      </c>
      <c r="O94">
        <v>2</v>
      </c>
      <c r="P94">
        <v>1.46</v>
      </c>
      <c r="Q94">
        <v>0</v>
      </c>
      <c r="R94">
        <v>0</v>
      </c>
    </row>
    <row r="95" spans="1:18" x14ac:dyDescent="0.25">
      <c r="A95">
        <v>140</v>
      </c>
      <c r="B95">
        <v>19.11</v>
      </c>
      <c r="C95">
        <f>ROUNDDOWN(0.868636363636364,0)</f>
        <v>0</v>
      </c>
      <c r="D95">
        <v>-0.04</v>
      </c>
      <c r="F95">
        <v>0.26</v>
      </c>
      <c r="G95">
        <v>1.19</v>
      </c>
      <c r="H95">
        <v>0.51</v>
      </c>
      <c r="I95">
        <v>10.029999999999999</v>
      </c>
      <c r="J95">
        <v>1.81</v>
      </c>
      <c r="K95">
        <v>0.05</v>
      </c>
      <c r="L95">
        <v>-0.25</v>
      </c>
      <c r="M95">
        <v>54.2</v>
      </c>
      <c r="O95">
        <v>1.99</v>
      </c>
      <c r="P95">
        <v>1.46</v>
      </c>
      <c r="Q95">
        <v>0</v>
      </c>
      <c r="R95">
        <v>0</v>
      </c>
    </row>
    <row r="96" spans="1:18" x14ac:dyDescent="0.25">
      <c r="A96">
        <v>140</v>
      </c>
      <c r="B96">
        <v>19.32</v>
      </c>
      <c r="C96">
        <f>ROUNDDOWN(0.878181818181818,0)</f>
        <v>0</v>
      </c>
      <c r="D96">
        <v>0.16</v>
      </c>
      <c r="F96">
        <v>0.24</v>
      </c>
      <c r="G96">
        <v>1.2</v>
      </c>
      <c r="H96">
        <v>0.3</v>
      </c>
      <c r="I96">
        <v>10.3</v>
      </c>
      <c r="J96">
        <v>1.84</v>
      </c>
      <c r="K96">
        <v>-0.26</v>
      </c>
      <c r="L96">
        <v>-0.32</v>
      </c>
      <c r="M96">
        <v>54.2</v>
      </c>
      <c r="O96">
        <v>1.99</v>
      </c>
      <c r="P96">
        <v>1.47</v>
      </c>
      <c r="Q96">
        <v>0</v>
      </c>
      <c r="R96">
        <v>0</v>
      </c>
    </row>
    <row r="97" spans="1:18" x14ac:dyDescent="0.25">
      <c r="A97">
        <v>140</v>
      </c>
      <c r="B97">
        <v>19.529999999999998</v>
      </c>
      <c r="C97">
        <f>ROUNDDOWN(0.887727272727273,0)</f>
        <v>0</v>
      </c>
      <c r="D97">
        <v>0.47</v>
      </c>
      <c r="F97">
        <v>0.23</v>
      </c>
      <c r="G97">
        <v>1.21</v>
      </c>
      <c r="H97">
        <v>0.06</v>
      </c>
      <c r="I97">
        <v>10.54</v>
      </c>
      <c r="J97">
        <v>1.88</v>
      </c>
      <c r="K97">
        <v>-0.55000000000000004</v>
      </c>
      <c r="L97">
        <v>-0.43</v>
      </c>
      <c r="M97">
        <v>54.2</v>
      </c>
      <c r="O97">
        <v>1.99</v>
      </c>
      <c r="P97">
        <v>1.47</v>
      </c>
      <c r="Q97">
        <v>0</v>
      </c>
      <c r="R97">
        <v>0</v>
      </c>
    </row>
    <row r="98" spans="1:18" x14ac:dyDescent="0.25">
      <c r="A98">
        <v>140</v>
      </c>
      <c r="B98">
        <v>19.739999999999998</v>
      </c>
      <c r="C98">
        <f>ROUNDDOWN(0.897272727272727,0)</f>
        <v>0</v>
      </c>
      <c r="D98">
        <v>0.84</v>
      </c>
      <c r="F98">
        <v>0.27</v>
      </c>
      <c r="G98">
        <v>1.27</v>
      </c>
      <c r="H98">
        <v>-0.17</v>
      </c>
      <c r="I98">
        <v>10.71</v>
      </c>
      <c r="J98">
        <v>1.93</v>
      </c>
      <c r="K98">
        <v>-0.79</v>
      </c>
      <c r="L98">
        <v>-0.56999999999999995</v>
      </c>
      <c r="M98">
        <v>54.2</v>
      </c>
      <c r="O98">
        <v>1.98</v>
      </c>
      <c r="P98">
        <v>1.47</v>
      </c>
      <c r="Q98">
        <v>0</v>
      </c>
      <c r="R98">
        <v>0</v>
      </c>
    </row>
    <row r="99" spans="1:18" x14ac:dyDescent="0.25">
      <c r="A99">
        <v>140</v>
      </c>
      <c r="B99">
        <v>19.95</v>
      </c>
      <c r="C99">
        <f>ROUNDDOWN(0.906818181818182,0)</f>
        <v>0</v>
      </c>
      <c r="D99">
        <v>1.1399999999999999</v>
      </c>
      <c r="F99">
        <v>0.3</v>
      </c>
      <c r="G99">
        <v>1.32</v>
      </c>
      <c r="H99">
        <v>-0.37</v>
      </c>
      <c r="I99">
        <v>10.86</v>
      </c>
      <c r="J99">
        <v>1.99</v>
      </c>
      <c r="K99">
        <v>-0.98</v>
      </c>
      <c r="L99">
        <v>-0.69</v>
      </c>
      <c r="M99">
        <v>54.21</v>
      </c>
      <c r="O99">
        <v>1.98</v>
      </c>
      <c r="P99">
        <v>1.47</v>
      </c>
      <c r="Q99">
        <v>0</v>
      </c>
      <c r="R99">
        <v>0</v>
      </c>
    </row>
    <row r="100" spans="1:18" x14ac:dyDescent="0.25">
      <c r="A100">
        <v>140</v>
      </c>
      <c r="B100">
        <v>20.16</v>
      </c>
      <c r="C100">
        <f>ROUNDDOWN(0.916363636363636,0)</f>
        <v>0</v>
      </c>
      <c r="D100">
        <v>1.46</v>
      </c>
      <c r="F100">
        <v>0.3</v>
      </c>
      <c r="G100">
        <v>1.35</v>
      </c>
      <c r="H100">
        <v>-0.6</v>
      </c>
      <c r="I100">
        <v>11</v>
      </c>
      <c r="J100">
        <v>2.0499999999999998</v>
      </c>
      <c r="K100">
        <v>-1.17</v>
      </c>
      <c r="L100">
        <v>-0.83</v>
      </c>
      <c r="M100">
        <v>54.21</v>
      </c>
      <c r="O100">
        <v>1.98</v>
      </c>
      <c r="P100">
        <v>1.47</v>
      </c>
      <c r="Q100">
        <v>0</v>
      </c>
      <c r="R100">
        <v>0</v>
      </c>
    </row>
    <row r="101" spans="1:18" x14ac:dyDescent="0.25">
      <c r="A101">
        <v>140</v>
      </c>
      <c r="B101">
        <v>20.37</v>
      </c>
      <c r="C101">
        <f>ROUNDDOWN(0.925909090909091,0)</f>
        <v>0</v>
      </c>
      <c r="D101">
        <v>1.81</v>
      </c>
      <c r="F101">
        <v>0.28000000000000003</v>
      </c>
      <c r="G101">
        <v>1.35</v>
      </c>
      <c r="H101">
        <v>-0.76</v>
      </c>
      <c r="I101">
        <v>11.11</v>
      </c>
      <c r="J101">
        <v>2.12</v>
      </c>
      <c r="K101">
        <v>-1.27</v>
      </c>
      <c r="L101">
        <v>-0.91</v>
      </c>
      <c r="M101">
        <v>54.21</v>
      </c>
      <c r="O101">
        <v>1.97</v>
      </c>
      <c r="P101">
        <v>1.47</v>
      </c>
      <c r="Q101">
        <v>0</v>
      </c>
      <c r="R101">
        <v>0</v>
      </c>
    </row>
    <row r="102" spans="1:18" x14ac:dyDescent="0.25">
      <c r="A102">
        <v>140</v>
      </c>
      <c r="B102">
        <v>20.58</v>
      </c>
      <c r="C102">
        <f>ROUNDDOWN(0.935454545454545,0)</f>
        <v>0</v>
      </c>
      <c r="D102">
        <v>2.23</v>
      </c>
      <c r="F102">
        <v>0.23</v>
      </c>
      <c r="G102">
        <v>1.32</v>
      </c>
      <c r="H102">
        <v>-0.89</v>
      </c>
      <c r="I102">
        <v>11.22</v>
      </c>
      <c r="J102">
        <v>2.1800000000000002</v>
      </c>
      <c r="K102">
        <v>-1.34</v>
      </c>
      <c r="L102">
        <v>-0.96</v>
      </c>
      <c r="M102">
        <v>54.21</v>
      </c>
      <c r="O102">
        <v>1.97</v>
      </c>
      <c r="P102">
        <v>1.47</v>
      </c>
      <c r="Q102">
        <v>0</v>
      </c>
      <c r="R102">
        <v>0</v>
      </c>
    </row>
    <row r="103" spans="1:18" x14ac:dyDescent="0.25">
      <c r="A103">
        <v>140</v>
      </c>
      <c r="B103">
        <v>20.79</v>
      </c>
      <c r="C103">
        <f>ROUNDDOWN(0.945,0)</f>
        <v>0</v>
      </c>
      <c r="D103">
        <v>2.59</v>
      </c>
      <c r="F103">
        <v>0.17</v>
      </c>
      <c r="G103">
        <v>1.27</v>
      </c>
      <c r="H103">
        <v>-0.99</v>
      </c>
      <c r="I103">
        <v>11.36</v>
      </c>
      <c r="J103">
        <v>2.25</v>
      </c>
      <c r="K103">
        <v>-1.39</v>
      </c>
      <c r="L103">
        <v>-0.96</v>
      </c>
      <c r="M103">
        <v>54.21</v>
      </c>
      <c r="O103">
        <v>1.97</v>
      </c>
      <c r="P103">
        <v>1.46</v>
      </c>
      <c r="Q103">
        <v>0</v>
      </c>
      <c r="R103">
        <v>0</v>
      </c>
    </row>
    <row r="104" spans="1:18" x14ac:dyDescent="0.25">
      <c r="A104">
        <v>140</v>
      </c>
      <c r="B104">
        <v>21</v>
      </c>
      <c r="C104">
        <f>ROUNDDOWN(0.954545454545455,0)</f>
        <v>0</v>
      </c>
      <c r="D104">
        <v>2.83</v>
      </c>
      <c r="F104">
        <v>0.03</v>
      </c>
      <c r="G104">
        <v>1.1599999999999999</v>
      </c>
      <c r="H104">
        <v>-1.1499999999999999</v>
      </c>
      <c r="I104">
        <v>11.54</v>
      </c>
      <c r="J104">
        <v>2.33</v>
      </c>
      <c r="K104">
        <v>-1.5</v>
      </c>
      <c r="L104">
        <v>-1</v>
      </c>
      <c r="M104">
        <v>54.21</v>
      </c>
      <c r="O104">
        <v>1.96</v>
      </c>
      <c r="P104">
        <v>1.46</v>
      </c>
      <c r="Q104">
        <v>0</v>
      </c>
      <c r="R104">
        <v>0</v>
      </c>
    </row>
    <row r="105" spans="1:18" x14ac:dyDescent="0.25">
      <c r="A105">
        <v>140</v>
      </c>
      <c r="B105">
        <v>21.21</v>
      </c>
      <c r="C105">
        <f>ROUNDDOWN(0.964090909090909,0)</f>
        <v>0</v>
      </c>
      <c r="D105">
        <v>2.94</v>
      </c>
      <c r="F105">
        <v>-0.08</v>
      </c>
      <c r="G105">
        <v>1.05</v>
      </c>
      <c r="H105">
        <v>-1.26</v>
      </c>
      <c r="I105">
        <v>11.75</v>
      </c>
      <c r="J105">
        <v>2.4</v>
      </c>
      <c r="K105">
        <v>-1.58</v>
      </c>
      <c r="L105">
        <v>-0.98</v>
      </c>
      <c r="M105">
        <v>54.21</v>
      </c>
      <c r="O105">
        <v>1.96</v>
      </c>
      <c r="P105">
        <v>1.46</v>
      </c>
      <c r="Q105">
        <v>0</v>
      </c>
      <c r="R105">
        <v>0</v>
      </c>
    </row>
    <row r="106" spans="1:18" x14ac:dyDescent="0.25">
      <c r="A106">
        <v>140</v>
      </c>
      <c r="B106">
        <v>21.419999999999998</v>
      </c>
      <c r="C106">
        <f>ROUNDDOWN(0.973636363636364,0)</f>
        <v>0</v>
      </c>
      <c r="D106">
        <v>2.87</v>
      </c>
      <c r="F106">
        <v>-0.22</v>
      </c>
      <c r="G106">
        <v>0.91</v>
      </c>
      <c r="H106">
        <v>-1.35</v>
      </c>
      <c r="I106">
        <v>11.92</v>
      </c>
      <c r="J106">
        <v>2.48</v>
      </c>
      <c r="K106">
        <v>-1.61</v>
      </c>
      <c r="L106">
        <v>-0.95</v>
      </c>
      <c r="M106">
        <v>54.21</v>
      </c>
      <c r="O106">
        <v>1.95</v>
      </c>
      <c r="P106">
        <v>1.45</v>
      </c>
      <c r="Q106">
        <v>0</v>
      </c>
      <c r="R106">
        <v>0</v>
      </c>
    </row>
    <row r="107" spans="1:18" x14ac:dyDescent="0.25">
      <c r="A107">
        <v>140</v>
      </c>
      <c r="B107">
        <v>21.63</v>
      </c>
      <c r="C107">
        <f>ROUNDDOWN(0.983181818181818,0)</f>
        <v>0</v>
      </c>
      <c r="D107">
        <v>2.72</v>
      </c>
      <c r="F107">
        <v>-0.31</v>
      </c>
      <c r="G107">
        <v>0.82</v>
      </c>
      <c r="H107">
        <v>-1.48</v>
      </c>
      <c r="I107">
        <v>12.01</v>
      </c>
      <c r="J107">
        <v>2.5499999999999998</v>
      </c>
      <c r="K107">
        <v>-1.63</v>
      </c>
      <c r="L107">
        <v>-1.01</v>
      </c>
      <c r="M107">
        <v>54.21</v>
      </c>
      <c r="O107">
        <v>1.95</v>
      </c>
      <c r="P107">
        <v>1.45</v>
      </c>
      <c r="Q107">
        <v>0</v>
      </c>
      <c r="R107">
        <v>0</v>
      </c>
    </row>
    <row r="108" spans="1:18" x14ac:dyDescent="0.25">
      <c r="A108">
        <v>140</v>
      </c>
      <c r="B108">
        <v>21.84</v>
      </c>
      <c r="C108">
        <f>ROUNDDOWN(0.992727272727273,0)</f>
        <v>0</v>
      </c>
      <c r="D108">
        <v>2.57</v>
      </c>
      <c r="F108">
        <v>-0.38</v>
      </c>
      <c r="G108">
        <v>0.74</v>
      </c>
      <c r="H108">
        <v>-1.66</v>
      </c>
      <c r="I108">
        <v>12.1</v>
      </c>
      <c r="J108">
        <v>2.62</v>
      </c>
      <c r="K108">
        <v>-1.71</v>
      </c>
      <c r="L108">
        <v>-1.1100000000000001</v>
      </c>
      <c r="M108">
        <v>54.21</v>
      </c>
      <c r="O108">
        <v>1.95</v>
      </c>
      <c r="P108">
        <v>1.45</v>
      </c>
      <c r="Q108">
        <v>0</v>
      </c>
      <c r="R108">
        <v>0</v>
      </c>
    </row>
    <row r="109" spans="1:18" x14ac:dyDescent="0.25">
      <c r="A109">
        <v>140</v>
      </c>
      <c r="B109">
        <v>22.05</v>
      </c>
      <c r="C109">
        <f>ROUNDDOWN(1.00227272727273,0)</f>
        <v>1</v>
      </c>
      <c r="D109">
        <v>2.48</v>
      </c>
      <c r="F109">
        <v>-0.42</v>
      </c>
      <c r="G109">
        <v>0.68</v>
      </c>
      <c r="H109">
        <v>-1.8</v>
      </c>
      <c r="I109">
        <v>12.23</v>
      </c>
      <c r="J109">
        <v>2.68</v>
      </c>
      <c r="K109">
        <v>-1.75</v>
      </c>
      <c r="L109">
        <v>-1.1399999999999999</v>
      </c>
      <c r="M109">
        <v>54.21</v>
      </c>
      <c r="O109">
        <v>1.94</v>
      </c>
      <c r="P109">
        <v>1.44</v>
      </c>
      <c r="Q109">
        <v>0</v>
      </c>
      <c r="R109">
        <v>0</v>
      </c>
    </row>
    <row r="110" spans="1:18" x14ac:dyDescent="0.25">
      <c r="A110">
        <v>140</v>
      </c>
      <c r="B110">
        <v>22.259999999999998</v>
      </c>
      <c r="C110">
        <f>ROUNDDOWN(1.01181818181818,0)</f>
        <v>1</v>
      </c>
      <c r="D110">
        <v>2.36</v>
      </c>
      <c r="F110">
        <v>-0.42</v>
      </c>
      <c r="G110">
        <v>0.67</v>
      </c>
      <c r="H110">
        <v>-1.87</v>
      </c>
      <c r="I110">
        <v>12.38</v>
      </c>
      <c r="J110">
        <v>2.74</v>
      </c>
      <c r="K110">
        <v>-1.74</v>
      </c>
      <c r="L110">
        <v>-1.1000000000000001</v>
      </c>
      <c r="M110">
        <v>54.21</v>
      </c>
      <c r="O110">
        <v>1.94</v>
      </c>
      <c r="P110">
        <v>1.44</v>
      </c>
      <c r="Q110">
        <v>0</v>
      </c>
      <c r="R110">
        <v>0</v>
      </c>
    </row>
    <row r="111" spans="1:18" x14ac:dyDescent="0.25">
      <c r="A111">
        <v>140</v>
      </c>
      <c r="B111">
        <v>22.47</v>
      </c>
      <c r="C111">
        <f>ROUNDDOWN(1.02136363636364,0)</f>
        <v>1</v>
      </c>
      <c r="D111">
        <v>2.17</v>
      </c>
      <c r="F111">
        <v>-0.43</v>
      </c>
      <c r="G111">
        <v>0.65</v>
      </c>
      <c r="H111">
        <v>-1.99</v>
      </c>
      <c r="I111">
        <v>12.47</v>
      </c>
      <c r="J111">
        <v>2.8</v>
      </c>
      <c r="K111">
        <v>-1.73</v>
      </c>
      <c r="L111">
        <v>-1.1299999999999999</v>
      </c>
      <c r="M111">
        <v>54.21</v>
      </c>
      <c r="O111">
        <v>1.93</v>
      </c>
      <c r="P111">
        <v>1.44</v>
      </c>
      <c r="Q111">
        <v>0</v>
      </c>
      <c r="R111">
        <v>0</v>
      </c>
    </row>
    <row r="112" spans="1:18" x14ac:dyDescent="0.25">
      <c r="A112">
        <v>140</v>
      </c>
      <c r="B112">
        <v>22.68</v>
      </c>
      <c r="C112">
        <f>ROUNDDOWN(1.03090909090909,0)</f>
        <v>1</v>
      </c>
      <c r="D112">
        <v>2</v>
      </c>
      <c r="F112">
        <v>-0.4</v>
      </c>
      <c r="G112">
        <v>0.66</v>
      </c>
      <c r="H112">
        <v>-2.15</v>
      </c>
      <c r="I112">
        <v>12.54</v>
      </c>
      <c r="J112">
        <v>2.85</v>
      </c>
      <c r="K112">
        <v>-1.77</v>
      </c>
      <c r="L112">
        <v>-1.22</v>
      </c>
      <c r="M112">
        <v>54.21</v>
      </c>
      <c r="O112">
        <v>1.93</v>
      </c>
      <c r="P112">
        <v>1.44</v>
      </c>
      <c r="Q112">
        <v>0</v>
      </c>
      <c r="R112">
        <v>0</v>
      </c>
    </row>
    <row r="113" spans="1:18" x14ac:dyDescent="0.25">
      <c r="A113">
        <v>140</v>
      </c>
      <c r="B113">
        <v>22.89</v>
      </c>
      <c r="C113">
        <f>ROUNDDOWN(1.04045454545455,0)</f>
        <v>1</v>
      </c>
      <c r="D113">
        <v>1.92</v>
      </c>
      <c r="F113">
        <v>-0.37</v>
      </c>
      <c r="G113">
        <v>0.68</v>
      </c>
      <c r="H113">
        <v>-2.25</v>
      </c>
      <c r="I113">
        <v>12.63</v>
      </c>
      <c r="J113">
        <v>2.87</v>
      </c>
      <c r="K113">
        <v>-1.74</v>
      </c>
      <c r="L113">
        <v>-1.22</v>
      </c>
      <c r="M113">
        <v>54.21</v>
      </c>
      <c r="O113">
        <v>1.93</v>
      </c>
      <c r="P113">
        <v>1.43</v>
      </c>
      <c r="Q113">
        <v>0</v>
      </c>
      <c r="R113">
        <v>0</v>
      </c>
    </row>
    <row r="114" spans="1:18" x14ac:dyDescent="0.25">
      <c r="A114">
        <v>140</v>
      </c>
      <c r="B114">
        <v>23.099999999999998</v>
      </c>
      <c r="C114">
        <f>ROUNDDOWN(1.05,0)</f>
        <v>1</v>
      </c>
      <c r="D114">
        <v>1.88</v>
      </c>
      <c r="F114">
        <v>-0.28000000000000003</v>
      </c>
      <c r="G114">
        <v>0.75</v>
      </c>
      <c r="H114">
        <v>-2.27</v>
      </c>
      <c r="I114">
        <v>12.74</v>
      </c>
      <c r="J114">
        <v>2.89</v>
      </c>
      <c r="K114">
        <v>-1.64</v>
      </c>
      <c r="L114">
        <v>-1.1399999999999999</v>
      </c>
      <c r="M114">
        <v>54.21</v>
      </c>
      <c r="O114">
        <v>1.92</v>
      </c>
      <c r="P114">
        <v>1.43</v>
      </c>
      <c r="Q114">
        <v>0</v>
      </c>
      <c r="R114">
        <v>0</v>
      </c>
    </row>
    <row r="115" spans="1:18" x14ac:dyDescent="0.25">
      <c r="A115">
        <v>140</v>
      </c>
      <c r="B115">
        <v>23.31</v>
      </c>
      <c r="C115">
        <f>ROUNDDOWN(1.05954545454545,0)</f>
        <v>1</v>
      </c>
      <c r="D115">
        <v>1.79</v>
      </c>
      <c r="F115">
        <v>-0.2</v>
      </c>
      <c r="G115">
        <v>0.83</v>
      </c>
      <c r="H115">
        <v>-2.3199999999999998</v>
      </c>
      <c r="I115">
        <v>12.79</v>
      </c>
      <c r="J115">
        <v>2.88</v>
      </c>
      <c r="K115">
        <v>-1.55</v>
      </c>
      <c r="L115">
        <v>-1.1200000000000001</v>
      </c>
      <c r="M115">
        <v>54.21</v>
      </c>
      <c r="O115">
        <v>1.92</v>
      </c>
      <c r="P115">
        <v>1.44</v>
      </c>
      <c r="Q115">
        <v>0</v>
      </c>
      <c r="R115">
        <v>0</v>
      </c>
    </row>
    <row r="116" spans="1:18" x14ac:dyDescent="0.25">
      <c r="A116">
        <v>140</v>
      </c>
      <c r="B116">
        <v>23.52</v>
      </c>
      <c r="C116">
        <f>ROUNDDOWN(1.06909090909091,0)</f>
        <v>1</v>
      </c>
      <c r="D116">
        <v>1.67</v>
      </c>
      <c r="F116">
        <v>-0.13</v>
      </c>
      <c r="G116">
        <v>0.89</v>
      </c>
      <c r="H116">
        <v>-2.4500000000000002</v>
      </c>
      <c r="I116">
        <v>12.78</v>
      </c>
      <c r="J116">
        <v>2.86</v>
      </c>
      <c r="K116">
        <v>-1.52</v>
      </c>
      <c r="L116">
        <v>-1.21</v>
      </c>
      <c r="M116">
        <v>54.21</v>
      </c>
      <c r="O116">
        <v>1.91</v>
      </c>
      <c r="P116">
        <v>1.44</v>
      </c>
      <c r="Q116">
        <v>0</v>
      </c>
      <c r="R116">
        <v>0</v>
      </c>
    </row>
    <row r="117" spans="1:18" x14ac:dyDescent="0.25">
      <c r="A117">
        <v>140</v>
      </c>
      <c r="B117">
        <v>23.73</v>
      </c>
      <c r="C117">
        <f>ROUNDDOWN(1.07863636363636,0)</f>
        <v>1</v>
      </c>
      <c r="D117">
        <v>1.53</v>
      </c>
      <c r="F117">
        <v>-0.1</v>
      </c>
      <c r="G117">
        <v>0.92</v>
      </c>
      <c r="H117">
        <v>-2.57</v>
      </c>
      <c r="I117">
        <v>12.75</v>
      </c>
      <c r="J117">
        <v>2.84</v>
      </c>
      <c r="K117">
        <v>-1.46</v>
      </c>
      <c r="L117">
        <v>-1.28</v>
      </c>
      <c r="M117">
        <v>54.21</v>
      </c>
      <c r="O117">
        <v>1.91</v>
      </c>
      <c r="P117">
        <v>1.44</v>
      </c>
      <c r="Q117">
        <v>0</v>
      </c>
      <c r="R117">
        <v>0</v>
      </c>
    </row>
    <row r="118" spans="1:18" x14ac:dyDescent="0.25">
      <c r="A118">
        <v>140</v>
      </c>
      <c r="B118">
        <v>23.939999999999998</v>
      </c>
      <c r="C118">
        <f>ROUNDDOWN(1.08818181818182,0)</f>
        <v>1</v>
      </c>
      <c r="D118">
        <v>1.41</v>
      </c>
      <c r="F118">
        <v>-0.12</v>
      </c>
      <c r="G118">
        <v>0.9</v>
      </c>
      <c r="H118">
        <v>-2.6</v>
      </c>
      <c r="I118">
        <v>12.76</v>
      </c>
      <c r="J118">
        <v>2.81</v>
      </c>
      <c r="K118">
        <v>-1.35</v>
      </c>
      <c r="L118">
        <v>-1.25</v>
      </c>
      <c r="M118">
        <v>54.21</v>
      </c>
      <c r="O118">
        <v>1.91</v>
      </c>
      <c r="P118">
        <v>1.44</v>
      </c>
      <c r="Q118">
        <v>0</v>
      </c>
      <c r="R118">
        <v>0</v>
      </c>
    </row>
    <row r="119" spans="1:18" x14ac:dyDescent="0.25">
      <c r="A119">
        <v>140</v>
      </c>
      <c r="B119">
        <v>24.15</v>
      </c>
      <c r="C119">
        <f>ROUNDDOWN(1.09772727272727,0)</f>
        <v>1</v>
      </c>
      <c r="D119">
        <v>1.25</v>
      </c>
      <c r="F119">
        <v>-0.17</v>
      </c>
      <c r="G119">
        <v>0.84</v>
      </c>
      <c r="H119">
        <v>-2.64</v>
      </c>
      <c r="I119">
        <v>12.78</v>
      </c>
      <c r="J119">
        <v>2.77</v>
      </c>
      <c r="K119">
        <v>-1.25</v>
      </c>
      <c r="L119">
        <v>-1.21</v>
      </c>
      <c r="M119">
        <v>54.21</v>
      </c>
      <c r="O119">
        <v>1.9</v>
      </c>
      <c r="P119">
        <v>1.45</v>
      </c>
      <c r="Q119">
        <v>0</v>
      </c>
      <c r="R119">
        <v>0</v>
      </c>
    </row>
    <row r="120" spans="1:18" x14ac:dyDescent="0.25">
      <c r="A120">
        <v>140</v>
      </c>
      <c r="B120">
        <v>24.36</v>
      </c>
      <c r="C120">
        <f>ROUNDDOWN(1.10727272727273,0)</f>
        <v>1</v>
      </c>
      <c r="D120">
        <v>1</v>
      </c>
      <c r="F120">
        <v>-0.26</v>
      </c>
      <c r="G120">
        <v>0.74</v>
      </c>
      <c r="H120">
        <v>-2.7</v>
      </c>
      <c r="I120">
        <v>12.76</v>
      </c>
      <c r="J120">
        <v>2.74</v>
      </c>
      <c r="K120">
        <v>-1.1599999999999999</v>
      </c>
      <c r="L120">
        <v>-1.21</v>
      </c>
      <c r="M120">
        <v>54.21</v>
      </c>
      <c r="O120">
        <v>1.9</v>
      </c>
      <c r="P120">
        <v>1.45</v>
      </c>
      <c r="Q120">
        <v>0</v>
      </c>
      <c r="R120">
        <v>0</v>
      </c>
    </row>
    <row r="121" spans="1:18" x14ac:dyDescent="0.25">
      <c r="A121">
        <v>140</v>
      </c>
      <c r="B121">
        <v>24.57</v>
      </c>
      <c r="C121">
        <f>ROUNDDOWN(1.11681818181818,0)</f>
        <v>1</v>
      </c>
      <c r="D121">
        <v>0.72</v>
      </c>
      <c r="F121">
        <v>-0.35</v>
      </c>
      <c r="G121">
        <v>0.64</v>
      </c>
      <c r="H121">
        <v>-2.69</v>
      </c>
      <c r="I121">
        <v>12.63</v>
      </c>
      <c r="J121">
        <v>2.71</v>
      </c>
      <c r="K121">
        <v>-0.95</v>
      </c>
      <c r="L121">
        <v>-1.19</v>
      </c>
      <c r="M121">
        <v>54.22</v>
      </c>
      <c r="O121">
        <v>1.89</v>
      </c>
      <c r="P121">
        <v>1.46</v>
      </c>
      <c r="Q121">
        <v>0</v>
      </c>
      <c r="R121">
        <v>0</v>
      </c>
    </row>
    <row r="122" spans="1:18" x14ac:dyDescent="0.25">
      <c r="A122">
        <v>140</v>
      </c>
      <c r="B122">
        <v>24.779999999999998</v>
      </c>
      <c r="C122">
        <f>ROUNDDOWN(1.12636363636364,0)</f>
        <v>1</v>
      </c>
      <c r="D122">
        <v>0.5</v>
      </c>
      <c r="F122">
        <v>-0.41</v>
      </c>
      <c r="G122">
        <v>0.55000000000000004</v>
      </c>
      <c r="H122">
        <v>-2.57</v>
      </c>
      <c r="I122">
        <v>12.51</v>
      </c>
      <c r="J122">
        <v>2.67</v>
      </c>
      <c r="K122">
        <v>-0.65</v>
      </c>
      <c r="L122">
        <v>-1.06</v>
      </c>
      <c r="M122">
        <v>54.22</v>
      </c>
      <c r="O122">
        <v>1.89</v>
      </c>
      <c r="P122">
        <v>1.47</v>
      </c>
      <c r="Q122">
        <v>0</v>
      </c>
      <c r="R122">
        <v>0</v>
      </c>
    </row>
    <row r="123" spans="1:18" x14ac:dyDescent="0.25">
      <c r="A123">
        <v>140</v>
      </c>
      <c r="B123">
        <v>24.99</v>
      </c>
      <c r="C123">
        <f>ROUNDDOWN(1.13590909090909,0)</f>
        <v>1</v>
      </c>
      <c r="D123">
        <v>0.4</v>
      </c>
      <c r="F123">
        <v>-0.41</v>
      </c>
      <c r="G123">
        <v>0.53</v>
      </c>
      <c r="H123">
        <v>-2.4300000000000002</v>
      </c>
      <c r="I123">
        <v>12.5</v>
      </c>
      <c r="J123">
        <v>2.62</v>
      </c>
      <c r="K123">
        <v>-0.4</v>
      </c>
      <c r="L123">
        <v>-0.84</v>
      </c>
      <c r="M123">
        <v>54.22</v>
      </c>
      <c r="O123">
        <v>1.88</v>
      </c>
      <c r="P123">
        <v>1.47</v>
      </c>
      <c r="Q123">
        <v>0</v>
      </c>
      <c r="R123">
        <v>0</v>
      </c>
    </row>
    <row r="124" spans="1:18" x14ac:dyDescent="0.25">
      <c r="A124">
        <v>140</v>
      </c>
      <c r="B124">
        <v>25.2</v>
      </c>
      <c r="C124">
        <f>ROUNDDOWN(1.14545454545455,0)</f>
        <v>1</v>
      </c>
      <c r="D124">
        <v>0.37</v>
      </c>
      <c r="F124">
        <v>-0.34</v>
      </c>
      <c r="G124">
        <v>0.57999999999999996</v>
      </c>
      <c r="H124">
        <v>-2.31</v>
      </c>
      <c r="I124">
        <v>12.6</v>
      </c>
      <c r="J124">
        <v>2.58</v>
      </c>
      <c r="K124">
        <v>-0.24</v>
      </c>
      <c r="L124">
        <v>-0.62</v>
      </c>
      <c r="M124">
        <v>54.22</v>
      </c>
      <c r="O124">
        <v>1.88</v>
      </c>
      <c r="P124">
        <v>1.48</v>
      </c>
      <c r="Q124">
        <v>0</v>
      </c>
      <c r="R124">
        <v>0</v>
      </c>
    </row>
    <row r="125" spans="1:18" x14ac:dyDescent="0.25">
      <c r="A125">
        <v>140</v>
      </c>
      <c r="B125">
        <v>25.41</v>
      </c>
      <c r="C125">
        <f>ROUNDDOWN(1.155,0)</f>
        <v>1</v>
      </c>
      <c r="D125">
        <v>0.4</v>
      </c>
      <c r="F125">
        <v>-0.26</v>
      </c>
      <c r="G125">
        <v>0.64</v>
      </c>
      <c r="H125">
        <v>-2.15</v>
      </c>
      <c r="I125">
        <v>12.78</v>
      </c>
      <c r="J125">
        <v>2.5499999999999998</v>
      </c>
      <c r="K125">
        <v>-0.09</v>
      </c>
      <c r="L125">
        <v>-0.31</v>
      </c>
      <c r="M125">
        <v>54.22</v>
      </c>
      <c r="O125">
        <v>1.88</v>
      </c>
      <c r="P125">
        <v>1.49</v>
      </c>
      <c r="Q125">
        <v>0</v>
      </c>
      <c r="R125">
        <v>0</v>
      </c>
    </row>
    <row r="126" spans="1:18" x14ac:dyDescent="0.25">
      <c r="A126">
        <v>140</v>
      </c>
      <c r="B126">
        <v>25.619999999999997</v>
      </c>
      <c r="C126">
        <f>ROUNDDOWN(1.16454545454545,0)</f>
        <v>1</v>
      </c>
      <c r="D126">
        <v>0.46</v>
      </c>
      <c r="F126">
        <v>-0.21</v>
      </c>
      <c r="G126">
        <v>0.68</v>
      </c>
      <c r="H126">
        <v>-1.89</v>
      </c>
      <c r="I126">
        <v>12.93</v>
      </c>
      <c r="J126">
        <v>2.5299999999999998</v>
      </c>
      <c r="K126">
        <v>0.18</v>
      </c>
      <c r="L126">
        <v>0.05</v>
      </c>
      <c r="M126">
        <v>54.22</v>
      </c>
      <c r="O126">
        <v>1.87</v>
      </c>
      <c r="P126">
        <v>1.5</v>
      </c>
      <c r="Q126">
        <v>0</v>
      </c>
      <c r="R126">
        <v>0</v>
      </c>
    </row>
    <row r="127" spans="1:18" x14ac:dyDescent="0.25">
      <c r="A127">
        <v>140</v>
      </c>
      <c r="B127">
        <v>25.83</v>
      </c>
      <c r="C127">
        <f>ROUNDDOWN(1.17409090909091,0)</f>
        <v>1</v>
      </c>
      <c r="D127">
        <v>0.52</v>
      </c>
      <c r="F127">
        <v>-0.18</v>
      </c>
      <c r="G127">
        <v>0.7</v>
      </c>
      <c r="H127">
        <v>-1.61</v>
      </c>
      <c r="I127">
        <v>13.06</v>
      </c>
      <c r="J127">
        <v>2.52</v>
      </c>
      <c r="K127">
        <v>0.46</v>
      </c>
      <c r="L127">
        <v>0.42</v>
      </c>
      <c r="M127">
        <v>54.22</v>
      </c>
      <c r="O127">
        <v>1.87</v>
      </c>
      <c r="P127">
        <v>1.51</v>
      </c>
      <c r="Q127">
        <v>0</v>
      </c>
      <c r="R127">
        <v>0</v>
      </c>
    </row>
    <row r="128" spans="1:18" x14ac:dyDescent="0.25">
      <c r="A128">
        <v>140</v>
      </c>
      <c r="B128">
        <v>26.04</v>
      </c>
      <c r="C128">
        <f>ROUNDDOWN(1.18363636363636,0)</f>
        <v>1</v>
      </c>
      <c r="D128">
        <v>0.56999999999999995</v>
      </c>
      <c r="F128">
        <v>-0.18</v>
      </c>
      <c r="G128">
        <v>0.69</v>
      </c>
      <c r="H128">
        <v>-1.42</v>
      </c>
      <c r="I128">
        <v>13.2</v>
      </c>
      <c r="J128">
        <v>2.52</v>
      </c>
      <c r="K128">
        <v>0.64</v>
      </c>
      <c r="L128">
        <v>0.67</v>
      </c>
      <c r="M128">
        <v>54.22</v>
      </c>
      <c r="O128">
        <v>1.87</v>
      </c>
      <c r="P128">
        <v>1.52</v>
      </c>
      <c r="Q128">
        <v>0</v>
      </c>
      <c r="R128">
        <v>0</v>
      </c>
    </row>
    <row r="129" spans="1:18" x14ac:dyDescent="0.25">
      <c r="A129">
        <v>140</v>
      </c>
      <c r="B129">
        <v>26.25</v>
      </c>
      <c r="C129">
        <f>ROUNDDOWN(1.19318181818182,0)</f>
        <v>1</v>
      </c>
      <c r="D129">
        <v>0.61</v>
      </c>
      <c r="F129">
        <v>-0.18</v>
      </c>
      <c r="G129">
        <v>0.67</v>
      </c>
      <c r="H129">
        <v>-1.32</v>
      </c>
      <c r="I129">
        <v>13.35</v>
      </c>
      <c r="J129">
        <v>2.52</v>
      </c>
      <c r="K129">
        <v>0.71</v>
      </c>
      <c r="L129">
        <v>0.83</v>
      </c>
      <c r="M129">
        <v>54.22</v>
      </c>
      <c r="O129">
        <v>1.86</v>
      </c>
      <c r="P129">
        <v>1.53</v>
      </c>
      <c r="Q129">
        <v>0</v>
      </c>
      <c r="R129">
        <v>0</v>
      </c>
    </row>
    <row r="130" spans="1:18" x14ac:dyDescent="0.25">
      <c r="A130">
        <v>140</v>
      </c>
      <c r="B130">
        <v>26.459999999999997</v>
      </c>
      <c r="C130">
        <f>ROUNDDOWN(1.20272727272727,0)</f>
        <v>1</v>
      </c>
      <c r="D130">
        <v>0.74</v>
      </c>
      <c r="F130">
        <v>-0.18</v>
      </c>
      <c r="G130">
        <v>0.66</v>
      </c>
      <c r="H130">
        <v>-1.17</v>
      </c>
      <c r="I130">
        <v>13.53</v>
      </c>
      <c r="J130">
        <v>2.52</v>
      </c>
      <c r="K130">
        <v>0.82</v>
      </c>
      <c r="L130">
        <v>1.04</v>
      </c>
      <c r="M130">
        <v>54.22</v>
      </c>
      <c r="O130">
        <v>1.86</v>
      </c>
      <c r="P130">
        <v>1.54</v>
      </c>
      <c r="Q130">
        <v>0</v>
      </c>
      <c r="R130">
        <v>0</v>
      </c>
    </row>
    <row r="131" spans="1:18" x14ac:dyDescent="0.25">
      <c r="A131">
        <v>140</v>
      </c>
      <c r="B131">
        <v>26.669999999999998</v>
      </c>
      <c r="C131">
        <f>ROUNDDOWN(1.21227272727273,0)</f>
        <v>1</v>
      </c>
      <c r="D131">
        <v>0.88</v>
      </c>
      <c r="F131">
        <v>-0.18</v>
      </c>
      <c r="G131">
        <v>0.65</v>
      </c>
      <c r="H131">
        <v>-1.02</v>
      </c>
      <c r="I131">
        <v>13.66</v>
      </c>
      <c r="J131">
        <v>2.52</v>
      </c>
      <c r="K131">
        <v>0.95</v>
      </c>
      <c r="L131">
        <v>1.22</v>
      </c>
      <c r="M131">
        <v>54.22</v>
      </c>
      <c r="O131">
        <v>1.85</v>
      </c>
      <c r="P131">
        <v>1.56</v>
      </c>
      <c r="Q131">
        <v>0</v>
      </c>
      <c r="R131">
        <v>0</v>
      </c>
    </row>
    <row r="132" spans="1:18" x14ac:dyDescent="0.25">
      <c r="A132">
        <v>140</v>
      </c>
      <c r="B132">
        <v>26.88</v>
      </c>
      <c r="C132">
        <f>ROUNDDOWN(1.22181818181818,0)</f>
        <v>1</v>
      </c>
      <c r="D132">
        <v>0.95</v>
      </c>
      <c r="F132">
        <v>-0.18</v>
      </c>
      <c r="G132">
        <v>0.62</v>
      </c>
      <c r="H132">
        <v>-0.89</v>
      </c>
      <c r="I132">
        <v>13.7</v>
      </c>
      <c r="J132">
        <v>2.52</v>
      </c>
      <c r="K132">
        <v>1.0900000000000001</v>
      </c>
      <c r="L132">
        <v>1.32</v>
      </c>
      <c r="M132">
        <v>54.22</v>
      </c>
      <c r="O132">
        <v>1.85</v>
      </c>
      <c r="P132">
        <v>1.57</v>
      </c>
      <c r="Q132">
        <v>0</v>
      </c>
      <c r="R132">
        <v>0</v>
      </c>
    </row>
    <row r="133" spans="1:18" x14ac:dyDescent="0.25">
      <c r="A133">
        <v>140</v>
      </c>
      <c r="B133">
        <v>27.09</v>
      </c>
      <c r="C133">
        <f>ROUNDDOWN(1.23136363636364,0)</f>
        <v>1</v>
      </c>
      <c r="D133">
        <v>0.84</v>
      </c>
      <c r="F133">
        <v>-0.19</v>
      </c>
      <c r="G133">
        <v>0.6</v>
      </c>
      <c r="H133">
        <v>-0.82</v>
      </c>
      <c r="I133">
        <v>13.6</v>
      </c>
      <c r="J133">
        <v>2.5299999999999998</v>
      </c>
      <c r="K133">
        <v>1.23</v>
      </c>
      <c r="L133">
        <v>1.29</v>
      </c>
      <c r="M133">
        <v>54.22</v>
      </c>
      <c r="O133">
        <v>1.85</v>
      </c>
      <c r="P133">
        <v>1.58</v>
      </c>
      <c r="Q133">
        <v>0</v>
      </c>
      <c r="R133">
        <v>0</v>
      </c>
    </row>
    <row r="134" spans="1:18" x14ac:dyDescent="0.25">
      <c r="A134">
        <v>140</v>
      </c>
      <c r="B134">
        <v>27.3</v>
      </c>
      <c r="C134">
        <f>ROUNDDOWN(1.24090909090909,0)</f>
        <v>1</v>
      </c>
      <c r="D134">
        <v>0.72</v>
      </c>
      <c r="F134">
        <v>-0.19</v>
      </c>
      <c r="G134">
        <v>0.57999999999999996</v>
      </c>
      <c r="H134">
        <v>-0.69</v>
      </c>
      <c r="I134">
        <v>13.51</v>
      </c>
      <c r="J134">
        <v>2.5299999999999998</v>
      </c>
      <c r="K134">
        <v>1.42</v>
      </c>
      <c r="L134">
        <v>1.33</v>
      </c>
      <c r="M134">
        <v>54.22</v>
      </c>
      <c r="O134">
        <v>1.84</v>
      </c>
      <c r="P134">
        <v>1.59</v>
      </c>
      <c r="Q134">
        <v>0</v>
      </c>
      <c r="R134">
        <v>0</v>
      </c>
    </row>
    <row r="135" spans="1:18" x14ac:dyDescent="0.25">
      <c r="A135">
        <v>140</v>
      </c>
      <c r="B135">
        <v>27.509999999999998</v>
      </c>
      <c r="C135">
        <f>ROUNDDOWN(1.25045454545455,0)</f>
        <v>1</v>
      </c>
      <c r="D135">
        <v>0.68</v>
      </c>
      <c r="F135">
        <v>-0.17</v>
      </c>
      <c r="G135">
        <v>0.57999999999999996</v>
      </c>
      <c r="H135">
        <v>-0.6</v>
      </c>
      <c r="I135">
        <v>13.43</v>
      </c>
      <c r="J135">
        <v>2.52</v>
      </c>
      <c r="K135">
        <v>1.55</v>
      </c>
      <c r="L135">
        <v>1.34</v>
      </c>
      <c r="M135">
        <v>54.22</v>
      </c>
      <c r="O135">
        <v>1.84</v>
      </c>
      <c r="P135">
        <v>1.6</v>
      </c>
      <c r="Q135">
        <v>0</v>
      </c>
      <c r="R135">
        <v>0</v>
      </c>
    </row>
    <row r="136" spans="1:18" x14ac:dyDescent="0.25">
      <c r="A136">
        <v>140</v>
      </c>
      <c r="B136">
        <v>27.72</v>
      </c>
      <c r="C136">
        <f>ROUNDDOWN(1.26,0)</f>
        <v>1</v>
      </c>
      <c r="D136">
        <v>0.74</v>
      </c>
      <c r="F136">
        <v>-0.16</v>
      </c>
      <c r="G136">
        <v>0.57999999999999996</v>
      </c>
      <c r="H136">
        <v>-0.55000000000000004</v>
      </c>
      <c r="I136">
        <v>13.37</v>
      </c>
      <c r="J136">
        <v>2.5099999999999998</v>
      </c>
      <c r="K136">
        <v>1.62</v>
      </c>
      <c r="L136">
        <v>1.32</v>
      </c>
      <c r="M136">
        <v>54.22</v>
      </c>
      <c r="O136">
        <v>1.84</v>
      </c>
      <c r="P136">
        <v>1.62</v>
      </c>
      <c r="Q136">
        <v>0</v>
      </c>
      <c r="R136">
        <v>0</v>
      </c>
    </row>
    <row r="137" spans="1:18" x14ac:dyDescent="0.25">
      <c r="A137">
        <v>140</v>
      </c>
      <c r="B137">
        <v>27.93</v>
      </c>
      <c r="C137">
        <f>ROUNDDOWN(1.26954545454545,0)</f>
        <v>1</v>
      </c>
      <c r="D137">
        <v>0.79</v>
      </c>
      <c r="F137">
        <v>-0.15</v>
      </c>
      <c r="G137">
        <v>0.56999999999999995</v>
      </c>
      <c r="H137">
        <v>-0.54</v>
      </c>
      <c r="I137">
        <v>13.3</v>
      </c>
      <c r="J137">
        <v>2.5</v>
      </c>
      <c r="K137">
        <v>1.64</v>
      </c>
      <c r="L137">
        <v>1.26</v>
      </c>
      <c r="M137">
        <v>54.22</v>
      </c>
      <c r="O137">
        <v>1.84</v>
      </c>
      <c r="P137">
        <v>1.63</v>
      </c>
      <c r="Q137">
        <v>0</v>
      </c>
      <c r="R137">
        <v>0</v>
      </c>
    </row>
    <row r="138" spans="1:18" x14ac:dyDescent="0.25">
      <c r="A138">
        <v>140</v>
      </c>
      <c r="B138">
        <v>28.14</v>
      </c>
      <c r="C138">
        <f>ROUNDDOWN(1.27909090909091,0)</f>
        <v>1</v>
      </c>
      <c r="D138">
        <v>0.78</v>
      </c>
      <c r="F138">
        <v>-0.17</v>
      </c>
      <c r="G138">
        <v>0.54</v>
      </c>
      <c r="H138">
        <v>-0.47</v>
      </c>
      <c r="I138">
        <v>13.28</v>
      </c>
      <c r="J138">
        <v>2.48</v>
      </c>
      <c r="K138">
        <v>1.69</v>
      </c>
      <c r="L138">
        <v>1.27</v>
      </c>
      <c r="M138">
        <v>54.22</v>
      </c>
      <c r="O138">
        <v>1.83</v>
      </c>
      <c r="P138">
        <v>1.64</v>
      </c>
      <c r="Q138">
        <v>0</v>
      </c>
      <c r="R138">
        <v>0</v>
      </c>
    </row>
    <row r="139" spans="1:18" x14ac:dyDescent="0.25">
      <c r="A139">
        <v>140</v>
      </c>
      <c r="B139">
        <v>28.349999999999998</v>
      </c>
      <c r="C139">
        <f>ROUNDDOWN(1.28863636363636,0)</f>
        <v>1</v>
      </c>
      <c r="D139">
        <v>0.78</v>
      </c>
      <c r="F139">
        <v>-0.17</v>
      </c>
      <c r="G139">
        <v>0.52</v>
      </c>
      <c r="H139">
        <v>-0.46</v>
      </c>
      <c r="I139">
        <v>13.38</v>
      </c>
      <c r="J139">
        <v>2.46</v>
      </c>
      <c r="K139">
        <v>1.63</v>
      </c>
      <c r="L139">
        <v>1.3</v>
      </c>
      <c r="M139">
        <v>54.22</v>
      </c>
      <c r="O139">
        <v>1.83</v>
      </c>
      <c r="P139">
        <v>1.66</v>
      </c>
      <c r="Q139">
        <v>0</v>
      </c>
      <c r="R139">
        <v>0</v>
      </c>
    </row>
    <row r="140" spans="1:18" x14ac:dyDescent="0.25">
      <c r="A140">
        <v>140</v>
      </c>
      <c r="B140">
        <v>28.56</v>
      </c>
      <c r="C140">
        <f>ROUNDDOWN(1.29818181818182,0)</f>
        <v>1</v>
      </c>
      <c r="D140">
        <v>0.8</v>
      </c>
      <c r="F140">
        <v>-0.14000000000000001</v>
      </c>
      <c r="G140">
        <v>0.53</v>
      </c>
      <c r="H140">
        <v>-0.54</v>
      </c>
      <c r="I140">
        <v>13.58</v>
      </c>
      <c r="J140">
        <v>2.4300000000000002</v>
      </c>
      <c r="K140">
        <v>1.43</v>
      </c>
      <c r="L140">
        <v>1.28</v>
      </c>
      <c r="M140">
        <v>54.22</v>
      </c>
      <c r="O140">
        <v>1.83</v>
      </c>
      <c r="P140">
        <v>1.67</v>
      </c>
      <c r="Q140">
        <v>0</v>
      </c>
      <c r="R140">
        <v>0</v>
      </c>
    </row>
    <row r="141" spans="1:18" x14ac:dyDescent="0.25">
      <c r="A141">
        <v>140</v>
      </c>
      <c r="B141">
        <v>28.77</v>
      </c>
      <c r="C141">
        <f>ROUNDDOWN(1.30772727272727,0)</f>
        <v>1</v>
      </c>
      <c r="D141">
        <v>0.94</v>
      </c>
      <c r="F141">
        <v>-0.1</v>
      </c>
      <c r="G141">
        <v>0.56000000000000005</v>
      </c>
      <c r="H141">
        <v>-0.65</v>
      </c>
      <c r="I141">
        <v>13.87</v>
      </c>
      <c r="J141">
        <v>2.4</v>
      </c>
      <c r="K141">
        <v>1.1599999999999999</v>
      </c>
      <c r="L141">
        <v>1.26</v>
      </c>
      <c r="M141">
        <v>54.22</v>
      </c>
      <c r="O141">
        <v>1.83</v>
      </c>
      <c r="P141">
        <v>1.69</v>
      </c>
      <c r="Q141">
        <v>0</v>
      </c>
      <c r="R141">
        <v>0</v>
      </c>
    </row>
    <row r="142" spans="1:18" x14ac:dyDescent="0.25">
      <c r="A142">
        <v>140</v>
      </c>
      <c r="B142">
        <v>28.98</v>
      </c>
      <c r="C142">
        <f>ROUNDDOWN(1.31727272727273,0)</f>
        <v>1</v>
      </c>
      <c r="D142">
        <v>1.1000000000000001</v>
      </c>
      <c r="F142">
        <v>-0.04</v>
      </c>
      <c r="G142">
        <v>0.6</v>
      </c>
      <c r="H142">
        <v>-0.73</v>
      </c>
      <c r="I142">
        <v>14.16</v>
      </c>
      <c r="J142">
        <v>2.36</v>
      </c>
      <c r="K142">
        <v>0.94</v>
      </c>
      <c r="L142">
        <v>1.27</v>
      </c>
      <c r="M142">
        <v>54.23</v>
      </c>
      <c r="O142">
        <v>1.82</v>
      </c>
      <c r="P142">
        <v>1.7</v>
      </c>
      <c r="Q142">
        <v>0</v>
      </c>
      <c r="R142">
        <v>0</v>
      </c>
    </row>
    <row r="143" spans="1:18" x14ac:dyDescent="0.25">
      <c r="A143">
        <v>140</v>
      </c>
      <c r="B143">
        <v>29.189999999999998</v>
      </c>
      <c r="C143">
        <f>ROUNDDOWN(1.32681818181818,0)</f>
        <v>1</v>
      </c>
      <c r="D143">
        <v>1.28</v>
      </c>
      <c r="F143">
        <v>-0.02</v>
      </c>
      <c r="G143">
        <v>0.61</v>
      </c>
      <c r="H143">
        <v>-0.81</v>
      </c>
      <c r="I143">
        <v>14.48</v>
      </c>
      <c r="J143">
        <v>2.3199999999999998</v>
      </c>
      <c r="K143">
        <v>0.71</v>
      </c>
      <c r="L143">
        <v>1.29</v>
      </c>
      <c r="M143">
        <v>54.23</v>
      </c>
      <c r="O143">
        <v>1.82</v>
      </c>
      <c r="P143">
        <v>1.72</v>
      </c>
      <c r="Q143">
        <v>0</v>
      </c>
      <c r="R143">
        <v>0</v>
      </c>
    </row>
    <row r="144" spans="1:18" x14ac:dyDescent="0.25">
      <c r="A144">
        <v>140</v>
      </c>
      <c r="B144">
        <v>29.4</v>
      </c>
      <c r="C144">
        <f>ROUNDDOWN(1.33636363636364,0)</f>
        <v>1</v>
      </c>
      <c r="D144">
        <v>1.43</v>
      </c>
      <c r="F144">
        <v>0</v>
      </c>
      <c r="G144">
        <v>0.62</v>
      </c>
      <c r="H144">
        <v>-0.99</v>
      </c>
      <c r="I144">
        <v>14.78</v>
      </c>
      <c r="J144">
        <v>2.29</v>
      </c>
      <c r="K144">
        <v>0.42</v>
      </c>
      <c r="L144">
        <v>1.19</v>
      </c>
      <c r="M144">
        <v>54.23</v>
      </c>
      <c r="O144">
        <v>1.82</v>
      </c>
      <c r="P144">
        <v>1.73</v>
      </c>
      <c r="Q144">
        <v>0</v>
      </c>
      <c r="R144">
        <v>0</v>
      </c>
    </row>
    <row r="145" spans="1:18" x14ac:dyDescent="0.25">
      <c r="A145">
        <v>140</v>
      </c>
      <c r="B145">
        <v>29.61</v>
      </c>
      <c r="C145">
        <f>ROUNDDOWN(1.34590909090909,0)</f>
        <v>1</v>
      </c>
      <c r="D145">
        <v>1.5</v>
      </c>
      <c r="F145">
        <v>0.01</v>
      </c>
      <c r="G145">
        <v>0.62</v>
      </c>
      <c r="H145">
        <v>-1.17</v>
      </c>
      <c r="I145">
        <v>15.02</v>
      </c>
      <c r="J145">
        <v>2.27</v>
      </c>
      <c r="K145">
        <v>0.17</v>
      </c>
      <c r="L145">
        <v>1.05</v>
      </c>
      <c r="M145">
        <v>54.23</v>
      </c>
      <c r="O145">
        <v>1.82</v>
      </c>
      <c r="P145">
        <v>1.75</v>
      </c>
      <c r="Q145">
        <v>0</v>
      </c>
      <c r="R145">
        <v>0</v>
      </c>
    </row>
    <row r="146" spans="1:18" x14ac:dyDescent="0.25">
      <c r="A146">
        <v>140</v>
      </c>
      <c r="B146">
        <v>29.82</v>
      </c>
      <c r="C146">
        <f>ROUNDDOWN(1.35545454545455,0)</f>
        <v>1</v>
      </c>
      <c r="D146">
        <v>1.55</v>
      </c>
      <c r="F146">
        <v>0.04</v>
      </c>
      <c r="G146">
        <v>0.64</v>
      </c>
      <c r="H146">
        <v>-1.37</v>
      </c>
      <c r="I146">
        <v>15.21</v>
      </c>
      <c r="J146">
        <v>2.25</v>
      </c>
      <c r="K146">
        <v>-0.05</v>
      </c>
      <c r="L146">
        <v>0.89</v>
      </c>
      <c r="M146">
        <v>54.23</v>
      </c>
      <c r="O146">
        <v>1.82</v>
      </c>
      <c r="P146">
        <v>1.77</v>
      </c>
      <c r="Q146">
        <v>0</v>
      </c>
      <c r="R146">
        <v>0</v>
      </c>
    </row>
    <row r="147" spans="1:18" x14ac:dyDescent="0.25">
      <c r="A147">
        <v>140</v>
      </c>
      <c r="B147">
        <v>30.029999999999998</v>
      </c>
      <c r="C147">
        <f>ROUNDDOWN(1.365,0)</f>
        <v>1</v>
      </c>
      <c r="D147">
        <v>1.67</v>
      </c>
      <c r="F147">
        <v>7.0000000000000007E-2</v>
      </c>
      <c r="G147">
        <v>0.66</v>
      </c>
      <c r="H147">
        <v>-1.5</v>
      </c>
      <c r="I147">
        <v>15.37</v>
      </c>
      <c r="J147">
        <v>2.2400000000000002</v>
      </c>
      <c r="K147">
        <v>-0.19</v>
      </c>
      <c r="L147">
        <v>0.78</v>
      </c>
      <c r="M147">
        <v>54.23</v>
      </c>
      <c r="O147">
        <v>1.82</v>
      </c>
      <c r="P147">
        <v>1.78</v>
      </c>
      <c r="Q147">
        <v>0</v>
      </c>
      <c r="R147">
        <v>0</v>
      </c>
    </row>
    <row r="148" spans="1:18" x14ac:dyDescent="0.25">
      <c r="A148">
        <v>140</v>
      </c>
      <c r="B148">
        <v>30.24</v>
      </c>
      <c r="C148">
        <f>ROUNDDOWN(1.37454545454545,0)</f>
        <v>1</v>
      </c>
      <c r="D148">
        <v>1.95</v>
      </c>
      <c r="F148">
        <v>0.08</v>
      </c>
      <c r="G148">
        <v>0.66</v>
      </c>
      <c r="H148">
        <v>-1.65</v>
      </c>
      <c r="I148">
        <v>15.55</v>
      </c>
      <c r="J148">
        <v>2.2400000000000002</v>
      </c>
      <c r="K148">
        <v>-0.35</v>
      </c>
      <c r="L148">
        <v>0.65</v>
      </c>
      <c r="M148">
        <v>54.23</v>
      </c>
      <c r="O148">
        <v>1.81</v>
      </c>
      <c r="P148">
        <v>1.8</v>
      </c>
      <c r="Q148">
        <v>0</v>
      </c>
      <c r="R148">
        <v>0</v>
      </c>
    </row>
    <row r="149" spans="1:18" x14ac:dyDescent="0.25">
      <c r="A149">
        <v>140</v>
      </c>
      <c r="B149">
        <v>30.45</v>
      </c>
      <c r="C149">
        <f>ROUNDDOWN(1.38409090909091,0)</f>
        <v>1</v>
      </c>
      <c r="D149">
        <v>2.23</v>
      </c>
      <c r="F149">
        <v>0.08</v>
      </c>
      <c r="G149">
        <v>0.65</v>
      </c>
      <c r="H149">
        <v>-1.72</v>
      </c>
      <c r="I149">
        <v>15.73</v>
      </c>
      <c r="J149">
        <v>2.25</v>
      </c>
      <c r="K149">
        <v>-0.42</v>
      </c>
      <c r="L149">
        <v>0.61</v>
      </c>
      <c r="M149">
        <v>54.23</v>
      </c>
      <c r="O149">
        <v>1.81</v>
      </c>
      <c r="P149">
        <v>1.82</v>
      </c>
      <c r="Q149">
        <v>0</v>
      </c>
      <c r="R149">
        <v>0</v>
      </c>
    </row>
    <row r="150" spans="1:18" x14ac:dyDescent="0.25">
      <c r="A150">
        <v>140</v>
      </c>
      <c r="B150">
        <v>30.66</v>
      </c>
      <c r="C150">
        <f>ROUNDDOWN(1.39363636363636,0)</f>
        <v>1</v>
      </c>
      <c r="D150">
        <v>2.44</v>
      </c>
      <c r="F150">
        <v>7.0000000000000007E-2</v>
      </c>
      <c r="G150">
        <v>0.63</v>
      </c>
      <c r="H150">
        <v>-1.75</v>
      </c>
      <c r="I150">
        <v>15.87</v>
      </c>
      <c r="J150">
        <v>2.2599999999999998</v>
      </c>
      <c r="K150">
        <v>-0.43</v>
      </c>
      <c r="L150">
        <v>0.57999999999999996</v>
      </c>
      <c r="M150">
        <v>54.23</v>
      </c>
      <c r="O150">
        <v>1.81</v>
      </c>
      <c r="P150">
        <v>1.84</v>
      </c>
      <c r="Q150">
        <v>0</v>
      </c>
      <c r="R150">
        <v>0</v>
      </c>
    </row>
    <row r="151" spans="1:18" x14ac:dyDescent="0.25">
      <c r="A151">
        <v>140</v>
      </c>
      <c r="B151">
        <v>30.869999999999997</v>
      </c>
      <c r="C151">
        <f>ROUNDDOWN(1.40318181818182,0)</f>
        <v>1</v>
      </c>
      <c r="D151">
        <v>2.59</v>
      </c>
      <c r="F151">
        <v>0.06</v>
      </c>
      <c r="G151">
        <v>0.62</v>
      </c>
      <c r="H151">
        <v>-1.64</v>
      </c>
      <c r="I151">
        <v>15.96</v>
      </c>
      <c r="J151">
        <v>2.2799999999999998</v>
      </c>
      <c r="K151">
        <v>-0.27</v>
      </c>
      <c r="L151">
        <v>0.68</v>
      </c>
      <c r="M151">
        <v>54.23</v>
      </c>
      <c r="O151">
        <v>1.81</v>
      </c>
      <c r="P151">
        <v>1.86</v>
      </c>
      <c r="Q151">
        <v>0</v>
      </c>
      <c r="R151">
        <v>0</v>
      </c>
    </row>
    <row r="152" spans="1:18" x14ac:dyDescent="0.25">
      <c r="A152">
        <v>140</v>
      </c>
      <c r="B152">
        <v>31.08</v>
      </c>
      <c r="C152">
        <f>ROUNDDOWN(1.41272727272727,0)</f>
        <v>1</v>
      </c>
      <c r="D152">
        <v>2.77</v>
      </c>
      <c r="F152">
        <v>0.01</v>
      </c>
      <c r="G152">
        <v>0.55000000000000004</v>
      </c>
      <c r="H152">
        <v>-1.53</v>
      </c>
      <c r="I152">
        <v>16.07</v>
      </c>
      <c r="J152">
        <v>2.2999999999999998</v>
      </c>
      <c r="K152">
        <v>-0.13</v>
      </c>
      <c r="L152">
        <v>0.78</v>
      </c>
      <c r="M152">
        <v>54.23</v>
      </c>
      <c r="O152">
        <v>1.81</v>
      </c>
      <c r="P152">
        <v>1.87</v>
      </c>
      <c r="Q152">
        <v>0</v>
      </c>
      <c r="R152">
        <v>0</v>
      </c>
    </row>
    <row r="153" spans="1:18" x14ac:dyDescent="0.25">
      <c r="A153">
        <v>140</v>
      </c>
      <c r="B153">
        <v>31.29</v>
      </c>
      <c r="C153">
        <f>ROUNDDOWN(1.42227272727273,0)</f>
        <v>1</v>
      </c>
      <c r="D153">
        <v>2.98</v>
      </c>
      <c r="F153">
        <v>-0.03</v>
      </c>
      <c r="G153">
        <v>0.51</v>
      </c>
      <c r="H153">
        <v>-1.38</v>
      </c>
      <c r="I153">
        <v>16.25</v>
      </c>
      <c r="J153">
        <v>2.3199999999999998</v>
      </c>
      <c r="K153">
        <v>0</v>
      </c>
      <c r="L153">
        <v>0.94</v>
      </c>
      <c r="M153">
        <v>54.23</v>
      </c>
      <c r="O153">
        <v>1.81</v>
      </c>
      <c r="P153">
        <v>1.89</v>
      </c>
      <c r="Q153">
        <v>0</v>
      </c>
      <c r="R153">
        <v>0</v>
      </c>
    </row>
    <row r="154" spans="1:18" x14ac:dyDescent="0.25">
      <c r="A154">
        <v>140</v>
      </c>
      <c r="B154">
        <v>31.5</v>
      </c>
      <c r="C154">
        <f>ROUNDDOWN(1.43181818181818,0)</f>
        <v>1</v>
      </c>
      <c r="D154">
        <v>3.07</v>
      </c>
      <c r="F154">
        <v>-0.06</v>
      </c>
      <c r="G154">
        <v>0.46</v>
      </c>
      <c r="H154">
        <v>-1.23</v>
      </c>
      <c r="I154">
        <v>16.46</v>
      </c>
      <c r="J154">
        <v>2.35</v>
      </c>
      <c r="K154">
        <v>0.12</v>
      </c>
      <c r="L154">
        <v>1.1000000000000001</v>
      </c>
      <c r="M154">
        <v>54.23</v>
      </c>
      <c r="O154">
        <v>1.81</v>
      </c>
      <c r="P154">
        <v>1.91</v>
      </c>
      <c r="Q154">
        <v>0</v>
      </c>
      <c r="R154">
        <v>0</v>
      </c>
    </row>
    <row r="155" spans="1:18" x14ac:dyDescent="0.25">
      <c r="A155">
        <v>140</v>
      </c>
      <c r="B155">
        <v>31.709999999999997</v>
      </c>
      <c r="C155">
        <f>ROUNDDOWN(1.44136363636364,0)</f>
        <v>1</v>
      </c>
      <c r="D155">
        <v>3.03</v>
      </c>
      <c r="F155">
        <v>-7.0000000000000007E-2</v>
      </c>
      <c r="G155">
        <v>0.44</v>
      </c>
      <c r="H155">
        <v>-1.05</v>
      </c>
      <c r="I155">
        <v>16.61</v>
      </c>
      <c r="J155">
        <v>2.38</v>
      </c>
      <c r="K155">
        <v>0.28999999999999998</v>
      </c>
      <c r="L155">
        <v>1.25</v>
      </c>
      <c r="M155">
        <v>54.23</v>
      </c>
      <c r="O155">
        <v>1.81</v>
      </c>
      <c r="P155">
        <v>1.93</v>
      </c>
      <c r="Q155">
        <v>0</v>
      </c>
      <c r="R155">
        <v>0</v>
      </c>
    </row>
    <row r="156" spans="1:18" x14ac:dyDescent="0.25">
      <c r="A156">
        <v>140</v>
      </c>
      <c r="B156">
        <v>31.919999999999998</v>
      </c>
      <c r="C156">
        <f>ROUNDDOWN(1.45090909090909,0)</f>
        <v>1</v>
      </c>
      <c r="D156">
        <v>2.85</v>
      </c>
      <c r="F156">
        <v>-0.08</v>
      </c>
      <c r="G156">
        <v>0.4</v>
      </c>
      <c r="H156">
        <v>-0.9</v>
      </c>
      <c r="I156">
        <v>16.72</v>
      </c>
      <c r="J156">
        <v>2.41</v>
      </c>
      <c r="K156">
        <v>0.45</v>
      </c>
      <c r="L156">
        <v>1.35</v>
      </c>
      <c r="M156">
        <v>54.23</v>
      </c>
      <c r="O156">
        <v>1.81</v>
      </c>
      <c r="P156">
        <v>1.95</v>
      </c>
      <c r="Q156">
        <v>0</v>
      </c>
      <c r="R156">
        <v>0</v>
      </c>
    </row>
    <row r="157" spans="1:18" x14ac:dyDescent="0.25">
      <c r="A157">
        <v>140</v>
      </c>
      <c r="B157">
        <v>32.129999999999995</v>
      </c>
      <c r="C157">
        <f>ROUNDDOWN(1.46045454545455,0)</f>
        <v>1</v>
      </c>
      <c r="D157">
        <v>2.64</v>
      </c>
      <c r="F157">
        <v>-0.13</v>
      </c>
      <c r="G157">
        <v>0.34</v>
      </c>
      <c r="H157">
        <v>-0.72</v>
      </c>
      <c r="I157">
        <v>16.8</v>
      </c>
      <c r="J157">
        <v>2.44</v>
      </c>
      <c r="K157">
        <v>0.64</v>
      </c>
      <c r="L157">
        <v>1.45</v>
      </c>
      <c r="M157">
        <v>54.23</v>
      </c>
      <c r="O157">
        <v>1.81</v>
      </c>
      <c r="P157">
        <v>1.97</v>
      </c>
      <c r="Q157">
        <v>0</v>
      </c>
      <c r="R157">
        <v>0</v>
      </c>
    </row>
    <row r="158" spans="1:18" x14ac:dyDescent="0.25">
      <c r="A158">
        <v>140</v>
      </c>
      <c r="B158">
        <v>32.339999999999996</v>
      </c>
      <c r="C158">
        <f>ROUNDDOWN(1.47,0)</f>
        <v>1</v>
      </c>
      <c r="D158">
        <v>2.39</v>
      </c>
      <c r="F158">
        <v>-0.15</v>
      </c>
      <c r="G158">
        <v>0.3</v>
      </c>
      <c r="H158">
        <v>-0.46</v>
      </c>
      <c r="I158">
        <v>16.87</v>
      </c>
      <c r="J158">
        <v>2.4700000000000002</v>
      </c>
      <c r="K158">
        <v>0.9</v>
      </c>
      <c r="L158">
        <v>1.62</v>
      </c>
      <c r="M158">
        <v>54.23</v>
      </c>
      <c r="O158">
        <v>1.81</v>
      </c>
      <c r="P158">
        <v>1.99</v>
      </c>
      <c r="Q158">
        <v>0</v>
      </c>
      <c r="R158">
        <v>0</v>
      </c>
    </row>
    <row r="159" spans="1:18" x14ac:dyDescent="0.25">
      <c r="A159">
        <v>140</v>
      </c>
      <c r="B159">
        <v>32.549999999999997</v>
      </c>
      <c r="C159">
        <f>ROUNDDOWN(1.47954545454545,0)</f>
        <v>1</v>
      </c>
      <c r="D159">
        <v>1.95</v>
      </c>
      <c r="F159">
        <v>-0.13</v>
      </c>
      <c r="G159">
        <v>0.3</v>
      </c>
      <c r="H159">
        <v>-0.2</v>
      </c>
      <c r="I159">
        <v>16.73</v>
      </c>
      <c r="J159">
        <v>2.5</v>
      </c>
      <c r="K159">
        <v>1.25</v>
      </c>
      <c r="L159">
        <v>1.69</v>
      </c>
      <c r="M159">
        <v>54.23</v>
      </c>
      <c r="O159">
        <v>1.81</v>
      </c>
      <c r="P159">
        <v>2.0099999999999998</v>
      </c>
      <c r="Q159">
        <v>0</v>
      </c>
      <c r="R159">
        <v>0</v>
      </c>
    </row>
    <row r="160" spans="1:18" x14ac:dyDescent="0.25">
      <c r="A160">
        <v>140</v>
      </c>
      <c r="B160">
        <v>32.76</v>
      </c>
      <c r="C160">
        <f>ROUNDDOWN(1.48909090909091,0)</f>
        <v>1</v>
      </c>
      <c r="D160">
        <v>1.41</v>
      </c>
      <c r="F160">
        <v>-0.04</v>
      </c>
      <c r="G160">
        <v>0.38</v>
      </c>
      <c r="H160">
        <v>0.06</v>
      </c>
      <c r="I160">
        <v>16.43</v>
      </c>
      <c r="J160">
        <v>2.52</v>
      </c>
      <c r="K160">
        <v>1.65</v>
      </c>
      <c r="L160">
        <v>1.67</v>
      </c>
      <c r="M160">
        <v>54.23</v>
      </c>
      <c r="O160">
        <v>1.81</v>
      </c>
      <c r="P160">
        <v>2.0299999999999998</v>
      </c>
      <c r="Q160">
        <v>0</v>
      </c>
      <c r="R160">
        <v>0</v>
      </c>
    </row>
    <row r="161" spans="1:18" x14ac:dyDescent="0.25">
      <c r="A161">
        <v>140</v>
      </c>
      <c r="B161">
        <v>32.97</v>
      </c>
      <c r="C161">
        <f>ROUNDDOWN(1.49863636363636,0)</f>
        <v>1</v>
      </c>
      <c r="D161">
        <v>0.66</v>
      </c>
      <c r="F161">
        <v>0.02</v>
      </c>
      <c r="G161">
        <v>0.42</v>
      </c>
      <c r="H161">
        <v>0.26</v>
      </c>
      <c r="I161">
        <v>15.87</v>
      </c>
      <c r="J161">
        <v>2.5499999999999998</v>
      </c>
      <c r="K161">
        <v>2.09</v>
      </c>
      <c r="L161">
        <v>1.48</v>
      </c>
      <c r="M161">
        <v>54.23</v>
      </c>
      <c r="O161">
        <v>1.81</v>
      </c>
      <c r="P161">
        <v>2.0499999999999998</v>
      </c>
      <c r="Q161">
        <v>0</v>
      </c>
      <c r="R161">
        <v>0</v>
      </c>
    </row>
    <row r="162" spans="1:18" x14ac:dyDescent="0.25">
      <c r="A162">
        <v>140</v>
      </c>
      <c r="B162">
        <v>33.18</v>
      </c>
      <c r="C162">
        <f>ROUNDDOWN(1.50818181818182,0)</f>
        <v>1</v>
      </c>
      <c r="D162">
        <v>-0.08</v>
      </c>
      <c r="F162">
        <v>7.0000000000000007E-2</v>
      </c>
      <c r="G162">
        <v>0.46</v>
      </c>
      <c r="H162">
        <v>0.54</v>
      </c>
      <c r="I162">
        <v>15.29</v>
      </c>
      <c r="J162">
        <v>2.58</v>
      </c>
      <c r="K162">
        <v>2.58</v>
      </c>
      <c r="L162">
        <v>1.38</v>
      </c>
      <c r="M162">
        <v>54.23</v>
      </c>
      <c r="O162">
        <v>1.82</v>
      </c>
      <c r="P162">
        <v>2.0699999999999998</v>
      </c>
      <c r="Q162">
        <v>0</v>
      </c>
      <c r="R162">
        <v>0</v>
      </c>
    </row>
    <row r="163" spans="1:18" x14ac:dyDescent="0.25">
      <c r="A163">
        <v>140</v>
      </c>
      <c r="B163">
        <v>33.39</v>
      </c>
      <c r="C163">
        <f>ROUNDDOWN(1.51772727272727,0)</f>
        <v>1</v>
      </c>
      <c r="D163">
        <v>-0.94</v>
      </c>
      <c r="F163">
        <v>0.1</v>
      </c>
      <c r="G163">
        <v>0.48</v>
      </c>
      <c r="H163">
        <v>0.75</v>
      </c>
      <c r="I163">
        <v>14.61</v>
      </c>
      <c r="J163">
        <v>2.61</v>
      </c>
      <c r="K163">
        <v>3</v>
      </c>
      <c r="L163">
        <v>1.18</v>
      </c>
      <c r="M163">
        <v>54.23</v>
      </c>
      <c r="O163">
        <v>1.82</v>
      </c>
      <c r="P163">
        <v>2.08</v>
      </c>
      <c r="Q163">
        <v>0</v>
      </c>
      <c r="R163">
        <v>0</v>
      </c>
    </row>
    <row r="164" spans="1:18" x14ac:dyDescent="0.25">
      <c r="A164">
        <v>140</v>
      </c>
      <c r="B164">
        <v>33.6</v>
      </c>
      <c r="C164">
        <f>ROUNDDOWN(1.52727272727273,0)</f>
        <v>1</v>
      </c>
      <c r="D164">
        <v>-1.76</v>
      </c>
      <c r="F164">
        <v>0.15</v>
      </c>
      <c r="G164">
        <v>0.52</v>
      </c>
      <c r="H164">
        <v>0.89</v>
      </c>
      <c r="I164">
        <v>13.97</v>
      </c>
      <c r="J164">
        <v>2.64</v>
      </c>
      <c r="K164">
        <v>3.29</v>
      </c>
      <c r="L164">
        <v>0.95</v>
      </c>
      <c r="M164">
        <v>54.24</v>
      </c>
      <c r="O164">
        <v>1.82</v>
      </c>
      <c r="P164">
        <v>2.1</v>
      </c>
      <c r="Q164">
        <v>0</v>
      </c>
      <c r="R164">
        <v>0</v>
      </c>
    </row>
    <row r="165" spans="1:18" x14ac:dyDescent="0.25">
      <c r="A165">
        <v>140</v>
      </c>
      <c r="B165">
        <v>33.81</v>
      </c>
      <c r="C165">
        <f>ROUNDDOWN(1.53681818181818,0)</f>
        <v>1</v>
      </c>
      <c r="D165">
        <v>-2.52</v>
      </c>
      <c r="F165">
        <v>0.17</v>
      </c>
      <c r="G165">
        <v>0.54</v>
      </c>
      <c r="H165">
        <v>0.92</v>
      </c>
      <c r="I165">
        <v>13.35</v>
      </c>
      <c r="J165">
        <v>2.68</v>
      </c>
      <c r="K165">
        <v>3.45</v>
      </c>
      <c r="L165">
        <v>0.65</v>
      </c>
      <c r="M165">
        <v>54.24</v>
      </c>
      <c r="O165">
        <v>1.82</v>
      </c>
      <c r="P165">
        <v>2.11</v>
      </c>
      <c r="Q165">
        <v>0</v>
      </c>
      <c r="R165">
        <v>0</v>
      </c>
    </row>
    <row r="166" spans="1:18" x14ac:dyDescent="0.25">
      <c r="A166">
        <v>140</v>
      </c>
      <c r="B166">
        <v>34.019999999999996</v>
      </c>
      <c r="C166">
        <f>ROUNDDOWN(1.54636363636364,0)</f>
        <v>1</v>
      </c>
      <c r="D166">
        <v>-3.13</v>
      </c>
      <c r="F166">
        <v>0.13</v>
      </c>
      <c r="G166">
        <v>0.48</v>
      </c>
      <c r="H166">
        <v>1.05</v>
      </c>
      <c r="I166">
        <v>12.83</v>
      </c>
      <c r="J166">
        <v>2.71</v>
      </c>
      <c r="K166">
        <v>3.62</v>
      </c>
      <c r="L166">
        <v>0.53</v>
      </c>
      <c r="M166">
        <v>54.24</v>
      </c>
      <c r="O166">
        <v>1.82</v>
      </c>
      <c r="P166">
        <v>2.13</v>
      </c>
      <c r="Q166">
        <v>0</v>
      </c>
      <c r="R166">
        <v>0</v>
      </c>
    </row>
    <row r="167" spans="1:18" x14ac:dyDescent="0.25">
      <c r="A167">
        <v>140</v>
      </c>
      <c r="B167">
        <v>34.229999999999997</v>
      </c>
      <c r="C167">
        <f>ROUNDDOWN(1.55590909090909,0)</f>
        <v>1</v>
      </c>
      <c r="D167">
        <v>-3.55</v>
      </c>
      <c r="F167">
        <v>0.05</v>
      </c>
      <c r="G167">
        <v>0.4</v>
      </c>
      <c r="H167">
        <v>1.19</v>
      </c>
      <c r="I167">
        <v>12.52</v>
      </c>
      <c r="J167">
        <v>2.73</v>
      </c>
      <c r="K167">
        <v>3.68</v>
      </c>
      <c r="L167">
        <v>0.53</v>
      </c>
      <c r="M167">
        <v>54.24</v>
      </c>
      <c r="O167">
        <v>1.83</v>
      </c>
      <c r="P167">
        <v>2.14</v>
      </c>
      <c r="Q167">
        <v>0</v>
      </c>
      <c r="R167">
        <v>0</v>
      </c>
    </row>
    <row r="168" spans="1:18" x14ac:dyDescent="0.25">
      <c r="A168">
        <v>140</v>
      </c>
      <c r="B168">
        <v>34.44</v>
      </c>
      <c r="C168">
        <f>ROUNDDOWN(1.56545454545455,0)</f>
        <v>1</v>
      </c>
      <c r="D168">
        <v>-3.85</v>
      </c>
      <c r="F168">
        <v>-0.06</v>
      </c>
      <c r="G168">
        <v>0.28000000000000003</v>
      </c>
      <c r="H168">
        <v>1.29</v>
      </c>
      <c r="I168">
        <v>12.41</v>
      </c>
      <c r="J168">
        <v>2.74</v>
      </c>
      <c r="K168">
        <v>3.59</v>
      </c>
      <c r="L168">
        <v>0.57999999999999996</v>
      </c>
      <c r="M168">
        <v>54.24</v>
      </c>
      <c r="O168">
        <v>1.83</v>
      </c>
      <c r="P168">
        <v>2.15</v>
      </c>
      <c r="Q168">
        <v>0</v>
      </c>
      <c r="R168">
        <v>0</v>
      </c>
    </row>
    <row r="169" spans="1:18" x14ac:dyDescent="0.25">
      <c r="A169">
        <v>140</v>
      </c>
      <c r="B169">
        <v>34.65</v>
      </c>
      <c r="C169">
        <f>ROUNDDOWN(1.575,0)</f>
        <v>1</v>
      </c>
      <c r="D169">
        <v>-3.84</v>
      </c>
      <c r="F169">
        <v>-0.13</v>
      </c>
      <c r="G169">
        <v>0.19</v>
      </c>
      <c r="H169">
        <v>1.35</v>
      </c>
      <c r="I169">
        <v>12.61</v>
      </c>
      <c r="J169">
        <v>2.74</v>
      </c>
      <c r="K169">
        <v>3.31</v>
      </c>
      <c r="L169">
        <v>0.76</v>
      </c>
      <c r="M169">
        <v>54.24</v>
      </c>
      <c r="O169">
        <v>1.83</v>
      </c>
      <c r="P169">
        <v>2.16</v>
      </c>
      <c r="Q169">
        <v>0</v>
      </c>
      <c r="R169">
        <v>0</v>
      </c>
    </row>
    <row r="170" spans="1:18" x14ac:dyDescent="0.25">
      <c r="A170">
        <v>140</v>
      </c>
      <c r="B170">
        <v>34.86</v>
      </c>
      <c r="C170">
        <f>ROUNDDOWN(1.58454545454545,0)</f>
        <v>1</v>
      </c>
      <c r="D170">
        <v>-3.74</v>
      </c>
      <c r="F170">
        <v>-0.18</v>
      </c>
      <c r="G170">
        <v>0.12</v>
      </c>
      <c r="H170">
        <v>1.46</v>
      </c>
      <c r="I170">
        <v>12.87</v>
      </c>
      <c r="J170">
        <v>2.74</v>
      </c>
      <c r="K170">
        <v>3.07</v>
      </c>
      <c r="L170">
        <v>1</v>
      </c>
      <c r="M170">
        <v>54.24</v>
      </c>
      <c r="O170">
        <v>1.83</v>
      </c>
      <c r="P170">
        <v>2.17</v>
      </c>
      <c r="Q170">
        <v>0</v>
      </c>
      <c r="R170">
        <v>0</v>
      </c>
    </row>
    <row r="171" spans="1:18" x14ac:dyDescent="0.25">
      <c r="A171">
        <v>140</v>
      </c>
      <c r="B171">
        <v>35.07</v>
      </c>
      <c r="C171">
        <f>ROUNDDOWN(1.59409090909091,0)</f>
        <v>1</v>
      </c>
      <c r="D171">
        <v>-3.49</v>
      </c>
      <c r="F171">
        <v>-0.21</v>
      </c>
      <c r="G171">
        <v>0.06</v>
      </c>
      <c r="H171">
        <v>1.65</v>
      </c>
      <c r="I171">
        <v>13.23</v>
      </c>
      <c r="J171">
        <v>2.73</v>
      </c>
      <c r="K171">
        <v>2.87</v>
      </c>
      <c r="L171">
        <v>1.33</v>
      </c>
      <c r="M171">
        <v>54.24</v>
      </c>
      <c r="O171">
        <v>1.84</v>
      </c>
      <c r="P171">
        <v>2.1800000000000002</v>
      </c>
      <c r="Q171">
        <v>0</v>
      </c>
      <c r="R171">
        <v>0</v>
      </c>
    </row>
    <row r="172" spans="1:18" x14ac:dyDescent="0.25">
      <c r="A172">
        <v>140</v>
      </c>
      <c r="B172">
        <v>35.28</v>
      </c>
      <c r="C172">
        <f>ROUNDDOWN(1.60363636363636,0)</f>
        <v>1</v>
      </c>
      <c r="D172">
        <v>-3.23</v>
      </c>
      <c r="F172">
        <v>-0.22</v>
      </c>
      <c r="G172">
        <v>0.03</v>
      </c>
      <c r="H172">
        <v>1.81</v>
      </c>
      <c r="I172">
        <v>13.57</v>
      </c>
      <c r="J172">
        <v>2.71</v>
      </c>
      <c r="K172">
        <v>2.65</v>
      </c>
      <c r="L172">
        <v>1.6</v>
      </c>
      <c r="M172">
        <v>54.24</v>
      </c>
      <c r="O172">
        <v>1.84</v>
      </c>
      <c r="P172">
        <v>2.19</v>
      </c>
      <c r="Q172">
        <v>0</v>
      </c>
      <c r="R172">
        <v>0</v>
      </c>
    </row>
    <row r="173" spans="1:18" x14ac:dyDescent="0.25">
      <c r="A173">
        <v>140</v>
      </c>
      <c r="B173">
        <v>35.49</v>
      </c>
      <c r="C173">
        <f>ROUNDDOWN(1.61318181818182,0)</f>
        <v>1</v>
      </c>
      <c r="D173">
        <v>-2.84</v>
      </c>
      <c r="F173">
        <v>-0.24</v>
      </c>
      <c r="G173">
        <v>-0.01</v>
      </c>
      <c r="H173">
        <v>1.97</v>
      </c>
      <c r="I173">
        <v>14.03</v>
      </c>
      <c r="J173">
        <v>2.68</v>
      </c>
      <c r="K173">
        <v>2.4</v>
      </c>
      <c r="L173">
        <v>1.92</v>
      </c>
      <c r="M173">
        <v>54.24</v>
      </c>
      <c r="O173">
        <v>1.85</v>
      </c>
      <c r="P173">
        <v>2.2000000000000002</v>
      </c>
      <c r="Q173">
        <v>0</v>
      </c>
      <c r="R173">
        <v>0</v>
      </c>
    </row>
    <row r="174" spans="1:18" x14ac:dyDescent="0.25">
      <c r="A174">
        <v>140</v>
      </c>
      <c r="B174">
        <v>35.699999999999996</v>
      </c>
      <c r="C174">
        <f>ROUNDDOWN(1.62272727272727,0)</f>
        <v>1</v>
      </c>
      <c r="D174">
        <v>-2.23</v>
      </c>
      <c r="F174">
        <v>-0.19</v>
      </c>
      <c r="G174">
        <v>0.01</v>
      </c>
      <c r="H174">
        <v>2.13</v>
      </c>
      <c r="I174">
        <v>14.51</v>
      </c>
      <c r="J174">
        <v>2.65</v>
      </c>
      <c r="K174">
        <v>2.17</v>
      </c>
      <c r="L174">
        <v>2.21</v>
      </c>
      <c r="M174">
        <v>54.24</v>
      </c>
      <c r="O174">
        <v>1.85</v>
      </c>
      <c r="P174">
        <v>2.21</v>
      </c>
      <c r="Q174">
        <v>0</v>
      </c>
      <c r="R174">
        <v>0</v>
      </c>
    </row>
    <row r="175" spans="1:18" x14ac:dyDescent="0.25">
      <c r="A175">
        <v>140</v>
      </c>
      <c r="B175">
        <v>35.909999999999997</v>
      </c>
      <c r="C175">
        <f>ROUNDDOWN(1.63227272727273,0)</f>
        <v>1</v>
      </c>
      <c r="D175">
        <v>-1.42</v>
      </c>
      <c r="F175">
        <v>-0.13</v>
      </c>
      <c r="G175">
        <v>0.05</v>
      </c>
      <c r="H175">
        <v>2.39</v>
      </c>
      <c r="I175">
        <v>15.01</v>
      </c>
      <c r="J175">
        <v>2.61</v>
      </c>
      <c r="K175">
        <v>2.0299999999999998</v>
      </c>
      <c r="L175">
        <v>2.59</v>
      </c>
      <c r="M175">
        <v>54.24</v>
      </c>
      <c r="O175">
        <v>1.85</v>
      </c>
      <c r="P175">
        <v>2.2200000000000002</v>
      </c>
      <c r="Q175">
        <v>0</v>
      </c>
      <c r="R175">
        <v>0</v>
      </c>
    </row>
    <row r="176" spans="1:18" x14ac:dyDescent="0.25">
      <c r="A176">
        <v>140</v>
      </c>
      <c r="B176">
        <v>36.119999999999997</v>
      </c>
      <c r="C176">
        <f>ROUNDDOWN(1.64181818181818,0)</f>
        <v>1</v>
      </c>
      <c r="D176">
        <v>-0.43</v>
      </c>
      <c r="F176">
        <v>-0.03</v>
      </c>
      <c r="G176">
        <v>0.13</v>
      </c>
      <c r="H176">
        <v>2.67</v>
      </c>
      <c r="I176">
        <v>15.44</v>
      </c>
      <c r="J176">
        <v>2.57</v>
      </c>
      <c r="K176">
        <v>1.96</v>
      </c>
      <c r="L176">
        <v>2.91</v>
      </c>
      <c r="M176">
        <v>54.24</v>
      </c>
      <c r="O176">
        <v>1.86</v>
      </c>
      <c r="P176">
        <v>2.23</v>
      </c>
      <c r="Q176">
        <v>0</v>
      </c>
      <c r="R176">
        <v>0</v>
      </c>
    </row>
    <row r="177" spans="1:18" x14ac:dyDescent="0.25">
      <c r="A177">
        <v>140</v>
      </c>
      <c r="B177">
        <v>36.33</v>
      </c>
      <c r="C177">
        <f>ROUNDDOWN(1.65136363636364,0)</f>
        <v>1</v>
      </c>
      <c r="D177">
        <v>0.4</v>
      </c>
      <c r="F177">
        <v>0.02</v>
      </c>
      <c r="G177">
        <v>0.16</v>
      </c>
      <c r="H177">
        <v>2.97</v>
      </c>
      <c r="I177">
        <v>15.68</v>
      </c>
      <c r="J177">
        <v>2.52</v>
      </c>
      <c r="K177">
        <v>2</v>
      </c>
      <c r="L177">
        <v>3.14</v>
      </c>
      <c r="M177">
        <v>54.24</v>
      </c>
      <c r="O177">
        <v>1.86</v>
      </c>
      <c r="P177">
        <v>2.2400000000000002</v>
      </c>
      <c r="Q177">
        <v>0</v>
      </c>
      <c r="R177">
        <v>0</v>
      </c>
    </row>
    <row r="178" spans="1:18" x14ac:dyDescent="0.25">
      <c r="A178">
        <v>140</v>
      </c>
      <c r="B178">
        <v>36.54</v>
      </c>
      <c r="C178">
        <f>ROUNDDOWN(1.66090909090909,0)</f>
        <v>1</v>
      </c>
      <c r="D178">
        <v>1.17</v>
      </c>
      <c r="F178">
        <v>0.01</v>
      </c>
      <c r="G178">
        <v>0.14000000000000001</v>
      </c>
      <c r="H178">
        <v>3.24</v>
      </c>
      <c r="I178">
        <v>15.78</v>
      </c>
      <c r="J178">
        <v>2.46</v>
      </c>
      <c r="K178">
        <v>2.1</v>
      </c>
      <c r="L178">
        <v>3.26</v>
      </c>
      <c r="M178">
        <v>54.24</v>
      </c>
      <c r="O178">
        <v>1.87</v>
      </c>
      <c r="P178">
        <v>2.25</v>
      </c>
      <c r="Q178">
        <v>0</v>
      </c>
      <c r="R178">
        <v>0</v>
      </c>
    </row>
    <row r="179" spans="1:18" x14ac:dyDescent="0.25">
      <c r="A179">
        <v>140</v>
      </c>
      <c r="B179">
        <v>36.75</v>
      </c>
      <c r="C179">
        <f>ROUNDDOWN(1.67045454545455,0)</f>
        <v>1</v>
      </c>
      <c r="D179">
        <v>1.82</v>
      </c>
      <c r="F179">
        <v>0.01</v>
      </c>
      <c r="G179">
        <v>0.12</v>
      </c>
      <c r="H179">
        <v>3.54</v>
      </c>
      <c r="I179">
        <v>15.79</v>
      </c>
      <c r="J179">
        <v>2.4</v>
      </c>
      <c r="K179">
        <v>2.25</v>
      </c>
      <c r="L179">
        <v>3.36</v>
      </c>
      <c r="M179">
        <v>54.24</v>
      </c>
      <c r="O179">
        <v>1.88</v>
      </c>
      <c r="P179">
        <v>2.25</v>
      </c>
      <c r="Q179">
        <v>0</v>
      </c>
      <c r="R179">
        <v>0</v>
      </c>
    </row>
    <row r="180" spans="1:18" x14ac:dyDescent="0.25">
      <c r="A180">
        <v>140</v>
      </c>
      <c r="B180">
        <v>36.96</v>
      </c>
      <c r="C180">
        <f>ROUNDDOWN(1.68,0)</f>
        <v>1</v>
      </c>
      <c r="D180">
        <v>2.5</v>
      </c>
      <c r="F180">
        <v>-7.0000000000000007E-2</v>
      </c>
      <c r="G180">
        <v>0.03</v>
      </c>
      <c r="H180">
        <v>3.81</v>
      </c>
      <c r="I180">
        <v>15.85</v>
      </c>
      <c r="J180">
        <v>2.34</v>
      </c>
      <c r="K180">
        <v>2.34</v>
      </c>
      <c r="L180">
        <v>3.43</v>
      </c>
      <c r="M180">
        <v>54.24</v>
      </c>
      <c r="O180">
        <v>1.88</v>
      </c>
      <c r="P180">
        <v>2.2599999999999998</v>
      </c>
      <c r="Q180">
        <v>0</v>
      </c>
      <c r="R180">
        <v>0</v>
      </c>
    </row>
    <row r="181" spans="1:18" x14ac:dyDescent="0.25">
      <c r="A181">
        <v>140</v>
      </c>
      <c r="B181">
        <v>37.17</v>
      </c>
      <c r="C181">
        <f>ROUNDDOWN(1.68954545454545,0)</f>
        <v>1</v>
      </c>
      <c r="D181">
        <v>3.06</v>
      </c>
      <c r="F181">
        <v>-0.14000000000000001</v>
      </c>
      <c r="G181">
        <v>-7.0000000000000007E-2</v>
      </c>
      <c r="H181">
        <v>4</v>
      </c>
      <c r="I181">
        <v>15.9</v>
      </c>
      <c r="J181">
        <v>2.2799999999999998</v>
      </c>
      <c r="K181">
        <v>2.35</v>
      </c>
      <c r="L181">
        <v>3.41</v>
      </c>
      <c r="M181">
        <v>54.24</v>
      </c>
      <c r="O181">
        <v>1.89</v>
      </c>
      <c r="P181">
        <v>2.27</v>
      </c>
      <c r="Q181">
        <v>0</v>
      </c>
      <c r="R181">
        <v>0</v>
      </c>
    </row>
    <row r="182" spans="1:18" x14ac:dyDescent="0.25">
      <c r="A182">
        <v>140</v>
      </c>
      <c r="B182">
        <v>37.379999999999995</v>
      </c>
      <c r="C182">
        <f>ROUNDDOWN(1.69909090909091,0)</f>
        <v>1</v>
      </c>
      <c r="D182">
        <v>3.45</v>
      </c>
      <c r="F182">
        <v>-0.32</v>
      </c>
      <c r="G182">
        <v>-0.27</v>
      </c>
      <c r="H182">
        <v>4.2</v>
      </c>
      <c r="I182">
        <v>15.96</v>
      </c>
      <c r="J182">
        <v>2.2200000000000002</v>
      </c>
      <c r="K182">
        <v>2.37</v>
      </c>
      <c r="L182">
        <v>3.42</v>
      </c>
      <c r="M182">
        <v>54.24</v>
      </c>
      <c r="O182">
        <v>1.89</v>
      </c>
      <c r="P182">
        <v>2.27</v>
      </c>
      <c r="Q182">
        <v>0</v>
      </c>
      <c r="R182">
        <v>0</v>
      </c>
    </row>
    <row r="183" spans="1:18" x14ac:dyDescent="0.25">
      <c r="A183">
        <v>140</v>
      </c>
      <c r="B183">
        <v>37.589999999999996</v>
      </c>
      <c r="C183">
        <f>ROUNDDOWN(1.70863636363636,0)</f>
        <v>1</v>
      </c>
      <c r="D183">
        <v>3.66</v>
      </c>
      <c r="F183">
        <v>-0.44</v>
      </c>
      <c r="G183">
        <v>-0.42</v>
      </c>
      <c r="H183">
        <v>4.4000000000000004</v>
      </c>
      <c r="I183">
        <v>16.07</v>
      </c>
      <c r="J183">
        <v>2.17</v>
      </c>
      <c r="K183">
        <v>2.35</v>
      </c>
      <c r="L183">
        <v>3.43</v>
      </c>
      <c r="M183">
        <v>54.24</v>
      </c>
      <c r="O183">
        <v>1.9</v>
      </c>
      <c r="P183">
        <v>2.2799999999999998</v>
      </c>
      <c r="Q183">
        <v>0</v>
      </c>
      <c r="R183">
        <v>0</v>
      </c>
    </row>
    <row r="184" spans="1:18" x14ac:dyDescent="0.25">
      <c r="A184">
        <v>140</v>
      </c>
      <c r="B184">
        <v>37.799999999999997</v>
      </c>
      <c r="C184">
        <f>ROUNDDOWN(1.71818181818182,0)</f>
        <v>1</v>
      </c>
      <c r="D184">
        <v>3.59</v>
      </c>
      <c r="F184">
        <v>-0.56000000000000005</v>
      </c>
      <c r="G184">
        <v>-0.57999999999999996</v>
      </c>
      <c r="H184">
        <v>4.58</v>
      </c>
      <c r="I184">
        <v>16.2</v>
      </c>
      <c r="J184">
        <v>2.12</v>
      </c>
      <c r="K184">
        <v>2.31</v>
      </c>
      <c r="L184">
        <v>3.44</v>
      </c>
      <c r="M184">
        <v>54.24</v>
      </c>
      <c r="O184">
        <v>1.91</v>
      </c>
      <c r="P184">
        <v>2.29</v>
      </c>
      <c r="Q184">
        <v>0</v>
      </c>
      <c r="R184">
        <v>0</v>
      </c>
    </row>
    <row r="185" spans="1:18" x14ac:dyDescent="0.25">
      <c r="A185">
        <v>140</v>
      </c>
      <c r="B185">
        <v>38.01</v>
      </c>
      <c r="C185">
        <f>ROUNDDOWN(1.72772727272727,0)</f>
        <v>1</v>
      </c>
      <c r="D185">
        <v>3.51</v>
      </c>
      <c r="F185">
        <v>-0.62</v>
      </c>
      <c r="G185">
        <v>-0.69</v>
      </c>
      <c r="H185">
        <v>4.68</v>
      </c>
      <c r="I185">
        <v>16.38</v>
      </c>
      <c r="J185">
        <v>2.08</v>
      </c>
      <c r="K185">
        <v>2.16</v>
      </c>
      <c r="L185">
        <v>3.38</v>
      </c>
      <c r="M185">
        <v>54.24</v>
      </c>
      <c r="O185">
        <v>1.91</v>
      </c>
      <c r="P185">
        <v>2.29</v>
      </c>
      <c r="Q185">
        <v>0</v>
      </c>
      <c r="R185">
        <v>0</v>
      </c>
    </row>
    <row r="186" spans="1:18" x14ac:dyDescent="0.25">
      <c r="A186">
        <v>140</v>
      </c>
      <c r="B186">
        <v>38.22</v>
      </c>
      <c r="C186">
        <f>ROUNDDOWN(1.73727272727273,0)</f>
        <v>1</v>
      </c>
      <c r="D186">
        <v>3.38</v>
      </c>
      <c r="F186">
        <v>-0.67</v>
      </c>
      <c r="G186">
        <v>-0.78</v>
      </c>
      <c r="H186">
        <v>4.8099999999999996</v>
      </c>
      <c r="I186">
        <v>16.61</v>
      </c>
      <c r="J186">
        <v>2.04</v>
      </c>
      <c r="K186">
        <v>2.02</v>
      </c>
      <c r="L186">
        <v>3.37</v>
      </c>
      <c r="M186">
        <v>54.25</v>
      </c>
      <c r="O186">
        <v>1.92</v>
      </c>
      <c r="P186">
        <v>2.2999999999999998</v>
      </c>
      <c r="Q186">
        <v>0</v>
      </c>
      <c r="R186">
        <v>0</v>
      </c>
    </row>
    <row r="187" spans="1:18" x14ac:dyDescent="0.25">
      <c r="A187">
        <v>140</v>
      </c>
      <c r="B187">
        <v>38.43</v>
      </c>
      <c r="C187">
        <f>ROUNDDOWN(1.74681818181818,0)</f>
        <v>1</v>
      </c>
      <c r="D187">
        <v>3.33</v>
      </c>
      <c r="F187">
        <v>-0.68</v>
      </c>
      <c r="G187">
        <v>-0.85</v>
      </c>
      <c r="H187">
        <v>4.92</v>
      </c>
      <c r="I187">
        <v>16.899999999999999</v>
      </c>
      <c r="J187">
        <v>2</v>
      </c>
      <c r="K187">
        <v>1.85</v>
      </c>
      <c r="L187">
        <v>3.36</v>
      </c>
      <c r="M187">
        <v>54.25</v>
      </c>
      <c r="O187">
        <v>1.93</v>
      </c>
      <c r="P187">
        <v>2.31</v>
      </c>
      <c r="Q187">
        <v>0</v>
      </c>
      <c r="R187">
        <v>0</v>
      </c>
    </row>
    <row r="188" spans="1:18" x14ac:dyDescent="0.25">
      <c r="A188">
        <v>140</v>
      </c>
      <c r="B188">
        <v>38.64</v>
      </c>
      <c r="C188">
        <f>ROUNDDOWN(1.75636363636364,0)</f>
        <v>1</v>
      </c>
      <c r="D188">
        <v>3.17</v>
      </c>
      <c r="F188">
        <v>-0.6</v>
      </c>
      <c r="G188">
        <v>-0.81</v>
      </c>
      <c r="H188">
        <v>5.0199999999999996</v>
      </c>
      <c r="I188">
        <v>17.2</v>
      </c>
      <c r="J188">
        <v>1.97</v>
      </c>
      <c r="K188">
        <v>1.68</v>
      </c>
      <c r="L188">
        <v>3.34</v>
      </c>
      <c r="M188">
        <v>54.25</v>
      </c>
      <c r="O188">
        <v>1.93</v>
      </c>
      <c r="P188">
        <v>2.3199999999999998</v>
      </c>
      <c r="Q188">
        <v>0</v>
      </c>
      <c r="R188">
        <v>0</v>
      </c>
    </row>
    <row r="189" spans="1:18" x14ac:dyDescent="0.25">
      <c r="A189">
        <v>140</v>
      </c>
      <c r="B189">
        <v>38.85</v>
      </c>
      <c r="C189">
        <f>ROUNDDOWN(1.76590909090909,0)</f>
        <v>1</v>
      </c>
      <c r="D189">
        <v>2.97</v>
      </c>
      <c r="F189">
        <v>-0.5</v>
      </c>
      <c r="G189">
        <v>-0.75</v>
      </c>
      <c r="H189">
        <v>5</v>
      </c>
      <c r="I189">
        <v>17.47</v>
      </c>
      <c r="J189">
        <v>1.94</v>
      </c>
      <c r="K189">
        <v>1.41</v>
      </c>
      <c r="L189">
        <v>3.19</v>
      </c>
      <c r="M189">
        <v>54.25</v>
      </c>
      <c r="O189">
        <v>1.94</v>
      </c>
      <c r="P189">
        <v>2.33</v>
      </c>
      <c r="Q189">
        <v>0</v>
      </c>
      <c r="R189">
        <v>0</v>
      </c>
    </row>
    <row r="190" spans="1:18" x14ac:dyDescent="0.25">
      <c r="A190">
        <v>140</v>
      </c>
      <c r="B190">
        <v>39.059999999999995</v>
      </c>
      <c r="C190">
        <f>ROUNDDOWN(1.77545454545455,0)</f>
        <v>1</v>
      </c>
      <c r="D190">
        <v>2.71</v>
      </c>
      <c r="F190">
        <v>-0.28999999999999998</v>
      </c>
      <c r="G190">
        <v>-0.59</v>
      </c>
      <c r="H190">
        <v>4.9800000000000004</v>
      </c>
      <c r="I190">
        <v>17.71</v>
      </c>
      <c r="J190">
        <v>1.91</v>
      </c>
      <c r="K190">
        <v>1.1599999999999999</v>
      </c>
      <c r="L190">
        <v>3.01</v>
      </c>
      <c r="M190">
        <v>54.25</v>
      </c>
      <c r="O190">
        <v>1.95</v>
      </c>
      <c r="P190">
        <v>2.33</v>
      </c>
      <c r="Q190">
        <v>0</v>
      </c>
      <c r="R190">
        <v>0</v>
      </c>
    </row>
    <row r="191" spans="1:18" x14ac:dyDescent="0.25">
      <c r="A191">
        <v>140</v>
      </c>
      <c r="B191">
        <v>39.269999999999996</v>
      </c>
      <c r="C191">
        <f>ROUNDDOWN(1.785,0)</f>
        <v>1</v>
      </c>
      <c r="D191">
        <v>2.4300000000000002</v>
      </c>
      <c r="F191">
        <v>-0.13</v>
      </c>
      <c r="G191">
        <v>-0.46</v>
      </c>
      <c r="H191">
        <v>4.87</v>
      </c>
      <c r="I191">
        <v>17.87</v>
      </c>
      <c r="J191">
        <v>1.88</v>
      </c>
      <c r="K191">
        <v>0.89</v>
      </c>
      <c r="L191">
        <v>2.7</v>
      </c>
      <c r="M191">
        <v>54.25</v>
      </c>
      <c r="O191">
        <v>1.96</v>
      </c>
      <c r="P191">
        <v>2.34</v>
      </c>
      <c r="Q191">
        <v>0</v>
      </c>
      <c r="R191">
        <v>0</v>
      </c>
    </row>
    <row r="192" spans="1:18" x14ac:dyDescent="0.25">
      <c r="A192">
        <v>140</v>
      </c>
      <c r="B192">
        <v>39.479999999999997</v>
      </c>
      <c r="C192">
        <f>ROUNDDOWN(1.79454545454545,0)</f>
        <v>1</v>
      </c>
      <c r="D192">
        <v>2.25</v>
      </c>
      <c r="F192">
        <v>0.1</v>
      </c>
      <c r="G192">
        <v>-0.24</v>
      </c>
      <c r="H192">
        <v>4.6900000000000004</v>
      </c>
      <c r="I192">
        <v>17.93</v>
      </c>
      <c r="J192">
        <v>1.86</v>
      </c>
      <c r="K192">
        <v>0.6</v>
      </c>
      <c r="L192">
        <v>2.2999999999999998</v>
      </c>
      <c r="M192">
        <v>54.25</v>
      </c>
      <c r="O192">
        <v>1.97</v>
      </c>
      <c r="P192">
        <v>2.35</v>
      </c>
      <c r="Q192">
        <v>0</v>
      </c>
      <c r="R192">
        <v>0</v>
      </c>
    </row>
    <row r="193" spans="1:18" x14ac:dyDescent="0.25">
      <c r="A193">
        <v>140</v>
      </c>
      <c r="B193">
        <v>39.69</v>
      </c>
      <c r="C193">
        <f>ROUNDDOWN(1.80409090909091,0)</f>
        <v>1</v>
      </c>
      <c r="D193">
        <v>2.09</v>
      </c>
      <c r="F193">
        <v>0.3</v>
      </c>
      <c r="G193">
        <v>-0.06</v>
      </c>
      <c r="H193">
        <v>4.37</v>
      </c>
      <c r="I193">
        <v>17.86</v>
      </c>
      <c r="J193">
        <v>1.85</v>
      </c>
      <c r="K193">
        <v>0.26</v>
      </c>
      <c r="L193">
        <v>1.71</v>
      </c>
      <c r="M193">
        <v>54.25</v>
      </c>
      <c r="O193">
        <v>1.97</v>
      </c>
      <c r="P193">
        <v>2.36</v>
      </c>
      <c r="Q193">
        <v>0</v>
      </c>
      <c r="R193">
        <v>0</v>
      </c>
    </row>
    <row r="194" spans="1:18" x14ac:dyDescent="0.25">
      <c r="A194">
        <v>140</v>
      </c>
      <c r="B194">
        <v>39.9</v>
      </c>
      <c r="C194">
        <f>ROUNDDOWN(1.81363636363636,0)</f>
        <v>1</v>
      </c>
      <c r="D194">
        <v>1.9</v>
      </c>
      <c r="F194">
        <v>0.51</v>
      </c>
      <c r="G194">
        <v>0.16</v>
      </c>
      <c r="H194">
        <v>4.01</v>
      </c>
      <c r="I194">
        <v>17.690000000000001</v>
      </c>
      <c r="J194">
        <v>1.85</v>
      </c>
      <c r="K194">
        <v>-7.0000000000000007E-2</v>
      </c>
      <c r="L194">
        <v>1.06</v>
      </c>
      <c r="M194">
        <v>54.25</v>
      </c>
      <c r="O194">
        <v>1.98</v>
      </c>
      <c r="P194">
        <v>2.37</v>
      </c>
      <c r="Q194">
        <v>0</v>
      </c>
      <c r="R194">
        <v>0</v>
      </c>
    </row>
    <row r="195" spans="1:18" x14ac:dyDescent="0.25">
      <c r="A195">
        <v>140</v>
      </c>
      <c r="B195">
        <v>40.11</v>
      </c>
      <c r="C195">
        <f>ROUNDDOWN(1.82318181818182,0)</f>
        <v>1</v>
      </c>
      <c r="D195">
        <v>1.49</v>
      </c>
      <c r="F195">
        <v>0.66</v>
      </c>
      <c r="G195">
        <v>0.32</v>
      </c>
      <c r="H195">
        <v>3.58</v>
      </c>
      <c r="I195">
        <v>17.34</v>
      </c>
      <c r="J195">
        <v>1.86</v>
      </c>
      <c r="K195">
        <v>-0.36</v>
      </c>
      <c r="L195">
        <v>0.28999999999999998</v>
      </c>
      <c r="M195">
        <v>54.25</v>
      </c>
      <c r="O195">
        <v>1.99</v>
      </c>
      <c r="P195">
        <v>2.38</v>
      </c>
      <c r="Q195">
        <v>0</v>
      </c>
      <c r="R195">
        <v>0</v>
      </c>
    </row>
    <row r="196" spans="1:18" x14ac:dyDescent="0.25">
      <c r="A196">
        <v>140</v>
      </c>
      <c r="B196">
        <v>40.32</v>
      </c>
      <c r="C196">
        <f>ROUNDDOWN(1.83272727272727,0)</f>
        <v>1</v>
      </c>
      <c r="D196">
        <v>1.05</v>
      </c>
      <c r="F196">
        <v>0.76</v>
      </c>
      <c r="G196">
        <v>0.43</v>
      </c>
      <c r="H196">
        <v>3.1</v>
      </c>
      <c r="I196">
        <v>16.940000000000001</v>
      </c>
      <c r="J196">
        <v>1.88</v>
      </c>
      <c r="K196">
        <v>-0.69</v>
      </c>
      <c r="L196">
        <v>-0.51</v>
      </c>
      <c r="M196">
        <v>54.25</v>
      </c>
      <c r="O196">
        <v>2</v>
      </c>
      <c r="P196">
        <v>2.39</v>
      </c>
      <c r="Q196">
        <v>0</v>
      </c>
      <c r="R196">
        <v>0</v>
      </c>
    </row>
    <row r="197" spans="1:18" x14ac:dyDescent="0.25">
      <c r="A197">
        <v>140</v>
      </c>
      <c r="B197">
        <v>40.53</v>
      </c>
      <c r="C197">
        <f>ROUNDDOWN(1.84227272727273,0)</f>
        <v>1</v>
      </c>
      <c r="D197">
        <v>0.69</v>
      </c>
      <c r="F197">
        <v>0.82</v>
      </c>
      <c r="G197">
        <v>0.51</v>
      </c>
      <c r="H197">
        <v>2.66</v>
      </c>
      <c r="I197">
        <v>16.649999999999999</v>
      </c>
      <c r="J197">
        <v>1.91</v>
      </c>
      <c r="K197">
        <v>-1.01</v>
      </c>
      <c r="L197">
        <v>-1.1599999999999999</v>
      </c>
      <c r="M197">
        <v>54.25</v>
      </c>
      <c r="O197">
        <v>2.0099999999999998</v>
      </c>
      <c r="P197">
        <v>2.4</v>
      </c>
      <c r="Q197">
        <v>0</v>
      </c>
      <c r="R197">
        <v>0</v>
      </c>
    </row>
    <row r="198" spans="1:18" x14ac:dyDescent="0.25">
      <c r="A198">
        <v>140</v>
      </c>
      <c r="B198">
        <v>40.74</v>
      </c>
      <c r="C198">
        <f>ROUNDDOWN(1.85181818181818,0)</f>
        <v>1</v>
      </c>
      <c r="D198">
        <v>0.52</v>
      </c>
      <c r="F198">
        <v>0.85</v>
      </c>
      <c r="G198">
        <v>0.56000000000000005</v>
      </c>
      <c r="H198">
        <v>2.23</v>
      </c>
      <c r="I198">
        <v>16.59</v>
      </c>
      <c r="J198">
        <v>1.96</v>
      </c>
      <c r="K198">
        <v>-1.42</v>
      </c>
      <c r="L198">
        <v>-1.66</v>
      </c>
      <c r="M198">
        <v>54.25</v>
      </c>
      <c r="O198">
        <v>2.02</v>
      </c>
      <c r="P198">
        <v>2.42</v>
      </c>
      <c r="Q198">
        <v>0</v>
      </c>
      <c r="R198">
        <v>0</v>
      </c>
    </row>
    <row r="199" spans="1:18" x14ac:dyDescent="0.25">
      <c r="A199">
        <v>140</v>
      </c>
      <c r="B199">
        <v>40.949999999999996</v>
      </c>
      <c r="C199">
        <f>ROUNDDOWN(1.86136363636364,0)</f>
        <v>1</v>
      </c>
      <c r="D199">
        <v>0.53</v>
      </c>
      <c r="F199">
        <v>0.9</v>
      </c>
      <c r="G199">
        <v>0.64</v>
      </c>
      <c r="H199">
        <v>1.87</v>
      </c>
      <c r="I199">
        <v>16.73</v>
      </c>
      <c r="J199">
        <v>2.02</v>
      </c>
      <c r="K199">
        <v>-1.86</v>
      </c>
      <c r="L199">
        <v>-1.97</v>
      </c>
      <c r="M199">
        <v>54.25</v>
      </c>
      <c r="O199">
        <v>2.0299999999999998</v>
      </c>
      <c r="P199">
        <v>2.4300000000000002</v>
      </c>
      <c r="Q199">
        <v>0</v>
      </c>
      <c r="R199">
        <v>0</v>
      </c>
    </row>
    <row r="200" spans="1:18" x14ac:dyDescent="0.25">
      <c r="A200">
        <v>140</v>
      </c>
      <c r="B200">
        <v>41.16</v>
      </c>
      <c r="C200">
        <f>ROUNDDOWN(1.87090909090909,0)</f>
        <v>1</v>
      </c>
      <c r="D200">
        <v>0.5</v>
      </c>
      <c r="F200">
        <v>0.91</v>
      </c>
      <c r="G200">
        <v>0.68</v>
      </c>
      <c r="H200">
        <v>1.51</v>
      </c>
      <c r="I200">
        <v>16.88</v>
      </c>
      <c r="J200">
        <v>2.11</v>
      </c>
      <c r="K200">
        <v>-2.2599999999999998</v>
      </c>
      <c r="L200">
        <v>-2.2599999999999998</v>
      </c>
      <c r="M200">
        <v>54.25</v>
      </c>
      <c r="O200">
        <v>2.04</v>
      </c>
      <c r="P200">
        <v>2.44</v>
      </c>
      <c r="Q200">
        <v>0</v>
      </c>
      <c r="R200">
        <v>0</v>
      </c>
    </row>
    <row r="201" spans="1:18" x14ac:dyDescent="0.25">
      <c r="A201">
        <v>140</v>
      </c>
      <c r="B201">
        <v>41.37</v>
      </c>
      <c r="C201">
        <f>ROUNDDOWN(1.88045454545455,0)</f>
        <v>1</v>
      </c>
      <c r="D201">
        <v>0.41</v>
      </c>
      <c r="F201">
        <v>0.93</v>
      </c>
      <c r="G201">
        <v>0.73</v>
      </c>
      <c r="H201">
        <v>1.33</v>
      </c>
      <c r="I201">
        <v>17.02</v>
      </c>
      <c r="J201">
        <v>2.23</v>
      </c>
      <c r="K201">
        <v>-2.46</v>
      </c>
      <c r="L201">
        <v>-2.36</v>
      </c>
      <c r="M201">
        <v>54.25</v>
      </c>
      <c r="O201">
        <v>2.0499999999999998</v>
      </c>
      <c r="P201">
        <v>2.4500000000000002</v>
      </c>
      <c r="Q201">
        <v>0</v>
      </c>
      <c r="R201">
        <v>0</v>
      </c>
    </row>
    <row r="202" spans="1:18" x14ac:dyDescent="0.25">
      <c r="A202">
        <v>140</v>
      </c>
      <c r="B202">
        <v>41.58</v>
      </c>
      <c r="C202">
        <f>ROUNDDOWN(1.89,0)</f>
        <v>1</v>
      </c>
      <c r="D202">
        <v>0.18</v>
      </c>
      <c r="F202">
        <v>0.91</v>
      </c>
      <c r="G202">
        <v>0.74</v>
      </c>
      <c r="H202">
        <v>1.1299999999999999</v>
      </c>
      <c r="I202">
        <v>17.09</v>
      </c>
      <c r="J202">
        <v>2.36</v>
      </c>
      <c r="K202">
        <v>-2.64</v>
      </c>
      <c r="L202">
        <v>-2.52</v>
      </c>
      <c r="M202">
        <v>54.25</v>
      </c>
      <c r="O202">
        <v>2.06</v>
      </c>
      <c r="P202">
        <v>2.4700000000000002</v>
      </c>
      <c r="Q202">
        <v>0</v>
      </c>
      <c r="R202">
        <v>0</v>
      </c>
    </row>
    <row r="203" spans="1:18" x14ac:dyDescent="0.25">
      <c r="A203">
        <v>140</v>
      </c>
      <c r="B203">
        <v>41.79</v>
      </c>
      <c r="C203">
        <f>ROUNDDOWN(1.89954545454545,0)</f>
        <v>1</v>
      </c>
      <c r="D203">
        <v>-7.0000000000000007E-2</v>
      </c>
      <c r="F203">
        <v>0.89</v>
      </c>
      <c r="G203">
        <v>0.75</v>
      </c>
      <c r="H203">
        <v>0.93</v>
      </c>
      <c r="I203">
        <v>17.13</v>
      </c>
      <c r="J203">
        <v>2.5299999999999998</v>
      </c>
      <c r="K203">
        <v>-2.78</v>
      </c>
      <c r="L203">
        <v>-2.67</v>
      </c>
      <c r="M203">
        <v>54.25</v>
      </c>
      <c r="O203">
        <v>2.0699999999999998</v>
      </c>
      <c r="P203">
        <v>2.48</v>
      </c>
      <c r="Q203">
        <v>0</v>
      </c>
      <c r="R203">
        <v>0</v>
      </c>
    </row>
    <row r="204" spans="1:18" x14ac:dyDescent="0.25">
      <c r="A204">
        <v>140</v>
      </c>
      <c r="B204">
        <v>42</v>
      </c>
      <c r="C204">
        <f>ROUNDDOWN(1.90909090909091,0)</f>
        <v>1</v>
      </c>
      <c r="D204">
        <v>-0.24</v>
      </c>
      <c r="F204">
        <v>0.89</v>
      </c>
      <c r="G204">
        <v>0.78</v>
      </c>
      <c r="H204">
        <v>0.72</v>
      </c>
      <c r="I204">
        <v>17.23</v>
      </c>
      <c r="J204">
        <v>2.71</v>
      </c>
      <c r="K204">
        <v>-2.97</v>
      </c>
      <c r="L204">
        <v>-2.81</v>
      </c>
      <c r="M204">
        <v>54.25</v>
      </c>
      <c r="O204">
        <v>2.09</v>
      </c>
      <c r="P204">
        <v>2.5</v>
      </c>
      <c r="Q204">
        <v>0</v>
      </c>
      <c r="R204">
        <v>0</v>
      </c>
    </row>
    <row r="205" spans="1:18" x14ac:dyDescent="0.25">
      <c r="A205">
        <v>140</v>
      </c>
      <c r="B205">
        <v>42.21</v>
      </c>
      <c r="C205">
        <f>ROUNDDOWN(1.91863636363636,0)</f>
        <v>1</v>
      </c>
      <c r="D205">
        <v>-0.26</v>
      </c>
      <c r="F205">
        <v>0.9</v>
      </c>
      <c r="G205">
        <v>0.83</v>
      </c>
      <c r="H205">
        <v>0.74</v>
      </c>
      <c r="I205">
        <v>17.46</v>
      </c>
      <c r="J205">
        <v>2.9</v>
      </c>
      <c r="K205">
        <v>-2.96</v>
      </c>
      <c r="L205">
        <v>-2.64</v>
      </c>
      <c r="M205">
        <v>54.25</v>
      </c>
      <c r="O205">
        <v>2.1</v>
      </c>
      <c r="P205">
        <v>2.5099999999999998</v>
      </c>
      <c r="Q205">
        <v>0</v>
      </c>
      <c r="R205">
        <v>0</v>
      </c>
    </row>
    <row r="206" spans="1:18" x14ac:dyDescent="0.25">
      <c r="A206">
        <v>140</v>
      </c>
      <c r="B206">
        <v>42.42</v>
      </c>
      <c r="C206">
        <f>ROUNDDOWN(1.92818181818182,0)</f>
        <v>1</v>
      </c>
      <c r="D206">
        <v>-0.2</v>
      </c>
      <c r="F206">
        <v>0.93</v>
      </c>
      <c r="G206">
        <v>0.89</v>
      </c>
      <c r="H206">
        <v>0.8</v>
      </c>
      <c r="I206">
        <v>17.670000000000002</v>
      </c>
      <c r="J206">
        <v>3.09</v>
      </c>
      <c r="K206">
        <v>-2.9</v>
      </c>
      <c r="L206">
        <v>-2.4500000000000002</v>
      </c>
      <c r="M206">
        <v>54.25</v>
      </c>
      <c r="O206">
        <v>2.11</v>
      </c>
      <c r="P206">
        <v>2.5299999999999998</v>
      </c>
      <c r="Q206">
        <v>0</v>
      </c>
      <c r="R206">
        <v>0</v>
      </c>
    </row>
    <row r="207" spans="1:18" x14ac:dyDescent="0.25">
      <c r="A207">
        <v>140</v>
      </c>
      <c r="B207">
        <v>42.629999999999995</v>
      </c>
      <c r="C207">
        <f>ROUNDDOWN(1.93772727272727,0)</f>
        <v>1</v>
      </c>
      <c r="D207">
        <v>-0.14000000000000001</v>
      </c>
      <c r="F207">
        <v>0.9</v>
      </c>
      <c r="G207">
        <v>0.9</v>
      </c>
      <c r="H207">
        <v>0.82</v>
      </c>
      <c r="I207">
        <v>17.8</v>
      </c>
      <c r="J207">
        <v>3.26</v>
      </c>
      <c r="K207">
        <v>-2.84</v>
      </c>
      <c r="L207">
        <v>-2.34</v>
      </c>
      <c r="M207">
        <v>54.26</v>
      </c>
      <c r="O207">
        <v>2.12</v>
      </c>
      <c r="P207">
        <v>2.54</v>
      </c>
      <c r="Q207">
        <v>0</v>
      </c>
      <c r="R207">
        <v>0</v>
      </c>
    </row>
    <row r="208" spans="1:18" x14ac:dyDescent="0.25">
      <c r="A208">
        <v>140</v>
      </c>
      <c r="B208">
        <v>42.839999999999996</v>
      </c>
      <c r="C208">
        <f>ROUNDDOWN(1.94727272727273,0)</f>
        <v>1</v>
      </c>
      <c r="D208">
        <v>0.03</v>
      </c>
      <c r="F208">
        <v>0.9</v>
      </c>
      <c r="G208">
        <v>0.94</v>
      </c>
      <c r="H208">
        <v>0.82</v>
      </c>
      <c r="I208">
        <v>17.899999999999999</v>
      </c>
      <c r="J208">
        <v>3.42</v>
      </c>
      <c r="K208">
        <v>-2.79</v>
      </c>
      <c r="L208">
        <v>-2.2799999999999998</v>
      </c>
      <c r="M208">
        <v>54.26</v>
      </c>
      <c r="O208">
        <v>2.13</v>
      </c>
      <c r="P208">
        <v>2.56</v>
      </c>
      <c r="Q208">
        <v>0</v>
      </c>
      <c r="R208">
        <v>0</v>
      </c>
    </row>
    <row r="209" spans="1:18" x14ac:dyDescent="0.25">
      <c r="A209">
        <v>140</v>
      </c>
      <c r="B209">
        <v>43.05</v>
      </c>
      <c r="C209">
        <f>ROUNDDOWN(1.95681818181818,0)</f>
        <v>1</v>
      </c>
      <c r="D209">
        <v>0.38</v>
      </c>
      <c r="F209">
        <v>0.91</v>
      </c>
      <c r="G209">
        <v>0.99</v>
      </c>
      <c r="H209">
        <v>0.94</v>
      </c>
      <c r="I209">
        <v>18.07</v>
      </c>
      <c r="J209">
        <v>3.55</v>
      </c>
      <c r="K209">
        <v>-2.65</v>
      </c>
      <c r="L209">
        <v>-2.06</v>
      </c>
      <c r="M209">
        <v>54.26</v>
      </c>
      <c r="O209">
        <v>2.15</v>
      </c>
      <c r="P209">
        <v>2.57</v>
      </c>
      <c r="Q209">
        <v>0</v>
      </c>
      <c r="R209">
        <v>0</v>
      </c>
    </row>
    <row r="210" spans="1:18" x14ac:dyDescent="0.25">
      <c r="A210">
        <v>140</v>
      </c>
      <c r="B210">
        <v>43.26</v>
      </c>
      <c r="C210">
        <f>ROUNDDOWN(1.96636363636364,0)</f>
        <v>1</v>
      </c>
      <c r="D210">
        <v>0.93</v>
      </c>
      <c r="F210">
        <v>0.91</v>
      </c>
      <c r="G210">
        <v>1.03</v>
      </c>
      <c r="H210">
        <v>1.17</v>
      </c>
      <c r="I210">
        <v>18.28</v>
      </c>
      <c r="J210">
        <v>3.64</v>
      </c>
      <c r="K210">
        <v>-2.42</v>
      </c>
      <c r="L210">
        <v>-1.74</v>
      </c>
      <c r="M210">
        <v>54.26</v>
      </c>
      <c r="O210">
        <v>2.16</v>
      </c>
      <c r="P210">
        <v>2.59</v>
      </c>
      <c r="Q210">
        <v>0</v>
      </c>
      <c r="R210">
        <v>0</v>
      </c>
    </row>
    <row r="211" spans="1:18" x14ac:dyDescent="0.25">
      <c r="A211">
        <v>140</v>
      </c>
      <c r="B211">
        <v>43.47</v>
      </c>
      <c r="C211">
        <f>ROUNDDOWN(1.97590909090909,0)</f>
        <v>1</v>
      </c>
      <c r="D211">
        <v>1.51</v>
      </c>
      <c r="F211">
        <v>0.87</v>
      </c>
      <c r="G211">
        <v>1.03</v>
      </c>
      <c r="H211">
        <v>1.3</v>
      </c>
      <c r="I211">
        <v>18.46</v>
      </c>
      <c r="J211">
        <v>3.72</v>
      </c>
      <c r="K211">
        <v>-2.2799999999999998</v>
      </c>
      <c r="L211">
        <v>-1.54</v>
      </c>
      <c r="M211">
        <v>54.26</v>
      </c>
      <c r="O211">
        <v>2.17</v>
      </c>
      <c r="P211">
        <v>2.6</v>
      </c>
      <c r="Q211">
        <v>0</v>
      </c>
      <c r="R211">
        <v>0</v>
      </c>
    </row>
    <row r="212" spans="1:18" x14ac:dyDescent="0.25">
      <c r="A212">
        <v>140</v>
      </c>
      <c r="B212">
        <v>43.68</v>
      </c>
      <c r="C212">
        <f>ROUNDDOWN(1.98545454545455,0)</f>
        <v>1</v>
      </c>
      <c r="D212">
        <v>2</v>
      </c>
      <c r="F212">
        <v>0.7</v>
      </c>
      <c r="G212">
        <v>0.9</v>
      </c>
      <c r="H212">
        <v>1.39</v>
      </c>
      <c r="I212">
        <v>18.649999999999999</v>
      </c>
      <c r="J212">
        <v>3.78</v>
      </c>
      <c r="K212">
        <v>-2.1800000000000002</v>
      </c>
      <c r="L212">
        <v>-1.37</v>
      </c>
      <c r="M212">
        <v>54.26</v>
      </c>
      <c r="O212">
        <v>2.19</v>
      </c>
      <c r="P212">
        <v>2.62</v>
      </c>
      <c r="Q212">
        <v>0</v>
      </c>
      <c r="R212">
        <v>0</v>
      </c>
    </row>
    <row r="213" spans="1:18" x14ac:dyDescent="0.25">
      <c r="A213">
        <v>140</v>
      </c>
      <c r="B213">
        <v>43.89</v>
      </c>
      <c r="C213">
        <f>ROUNDDOWN(1.995,0)</f>
        <v>1</v>
      </c>
      <c r="D213">
        <v>2.34</v>
      </c>
      <c r="F213">
        <v>0.53</v>
      </c>
      <c r="G213">
        <v>0.76</v>
      </c>
      <c r="H213">
        <v>1.44</v>
      </c>
      <c r="I213">
        <v>18.920000000000002</v>
      </c>
      <c r="J213">
        <v>3.82</v>
      </c>
      <c r="K213">
        <v>-2.15</v>
      </c>
      <c r="L213">
        <v>-1.22</v>
      </c>
      <c r="M213">
        <v>54.26</v>
      </c>
      <c r="O213">
        <v>2.2000000000000002</v>
      </c>
      <c r="P213">
        <v>2.63</v>
      </c>
      <c r="Q213">
        <v>0</v>
      </c>
      <c r="R213">
        <v>0</v>
      </c>
    </row>
    <row r="214" spans="1:18" x14ac:dyDescent="0.25">
      <c r="A214">
        <v>140</v>
      </c>
      <c r="B214">
        <v>44.1</v>
      </c>
      <c r="C214">
        <f>ROUNDDOWN(2.00454545454545,0)</f>
        <v>2</v>
      </c>
      <c r="D214">
        <v>2.44</v>
      </c>
      <c r="F214">
        <v>0.31</v>
      </c>
      <c r="G214">
        <v>0.56000000000000005</v>
      </c>
      <c r="H214">
        <v>1.54</v>
      </c>
      <c r="I214">
        <v>19.170000000000002</v>
      </c>
      <c r="J214">
        <v>3.85</v>
      </c>
      <c r="K214">
        <v>-2.06</v>
      </c>
      <c r="L214">
        <v>-1.04</v>
      </c>
      <c r="M214">
        <v>54.26</v>
      </c>
      <c r="O214">
        <v>2.21</v>
      </c>
      <c r="P214">
        <v>2.65</v>
      </c>
      <c r="Q214">
        <v>0</v>
      </c>
      <c r="R214">
        <v>0</v>
      </c>
    </row>
    <row r="215" spans="1:18" x14ac:dyDescent="0.25">
      <c r="A215">
        <v>140</v>
      </c>
      <c r="B215">
        <v>44.309999999999995</v>
      </c>
      <c r="C215">
        <f>ROUNDDOWN(2.01409090909091,0)</f>
        <v>2</v>
      </c>
      <c r="D215">
        <v>2.44</v>
      </c>
      <c r="F215">
        <v>0.14000000000000001</v>
      </c>
      <c r="G215">
        <v>0.4</v>
      </c>
      <c r="H215">
        <v>1.61</v>
      </c>
      <c r="I215">
        <v>19.32</v>
      </c>
      <c r="J215">
        <v>3.86</v>
      </c>
      <c r="K215">
        <v>-1.96</v>
      </c>
      <c r="L215">
        <v>-0.95</v>
      </c>
      <c r="M215">
        <v>54.26</v>
      </c>
      <c r="O215">
        <v>2.23</v>
      </c>
      <c r="P215">
        <v>2.67</v>
      </c>
      <c r="Q215">
        <v>0</v>
      </c>
      <c r="R215">
        <v>0</v>
      </c>
    </row>
    <row r="216" spans="1:18" x14ac:dyDescent="0.25">
      <c r="A216">
        <v>140</v>
      </c>
      <c r="B216">
        <v>44.519999999999996</v>
      </c>
      <c r="C216">
        <f>ROUNDDOWN(2.02363636363636,0)</f>
        <v>2</v>
      </c>
      <c r="D216">
        <v>2.4</v>
      </c>
      <c r="F216">
        <v>-7.0000000000000007E-2</v>
      </c>
      <c r="G216">
        <v>0.2</v>
      </c>
      <c r="H216">
        <v>1.78</v>
      </c>
      <c r="I216">
        <v>19.420000000000002</v>
      </c>
      <c r="J216">
        <v>3.84</v>
      </c>
      <c r="K216">
        <v>-1.73</v>
      </c>
      <c r="L216">
        <v>-0.79</v>
      </c>
      <c r="M216">
        <v>54.26</v>
      </c>
      <c r="O216">
        <v>2.2400000000000002</v>
      </c>
      <c r="P216">
        <v>2.68</v>
      </c>
      <c r="Q216">
        <v>0</v>
      </c>
      <c r="R216">
        <v>0</v>
      </c>
    </row>
    <row r="217" spans="1:18" x14ac:dyDescent="0.25">
      <c r="A217">
        <v>140</v>
      </c>
      <c r="B217">
        <v>44.73</v>
      </c>
      <c r="C217">
        <f>ROUNDDOWN(2.03318181818182,0)</f>
        <v>2</v>
      </c>
      <c r="D217">
        <v>2.37</v>
      </c>
      <c r="F217">
        <v>-0.22</v>
      </c>
      <c r="G217">
        <v>0.05</v>
      </c>
      <c r="H217">
        <v>1.95</v>
      </c>
      <c r="I217">
        <v>19.46</v>
      </c>
      <c r="J217">
        <v>3.8</v>
      </c>
      <c r="K217">
        <v>-1.47</v>
      </c>
      <c r="L217">
        <v>-0.66</v>
      </c>
      <c r="M217">
        <v>54.26</v>
      </c>
      <c r="O217">
        <v>2.2599999999999998</v>
      </c>
      <c r="P217">
        <v>2.7</v>
      </c>
      <c r="Q217">
        <v>0</v>
      </c>
      <c r="R217">
        <v>0</v>
      </c>
    </row>
    <row r="218" spans="1:18" x14ac:dyDescent="0.25">
      <c r="A218">
        <v>140</v>
      </c>
      <c r="B218">
        <v>44.94</v>
      </c>
      <c r="C218">
        <f>ROUNDDOWN(2.04272727272727,0)</f>
        <v>2</v>
      </c>
      <c r="D218">
        <v>2.3199999999999998</v>
      </c>
      <c r="F218">
        <v>-0.31</v>
      </c>
      <c r="G218">
        <v>-0.05</v>
      </c>
      <c r="H218">
        <v>2.1</v>
      </c>
      <c r="I218">
        <v>19.45</v>
      </c>
      <c r="J218">
        <v>3.74</v>
      </c>
      <c r="K218">
        <v>-1.24</v>
      </c>
      <c r="L218">
        <v>-0.57999999999999996</v>
      </c>
      <c r="M218">
        <v>54.26</v>
      </c>
      <c r="O218">
        <v>2.27</v>
      </c>
      <c r="P218">
        <v>2.72</v>
      </c>
      <c r="Q218">
        <v>0</v>
      </c>
      <c r="R218">
        <v>0</v>
      </c>
    </row>
    <row r="219" spans="1:18" x14ac:dyDescent="0.25">
      <c r="A219">
        <v>140</v>
      </c>
      <c r="B219">
        <v>45.15</v>
      </c>
      <c r="C219">
        <f>ROUNDDOWN(2.05227272727273,0)</f>
        <v>2</v>
      </c>
      <c r="D219">
        <v>2.1</v>
      </c>
      <c r="F219">
        <v>-0.35</v>
      </c>
      <c r="G219">
        <v>-0.11</v>
      </c>
      <c r="H219">
        <v>2.11</v>
      </c>
      <c r="I219">
        <v>19.329999999999998</v>
      </c>
      <c r="J219">
        <v>3.67</v>
      </c>
      <c r="K219">
        <v>-1.0900000000000001</v>
      </c>
      <c r="L219">
        <v>-0.69</v>
      </c>
      <c r="M219">
        <v>54.26</v>
      </c>
      <c r="O219">
        <v>2.29</v>
      </c>
      <c r="P219">
        <v>2.74</v>
      </c>
      <c r="Q219">
        <v>0</v>
      </c>
      <c r="R219">
        <v>0</v>
      </c>
    </row>
    <row r="220" spans="1:18" x14ac:dyDescent="0.25">
      <c r="A220">
        <v>140</v>
      </c>
      <c r="B220">
        <v>45.36</v>
      </c>
      <c r="C220">
        <f>ROUNDDOWN(2.06181818181818,0)</f>
        <v>2</v>
      </c>
      <c r="D220">
        <v>1.74</v>
      </c>
      <c r="F220">
        <v>-0.33</v>
      </c>
      <c r="G220">
        <v>-0.1</v>
      </c>
      <c r="H220">
        <v>2.19</v>
      </c>
      <c r="I220">
        <v>19.2</v>
      </c>
      <c r="J220">
        <v>3.59</v>
      </c>
      <c r="K220">
        <v>-0.87</v>
      </c>
      <c r="L220">
        <v>-0.72</v>
      </c>
      <c r="M220">
        <v>54.26</v>
      </c>
      <c r="O220">
        <v>2.2999999999999998</v>
      </c>
      <c r="P220">
        <v>2.76</v>
      </c>
      <c r="Q220">
        <v>0</v>
      </c>
      <c r="R220">
        <v>0</v>
      </c>
    </row>
    <row r="221" spans="1:18" x14ac:dyDescent="0.25">
      <c r="A221">
        <v>140</v>
      </c>
      <c r="B221">
        <v>45.57</v>
      </c>
      <c r="C221">
        <f>ROUNDDOWN(2.07136363636364,0)</f>
        <v>2</v>
      </c>
      <c r="D221">
        <v>1.38</v>
      </c>
      <c r="F221">
        <v>-0.31</v>
      </c>
      <c r="G221">
        <v>-0.1</v>
      </c>
      <c r="H221">
        <v>2.29</v>
      </c>
      <c r="I221">
        <v>19.05</v>
      </c>
      <c r="J221">
        <v>3.52</v>
      </c>
      <c r="K221">
        <v>-0.64</v>
      </c>
      <c r="L221">
        <v>-0.74</v>
      </c>
      <c r="M221">
        <v>54.26</v>
      </c>
      <c r="O221">
        <v>2.3199999999999998</v>
      </c>
      <c r="P221">
        <v>2.78</v>
      </c>
      <c r="Q221">
        <v>0</v>
      </c>
      <c r="R221">
        <v>0</v>
      </c>
    </row>
    <row r="222" spans="1:18" x14ac:dyDescent="0.25">
      <c r="A222">
        <v>140</v>
      </c>
      <c r="B222">
        <v>45.78</v>
      </c>
      <c r="C222">
        <f>ROUNDDOWN(2.08090909090909,0)</f>
        <v>2</v>
      </c>
      <c r="D222">
        <v>1.17</v>
      </c>
      <c r="F222">
        <v>-0.28000000000000003</v>
      </c>
      <c r="G222">
        <v>-7.0000000000000007E-2</v>
      </c>
      <c r="H222">
        <v>2.37</v>
      </c>
      <c r="I222">
        <v>18.97</v>
      </c>
      <c r="J222">
        <v>3.45</v>
      </c>
      <c r="K222">
        <v>-0.47</v>
      </c>
      <c r="L222">
        <v>-0.74</v>
      </c>
      <c r="M222">
        <v>54.26</v>
      </c>
      <c r="O222">
        <v>2.34</v>
      </c>
      <c r="P222">
        <v>2.8</v>
      </c>
      <c r="Q222">
        <v>0</v>
      </c>
      <c r="R222">
        <v>0</v>
      </c>
    </row>
    <row r="223" spans="1:18" x14ac:dyDescent="0.25">
      <c r="A223">
        <v>140</v>
      </c>
      <c r="B223">
        <v>45.989999999999995</v>
      </c>
      <c r="C223">
        <f>ROUNDDOWN(2.09045454545455,0)</f>
        <v>2</v>
      </c>
      <c r="D223">
        <v>1.02</v>
      </c>
      <c r="F223">
        <v>-0.28000000000000003</v>
      </c>
      <c r="G223">
        <v>-0.09</v>
      </c>
      <c r="H223">
        <v>2.37</v>
      </c>
      <c r="I223">
        <v>18.920000000000002</v>
      </c>
      <c r="J223">
        <v>3.4</v>
      </c>
      <c r="K223">
        <v>-0.41</v>
      </c>
      <c r="L223">
        <v>-0.79</v>
      </c>
      <c r="M223">
        <v>54.26</v>
      </c>
      <c r="O223">
        <v>2.35</v>
      </c>
      <c r="P223">
        <v>2.82</v>
      </c>
      <c r="Q223">
        <v>0</v>
      </c>
      <c r="R223">
        <v>0</v>
      </c>
    </row>
    <row r="224" spans="1:18" x14ac:dyDescent="0.25">
      <c r="A224">
        <v>140</v>
      </c>
      <c r="B224">
        <v>46.199999999999996</v>
      </c>
      <c r="C224">
        <f>ROUNDDOWN(2.1,0)</f>
        <v>2</v>
      </c>
      <c r="D224">
        <v>0.83</v>
      </c>
      <c r="F224">
        <v>-0.28000000000000003</v>
      </c>
      <c r="G224">
        <v>-0.1</v>
      </c>
      <c r="H224">
        <v>2.4</v>
      </c>
      <c r="I224">
        <v>18.91</v>
      </c>
      <c r="J224">
        <v>3.36</v>
      </c>
      <c r="K224">
        <v>-0.35</v>
      </c>
      <c r="L224">
        <v>-0.8</v>
      </c>
      <c r="M224">
        <v>54.26</v>
      </c>
      <c r="O224">
        <v>2.37</v>
      </c>
      <c r="P224">
        <v>2.84</v>
      </c>
      <c r="Q224">
        <v>0</v>
      </c>
      <c r="R224">
        <v>0</v>
      </c>
    </row>
    <row r="225" spans="1:18" x14ac:dyDescent="0.25">
      <c r="A225">
        <v>140</v>
      </c>
      <c r="B225">
        <v>46.41</v>
      </c>
      <c r="C225">
        <f>ROUNDDOWN(2.10954545454545,0)</f>
        <v>2</v>
      </c>
      <c r="D225">
        <v>0.64</v>
      </c>
      <c r="F225">
        <v>-0.3</v>
      </c>
      <c r="G225">
        <v>-0.12</v>
      </c>
      <c r="H225">
        <v>2.4700000000000002</v>
      </c>
      <c r="I225">
        <v>18.920000000000002</v>
      </c>
      <c r="J225">
        <v>3.33</v>
      </c>
      <c r="K225">
        <v>-0.25</v>
      </c>
      <c r="L225">
        <v>-0.74</v>
      </c>
      <c r="M225">
        <v>54.26</v>
      </c>
      <c r="O225">
        <v>2.39</v>
      </c>
      <c r="P225">
        <v>2.86</v>
      </c>
      <c r="Q225">
        <v>0</v>
      </c>
      <c r="R225">
        <v>0</v>
      </c>
    </row>
    <row r="226" spans="1:18" x14ac:dyDescent="0.25">
      <c r="A226">
        <v>140</v>
      </c>
      <c r="B226">
        <v>46.62</v>
      </c>
      <c r="C226">
        <f>ROUNDDOWN(2.11909090909091,0)</f>
        <v>2</v>
      </c>
      <c r="D226">
        <v>0.49</v>
      </c>
      <c r="F226">
        <v>-0.35</v>
      </c>
      <c r="G226">
        <v>-0.19</v>
      </c>
      <c r="H226">
        <v>2.5099999999999998</v>
      </c>
      <c r="I226">
        <v>18.940000000000001</v>
      </c>
      <c r="J226">
        <v>3.31</v>
      </c>
      <c r="K226">
        <v>-0.2</v>
      </c>
      <c r="L226">
        <v>-0.71</v>
      </c>
      <c r="M226">
        <v>54.26</v>
      </c>
      <c r="O226">
        <v>2.4</v>
      </c>
      <c r="P226">
        <v>2.88</v>
      </c>
      <c r="Q226">
        <v>0</v>
      </c>
      <c r="R226">
        <v>0</v>
      </c>
    </row>
    <row r="227" spans="1:18" x14ac:dyDescent="0.25">
      <c r="A227">
        <v>140</v>
      </c>
      <c r="B227">
        <v>46.83</v>
      </c>
      <c r="C227">
        <f>ROUNDDOWN(2.12863636363636,0)</f>
        <v>2</v>
      </c>
      <c r="D227">
        <v>0.35</v>
      </c>
      <c r="F227">
        <v>-0.44</v>
      </c>
      <c r="G227">
        <v>-0.3</v>
      </c>
      <c r="H227">
        <v>2.44</v>
      </c>
      <c r="I227">
        <v>19</v>
      </c>
      <c r="J227">
        <v>3.31</v>
      </c>
      <c r="K227">
        <v>-0.28000000000000003</v>
      </c>
      <c r="L227">
        <v>-0.77</v>
      </c>
      <c r="M227">
        <v>54.26</v>
      </c>
      <c r="O227">
        <v>2.42</v>
      </c>
      <c r="P227">
        <v>2.9</v>
      </c>
      <c r="Q227">
        <v>0</v>
      </c>
      <c r="R227">
        <v>0</v>
      </c>
    </row>
    <row r="228" spans="1:18" x14ac:dyDescent="0.25">
      <c r="A228">
        <v>140</v>
      </c>
      <c r="B228">
        <v>47.04</v>
      </c>
      <c r="C228">
        <f>ROUNDDOWN(2.13818181818182,0)</f>
        <v>2</v>
      </c>
      <c r="D228">
        <v>0.18</v>
      </c>
      <c r="F228">
        <v>-0.54</v>
      </c>
      <c r="G228">
        <v>-0.42</v>
      </c>
      <c r="H228">
        <v>2.35</v>
      </c>
      <c r="I228">
        <v>19.11</v>
      </c>
      <c r="J228">
        <v>3.33</v>
      </c>
      <c r="K228">
        <v>-0.38</v>
      </c>
      <c r="L228">
        <v>-0.82</v>
      </c>
      <c r="M228">
        <v>54.27</v>
      </c>
      <c r="O228">
        <v>2.44</v>
      </c>
      <c r="P228">
        <v>2.92</v>
      </c>
      <c r="Q228">
        <v>0</v>
      </c>
      <c r="R228">
        <v>0</v>
      </c>
    </row>
    <row r="229" spans="1:18" x14ac:dyDescent="0.25">
      <c r="A229">
        <v>140</v>
      </c>
      <c r="B229">
        <v>47.25</v>
      </c>
      <c r="C229">
        <f>ROUNDDOWN(2.14772727272727,0)</f>
        <v>2</v>
      </c>
      <c r="D229">
        <v>0.1</v>
      </c>
      <c r="F229">
        <v>-0.57999999999999996</v>
      </c>
      <c r="G229">
        <v>-0.48</v>
      </c>
      <c r="H229">
        <v>2.38</v>
      </c>
      <c r="I229">
        <v>19.27</v>
      </c>
      <c r="J229">
        <v>3.37</v>
      </c>
      <c r="K229">
        <v>-0.4</v>
      </c>
      <c r="L229">
        <v>-0.73</v>
      </c>
      <c r="M229">
        <v>54.27</v>
      </c>
      <c r="O229">
        <v>2.46</v>
      </c>
      <c r="P229">
        <v>2.94</v>
      </c>
      <c r="Q229">
        <v>0</v>
      </c>
      <c r="R229">
        <v>0</v>
      </c>
    </row>
    <row r="230" spans="1:18" x14ac:dyDescent="0.25">
      <c r="A230">
        <v>140</v>
      </c>
      <c r="B230">
        <v>47.46</v>
      </c>
      <c r="C230">
        <f>ROUNDDOWN(2.15727272727273,0)</f>
        <v>2</v>
      </c>
      <c r="D230">
        <v>0.1</v>
      </c>
      <c r="F230">
        <v>-0.56000000000000005</v>
      </c>
      <c r="G230">
        <v>-0.49</v>
      </c>
      <c r="H230">
        <v>2.38</v>
      </c>
      <c r="I230">
        <v>19.420000000000002</v>
      </c>
      <c r="J230">
        <v>3.43</v>
      </c>
      <c r="K230">
        <v>-0.43</v>
      </c>
      <c r="L230">
        <v>-0.68</v>
      </c>
      <c r="M230">
        <v>54.27</v>
      </c>
      <c r="O230">
        <v>2.48</v>
      </c>
      <c r="P230">
        <v>2.95</v>
      </c>
      <c r="Q230">
        <v>0</v>
      </c>
      <c r="R230">
        <v>0</v>
      </c>
    </row>
    <row r="231" spans="1:18" x14ac:dyDescent="0.25">
      <c r="A231">
        <v>140</v>
      </c>
      <c r="B231">
        <v>47.67</v>
      </c>
      <c r="C231">
        <f>ROUNDDOWN(2.16681818181818,0)</f>
        <v>2</v>
      </c>
      <c r="D231">
        <v>7.0000000000000007E-2</v>
      </c>
      <c r="F231">
        <v>-0.53</v>
      </c>
      <c r="G231">
        <v>-0.49</v>
      </c>
      <c r="H231">
        <v>2.33</v>
      </c>
      <c r="I231">
        <v>19.489999999999998</v>
      </c>
      <c r="J231">
        <v>3.51</v>
      </c>
      <c r="K231">
        <v>-0.46</v>
      </c>
      <c r="L231">
        <v>-0.71</v>
      </c>
      <c r="M231">
        <v>54.27</v>
      </c>
      <c r="O231">
        <v>2.4900000000000002</v>
      </c>
      <c r="P231">
        <v>2.97</v>
      </c>
      <c r="Q231">
        <v>0</v>
      </c>
      <c r="R231">
        <v>0</v>
      </c>
    </row>
    <row r="232" spans="1:18" x14ac:dyDescent="0.25">
      <c r="A232">
        <v>140</v>
      </c>
      <c r="B232">
        <v>47.879999999999995</v>
      </c>
      <c r="C232">
        <f>ROUNDDOWN(2.17636363636364,0)</f>
        <v>2</v>
      </c>
      <c r="D232">
        <v>0.04</v>
      </c>
      <c r="F232">
        <v>-0.48</v>
      </c>
      <c r="G232">
        <v>-0.46</v>
      </c>
      <c r="H232">
        <v>2.2200000000000002</v>
      </c>
      <c r="I232">
        <v>19.5</v>
      </c>
      <c r="J232">
        <v>3.59</v>
      </c>
      <c r="K232">
        <v>-0.53</v>
      </c>
      <c r="L232">
        <v>-0.84</v>
      </c>
      <c r="M232">
        <v>54.27</v>
      </c>
      <c r="O232">
        <v>2.5099999999999998</v>
      </c>
      <c r="P232">
        <v>2.99</v>
      </c>
      <c r="Q232">
        <v>0</v>
      </c>
      <c r="R232">
        <v>0</v>
      </c>
    </row>
    <row r="233" spans="1:18" x14ac:dyDescent="0.25">
      <c r="A233">
        <v>140</v>
      </c>
      <c r="B233">
        <v>48.089999999999996</v>
      </c>
      <c r="C233">
        <f>ROUNDDOWN(2.18590909090909,0)</f>
        <v>2</v>
      </c>
      <c r="D233">
        <v>0.06</v>
      </c>
      <c r="F233">
        <v>-0.4</v>
      </c>
      <c r="G233">
        <v>-0.41</v>
      </c>
      <c r="H233">
        <v>2.16</v>
      </c>
      <c r="I233">
        <v>19.510000000000002</v>
      </c>
      <c r="J233">
        <v>3.67</v>
      </c>
      <c r="K233">
        <v>-0.54</v>
      </c>
      <c r="L233">
        <v>-0.89</v>
      </c>
      <c r="M233">
        <v>54.27</v>
      </c>
      <c r="O233">
        <v>2.5299999999999998</v>
      </c>
      <c r="P233">
        <v>3.01</v>
      </c>
      <c r="Q233">
        <v>0</v>
      </c>
      <c r="R233">
        <v>0</v>
      </c>
    </row>
    <row r="234" spans="1:18" x14ac:dyDescent="0.25">
      <c r="A234">
        <v>140</v>
      </c>
      <c r="B234">
        <v>48.3</v>
      </c>
      <c r="C234">
        <f>ROUNDDOWN(2.19545454545455,0)</f>
        <v>2</v>
      </c>
      <c r="D234">
        <v>0.23</v>
      </c>
      <c r="F234">
        <v>-0.27</v>
      </c>
      <c r="G234">
        <v>-0.3</v>
      </c>
      <c r="H234">
        <v>2.14</v>
      </c>
      <c r="I234">
        <v>19.559999999999999</v>
      </c>
      <c r="J234">
        <v>3.75</v>
      </c>
      <c r="K234">
        <v>-0.54</v>
      </c>
      <c r="L234">
        <v>-0.89</v>
      </c>
      <c r="M234">
        <v>54.27</v>
      </c>
      <c r="O234">
        <v>2.5499999999999998</v>
      </c>
      <c r="P234">
        <v>3.03</v>
      </c>
      <c r="Q234">
        <v>0</v>
      </c>
      <c r="R234">
        <v>0</v>
      </c>
    </row>
    <row r="235" spans="1:18" x14ac:dyDescent="0.25">
      <c r="A235">
        <v>140</v>
      </c>
      <c r="B235">
        <v>48.51</v>
      </c>
      <c r="C235">
        <f>ROUNDDOWN(2.205,0)</f>
        <v>2</v>
      </c>
      <c r="D235">
        <v>0.49</v>
      </c>
      <c r="F235">
        <v>-0.18</v>
      </c>
      <c r="G235">
        <v>-0.22</v>
      </c>
      <c r="H235">
        <v>2.14</v>
      </c>
      <c r="I235">
        <v>19.690000000000001</v>
      </c>
      <c r="J235">
        <v>3.81</v>
      </c>
      <c r="K235">
        <v>-0.54</v>
      </c>
      <c r="L235">
        <v>-0.83</v>
      </c>
      <c r="M235">
        <v>54.27</v>
      </c>
      <c r="O235">
        <v>2.57</v>
      </c>
      <c r="P235">
        <v>3.05</v>
      </c>
      <c r="Q235">
        <v>0</v>
      </c>
      <c r="R235">
        <v>0</v>
      </c>
    </row>
    <row r="236" spans="1:18" x14ac:dyDescent="0.25">
      <c r="A236">
        <v>140</v>
      </c>
      <c r="B236">
        <v>48.72</v>
      </c>
      <c r="C236">
        <f>ROUNDDOWN(2.21454545454545,0)</f>
        <v>2</v>
      </c>
      <c r="D236">
        <v>0.81</v>
      </c>
      <c r="F236">
        <v>-0.13</v>
      </c>
      <c r="G236">
        <v>-0.17</v>
      </c>
      <c r="H236">
        <v>2.13</v>
      </c>
      <c r="I236">
        <v>19.87</v>
      </c>
      <c r="J236">
        <v>3.85</v>
      </c>
      <c r="K236">
        <v>-0.57999999999999996</v>
      </c>
      <c r="L236">
        <v>-0.77</v>
      </c>
      <c r="M236">
        <v>54.27</v>
      </c>
      <c r="O236">
        <v>2.59</v>
      </c>
      <c r="P236">
        <v>3.07</v>
      </c>
      <c r="Q236">
        <v>0</v>
      </c>
      <c r="R236">
        <v>0</v>
      </c>
    </row>
    <row r="237" spans="1:18" x14ac:dyDescent="0.25">
      <c r="A237">
        <v>140</v>
      </c>
      <c r="B237">
        <v>48.93</v>
      </c>
      <c r="C237">
        <f>ROUNDDOWN(2.22409090909091,0)</f>
        <v>2</v>
      </c>
      <c r="D237">
        <v>1.1100000000000001</v>
      </c>
      <c r="F237">
        <v>-0.1</v>
      </c>
      <c r="G237">
        <v>-0.15</v>
      </c>
      <c r="H237">
        <v>2.16</v>
      </c>
      <c r="I237">
        <v>20.079999999999998</v>
      </c>
      <c r="J237">
        <v>3.87</v>
      </c>
      <c r="K237">
        <v>-0.59</v>
      </c>
      <c r="L237">
        <v>-0.64</v>
      </c>
      <c r="M237">
        <v>54.27</v>
      </c>
      <c r="O237">
        <v>2.61</v>
      </c>
      <c r="P237">
        <v>3.09</v>
      </c>
      <c r="Q237">
        <v>0</v>
      </c>
      <c r="R237">
        <v>0</v>
      </c>
    </row>
    <row r="238" spans="1:18" x14ac:dyDescent="0.25">
      <c r="A238">
        <v>140</v>
      </c>
      <c r="B238">
        <v>49.14</v>
      </c>
      <c r="C238">
        <f>ROUNDDOWN(2.23363636363636,0)</f>
        <v>2</v>
      </c>
      <c r="D238">
        <v>1.28</v>
      </c>
      <c r="F238">
        <v>-0.1</v>
      </c>
      <c r="G238">
        <v>-0.16</v>
      </c>
      <c r="H238">
        <v>2.1800000000000002</v>
      </c>
      <c r="I238">
        <v>20.21</v>
      </c>
      <c r="J238">
        <v>3.86</v>
      </c>
      <c r="K238">
        <v>-0.56999999999999995</v>
      </c>
      <c r="L238">
        <v>-0.57999999999999996</v>
      </c>
      <c r="M238">
        <v>54.27</v>
      </c>
      <c r="O238">
        <v>2.63</v>
      </c>
      <c r="P238">
        <v>3.11</v>
      </c>
      <c r="Q238">
        <v>0</v>
      </c>
      <c r="R238">
        <v>0</v>
      </c>
    </row>
    <row r="239" spans="1:18" x14ac:dyDescent="0.25">
      <c r="A239">
        <v>140</v>
      </c>
      <c r="B239">
        <v>49.35</v>
      </c>
      <c r="C239">
        <f>ROUNDDOWN(2.24318181818182,0)</f>
        <v>2</v>
      </c>
      <c r="D239">
        <v>1.34</v>
      </c>
      <c r="F239">
        <v>-0.11</v>
      </c>
      <c r="G239">
        <v>-0.17</v>
      </c>
      <c r="H239">
        <v>2.2000000000000002</v>
      </c>
      <c r="I239">
        <v>20.25</v>
      </c>
      <c r="J239">
        <v>3.83</v>
      </c>
      <c r="K239">
        <v>-0.5</v>
      </c>
      <c r="L239">
        <v>-0.56000000000000005</v>
      </c>
      <c r="M239">
        <v>54.27</v>
      </c>
      <c r="O239">
        <v>2.66</v>
      </c>
      <c r="P239">
        <v>3.14</v>
      </c>
      <c r="Q239">
        <v>0</v>
      </c>
      <c r="R239">
        <v>0</v>
      </c>
    </row>
    <row r="240" spans="1:18" x14ac:dyDescent="0.25">
      <c r="A240">
        <v>140</v>
      </c>
      <c r="B240">
        <v>49.559999999999995</v>
      </c>
      <c r="C240">
        <f>ROUNDDOWN(2.25272727272727,0)</f>
        <v>2</v>
      </c>
      <c r="D240">
        <v>1.37</v>
      </c>
      <c r="F240">
        <v>-0.14000000000000001</v>
      </c>
      <c r="G240">
        <v>-0.21</v>
      </c>
      <c r="H240">
        <v>2.2200000000000002</v>
      </c>
      <c r="I240">
        <v>20.29</v>
      </c>
      <c r="J240">
        <v>3.77</v>
      </c>
      <c r="K240">
        <v>-0.43</v>
      </c>
      <c r="L240">
        <v>-0.53</v>
      </c>
      <c r="M240">
        <v>54.27</v>
      </c>
      <c r="O240">
        <v>2.68</v>
      </c>
      <c r="P240">
        <v>3.16</v>
      </c>
      <c r="Q240">
        <v>0</v>
      </c>
      <c r="R240">
        <v>0</v>
      </c>
    </row>
    <row r="241" spans="1:18" x14ac:dyDescent="0.25">
      <c r="A241">
        <v>140</v>
      </c>
      <c r="B241">
        <v>49.769999999999996</v>
      </c>
      <c r="C241">
        <f>ROUNDDOWN(2.26227272727273,0)</f>
        <v>2</v>
      </c>
      <c r="D241">
        <v>1.4</v>
      </c>
      <c r="F241">
        <v>-0.15</v>
      </c>
      <c r="G241">
        <v>-0.23</v>
      </c>
      <c r="H241">
        <v>2.29</v>
      </c>
      <c r="I241">
        <v>20.34</v>
      </c>
      <c r="J241">
        <v>3.7</v>
      </c>
      <c r="K241">
        <v>-0.32</v>
      </c>
      <c r="L241">
        <v>-0.46</v>
      </c>
      <c r="M241">
        <v>54.27</v>
      </c>
      <c r="O241">
        <v>2.7</v>
      </c>
      <c r="P241">
        <v>3.18</v>
      </c>
      <c r="Q241">
        <v>0</v>
      </c>
      <c r="R241">
        <v>0</v>
      </c>
    </row>
    <row r="242" spans="1:18" x14ac:dyDescent="0.25">
      <c r="A242">
        <v>140</v>
      </c>
      <c r="B242">
        <v>49.98</v>
      </c>
      <c r="C242">
        <f>ROUNDDOWN(2.27181818181818,0)</f>
        <v>2</v>
      </c>
      <c r="D242">
        <v>1.37</v>
      </c>
      <c r="F242">
        <v>-0.15</v>
      </c>
      <c r="G242">
        <v>-0.25</v>
      </c>
      <c r="H242">
        <v>2.36</v>
      </c>
      <c r="I242">
        <v>20.37</v>
      </c>
      <c r="J242">
        <v>3.61</v>
      </c>
      <c r="K242">
        <v>-0.2</v>
      </c>
      <c r="L242">
        <v>-0.39</v>
      </c>
      <c r="M242">
        <v>54.27</v>
      </c>
      <c r="O242">
        <v>2.72</v>
      </c>
      <c r="P242">
        <v>3.2</v>
      </c>
      <c r="Q242">
        <v>0</v>
      </c>
      <c r="R242">
        <v>0</v>
      </c>
    </row>
    <row r="243" spans="1:18" x14ac:dyDescent="0.25">
      <c r="A243">
        <v>140</v>
      </c>
      <c r="B243">
        <v>50.19</v>
      </c>
      <c r="C243">
        <f>ROUNDDOWN(2.28136363636364,0)</f>
        <v>2</v>
      </c>
      <c r="D243">
        <v>1.17</v>
      </c>
      <c r="F243">
        <v>-0.13</v>
      </c>
      <c r="G243">
        <v>-0.24</v>
      </c>
      <c r="H243">
        <v>2.3199999999999998</v>
      </c>
      <c r="I243">
        <v>20.28</v>
      </c>
      <c r="J243">
        <v>3.51</v>
      </c>
      <c r="K243">
        <v>-0.15</v>
      </c>
      <c r="L243">
        <v>-0.5</v>
      </c>
      <c r="M243">
        <v>54.27</v>
      </c>
      <c r="O243">
        <v>2.74</v>
      </c>
      <c r="P243">
        <v>3.22</v>
      </c>
      <c r="Q243">
        <v>0</v>
      </c>
      <c r="R243">
        <v>0</v>
      </c>
    </row>
    <row r="244" spans="1:18" x14ac:dyDescent="0.25">
      <c r="A244">
        <v>140</v>
      </c>
      <c r="B244">
        <v>50.4</v>
      </c>
      <c r="C244">
        <f>ROUNDDOWN(2.29090909090909,0)</f>
        <v>2</v>
      </c>
      <c r="D244">
        <v>0.88</v>
      </c>
      <c r="F244">
        <v>-0.09</v>
      </c>
      <c r="G244">
        <v>-0.2</v>
      </c>
      <c r="H244">
        <v>2.23</v>
      </c>
      <c r="I244">
        <v>20.16</v>
      </c>
      <c r="J244">
        <v>3.4</v>
      </c>
      <c r="K244">
        <v>-0.12</v>
      </c>
      <c r="L244">
        <v>-0.65</v>
      </c>
      <c r="M244">
        <v>54.27</v>
      </c>
      <c r="O244">
        <v>2.77</v>
      </c>
      <c r="P244">
        <v>3.23</v>
      </c>
      <c r="Q244">
        <v>0</v>
      </c>
      <c r="R244">
        <v>0</v>
      </c>
    </row>
    <row r="245" spans="1:18" x14ac:dyDescent="0.25">
      <c r="A245">
        <v>140</v>
      </c>
      <c r="B245">
        <v>50.61</v>
      </c>
      <c r="C245">
        <f>ROUNDDOWN(2.30045454545455,0)</f>
        <v>2</v>
      </c>
      <c r="D245">
        <v>0.67</v>
      </c>
      <c r="F245">
        <v>-0.05</v>
      </c>
      <c r="G245">
        <v>-0.17</v>
      </c>
      <c r="H245">
        <v>2.23</v>
      </c>
      <c r="I245">
        <v>20.09</v>
      </c>
      <c r="J245">
        <v>3.29</v>
      </c>
      <c r="K245">
        <v>-0.04</v>
      </c>
      <c r="L245">
        <v>-0.67</v>
      </c>
      <c r="M245">
        <v>54.27</v>
      </c>
      <c r="O245">
        <v>2.79</v>
      </c>
      <c r="P245">
        <v>3.25</v>
      </c>
      <c r="Q245">
        <v>0</v>
      </c>
      <c r="R245">
        <v>0</v>
      </c>
    </row>
    <row r="246" spans="1:18" x14ac:dyDescent="0.25">
      <c r="A246">
        <v>140</v>
      </c>
      <c r="B246">
        <v>50.82</v>
      </c>
      <c r="C246">
        <f>ROUNDDOWN(2.31,0)</f>
        <v>2</v>
      </c>
      <c r="D246">
        <v>0.6</v>
      </c>
      <c r="F246">
        <v>-0.04</v>
      </c>
      <c r="G246">
        <v>-0.16</v>
      </c>
      <c r="H246">
        <v>2.2999999999999998</v>
      </c>
      <c r="I246">
        <v>20.09</v>
      </c>
      <c r="J246">
        <v>3.17</v>
      </c>
      <c r="K246">
        <v>0.06</v>
      </c>
      <c r="L246">
        <v>-0.6</v>
      </c>
      <c r="M246">
        <v>54.27</v>
      </c>
      <c r="O246">
        <v>2.81</v>
      </c>
      <c r="P246">
        <v>3.27</v>
      </c>
      <c r="Q246">
        <v>0</v>
      </c>
      <c r="R246">
        <v>0</v>
      </c>
    </row>
    <row r="247" spans="1:18" x14ac:dyDescent="0.25">
      <c r="A247">
        <v>140</v>
      </c>
      <c r="B247">
        <v>51.03</v>
      </c>
      <c r="C247">
        <f>ROUNDDOWN(2.31954545454545,0)</f>
        <v>2</v>
      </c>
      <c r="D247">
        <v>0.6</v>
      </c>
      <c r="F247">
        <v>-0.05</v>
      </c>
      <c r="G247">
        <v>-0.17</v>
      </c>
      <c r="H247">
        <v>2.29</v>
      </c>
      <c r="I247">
        <v>20.09</v>
      </c>
      <c r="J247">
        <v>3.04</v>
      </c>
      <c r="K247">
        <v>0.08</v>
      </c>
      <c r="L247">
        <v>-0.6</v>
      </c>
      <c r="M247">
        <v>54.27</v>
      </c>
      <c r="O247">
        <v>2.84</v>
      </c>
      <c r="P247">
        <v>3.29</v>
      </c>
      <c r="Q247">
        <v>0</v>
      </c>
      <c r="R247">
        <v>0</v>
      </c>
    </row>
    <row r="248" spans="1:18" x14ac:dyDescent="0.25">
      <c r="A248">
        <v>140</v>
      </c>
      <c r="B248">
        <v>51.239999999999995</v>
      </c>
      <c r="C248">
        <f>ROUNDDOWN(2.32909090909091,0)</f>
        <v>2</v>
      </c>
      <c r="D248">
        <v>0.56999999999999995</v>
      </c>
      <c r="F248">
        <v>-0.04</v>
      </c>
      <c r="G248">
        <v>-0.17</v>
      </c>
      <c r="H248">
        <v>2.21</v>
      </c>
      <c r="I248">
        <v>20.079999999999998</v>
      </c>
      <c r="J248">
        <v>2.9</v>
      </c>
      <c r="K248">
        <v>0.04</v>
      </c>
      <c r="L248">
        <v>-0.67</v>
      </c>
      <c r="M248">
        <v>54.28</v>
      </c>
      <c r="O248">
        <v>2.86</v>
      </c>
      <c r="P248">
        <v>3.31</v>
      </c>
      <c r="Q248">
        <v>0</v>
      </c>
      <c r="R248">
        <v>0</v>
      </c>
    </row>
    <row r="249" spans="1:18" x14ac:dyDescent="0.25">
      <c r="A249">
        <v>140</v>
      </c>
      <c r="B249">
        <v>51.449999999999996</v>
      </c>
      <c r="C249">
        <f>ROUNDDOWN(2.33863636363636,0)</f>
        <v>2</v>
      </c>
      <c r="D249">
        <v>0.56000000000000005</v>
      </c>
      <c r="F249">
        <v>-0.03</v>
      </c>
      <c r="G249">
        <v>-0.17</v>
      </c>
      <c r="H249">
        <v>2.17</v>
      </c>
      <c r="I249">
        <v>20.13</v>
      </c>
      <c r="J249">
        <v>2.75</v>
      </c>
      <c r="K249">
        <v>0.02</v>
      </c>
      <c r="L249">
        <v>-0.67</v>
      </c>
      <c r="M249">
        <v>54.28</v>
      </c>
      <c r="O249">
        <v>2.88</v>
      </c>
      <c r="P249">
        <v>3.33</v>
      </c>
      <c r="Q249">
        <v>0</v>
      </c>
      <c r="R249">
        <v>0</v>
      </c>
    </row>
    <row r="250" spans="1:18" x14ac:dyDescent="0.25">
      <c r="A250">
        <v>140</v>
      </c>
      <c r="B250">
        <v>51.66</v>
      </c>
      <c r="C250">
        <f>ROUNDDOWN(2.34818181818182,0)</f>
        <v>2</v>
      </c>
      <c r="D250">
        <v>0.56999999999999995</v>
      </c>
      <c r="F250">
        <v>-0.03</v>
      </c>
      <c r="G250">
        <v>-0.17</v>
      </c>
      <c r="H250">
        <v>2.2000000000000002</v>
      </c>
      <c r="I250">
        <v>20.260000000000002</v>
      </c>
      <c r="J250">
        <v>2.6</v>
      </c>
      <c r="K250">
        <v>0.02</v>
      </c>
      <c r="L250">
        <v>-0.56999999999999995</v>
      </c>
      <c r="M250">
        <v>54.28</v>
      </c>
      <c r="O250">
        <v>2.91</v>
      </c>
      <c r="P250">
        <v>3.35</v>
      </c>
      <c r="Q250">
        <v>0</v>
      </c>
      <c r="R250">
        <v>0</v>
      </c>
    </row>
    <row r="251" spans="1:18" x14ac:dyDescent="0.25">
      <c r="A251">
        <v>140</v>
      </c>
      <c r="B251">
        <v>51.87</v>
      </c>
      <c r="C251">
        <f>ROUNDDOWN(2.35772727272727,0)</f>
        <v>2</v>
      </c>
      <c r="D251">
        <v>0.59</v>
      </c>
      <c r="F251">
        <v>-0.05</v>
      </c>
      <c r="G251">
        <v>-0.19</v>
      </c>
      <c r="H251">
        <v>2.12</v>
      </c>
      <c r="I251">
        <v>20.46</v>
      </c>
      <c r="J251">
        <v>2.4500000000000002</v>
      </c>
      <c r="K251">
        <v>-0.12</v>
      </c>
      <c r="L251">
        <v>-0.53</v>
      </c>
      <c r="M251">
        <v>54.28</v>
      </c>
      <c r="O251">
        <v>2.93</v>
      </c>
      <c r="P251">
        <v>3.37</v>
      </c>
      <c r="Q251">
        <v>0</v>
      </c>
      <c r="R251">
        <v>0</v>
      </c>
    </row>
    <row r="252" spans="1:18" x14ac:dyDescent="0.25">
      <c r="A252">
        <v>140</v>
      </c>
      <c r="B252">
        <v>52.08</v>
      </c>
      <c r="C252">
        <f>ROUNDDOWN(2.36727272727273,0)</f>
        <v>2</v>
      </c>
      <c r="D252">
        <v>0.69</v>
      </c>
      <c r="F252">
        <v>-7.0000000000000007E-2</v>
      </c>
      <c r="G252">
        <v>-0.22</v>
      </c>
      <c r="H252">
        <v>1.95</v>
      </c>
      <c r="I252">
        <v>20.77</v>
      </c>
      <c r="J252">
        <v>2.2999999999999998</v>
      </c>
      <c r="K252">
        <v>-0.38</v>
      </c>
      <c r="L252">
        <v>-0.54</v>
      </c>
      <c r="M252">
        <v>54.28</v>
      </c>
      <c r="O252">
        <v>2.96</v>
      </c>
      <c r="P252">
        <v>3.39</v>
      </c>
      <c r="Q252">
        <v>0</v>
      </c>
      <c r="R252">
        <v>0</v>
      </c>
    </row>
    <row r="253" spans="1:18" x14ac:dyDescent="0.25">
      <c r="A253">
        <v>140</v>
      </c>
      <c r="B253">
        <v>52.29</v>
      </c>
      <c r="C253">
        <f>ROUNDDOWN(2.37681818181818,0)</f>
        <v>2</v>
      </c>
      <c r="D253">
        <v>0.99</v>
      </c>
      <c r="F253">
        <v>-7.0000000000000007E-2</v>
      </c>
      <c r="G253">
        <v>-0.23</v>
      </c>
      <c r="H253">
        <v>1.81</v>
      </c>
      <c r="I253">
        <v>21.2</v>
      </c>
      <c r="J253">
        <v>2.16</v>
      </c>
      <c r="K253">
        <v>-0.65</v>
      </c>
      <c r="L253">
        <v>-0.46</v>
      </c>
      <c r="M253">
        <v>54.28</v>
      </c>
      <c r="O253">
        <v>2.98</v>
      </c>
      <c r="P253">
        <v>3.4</v>
      </c>
      <c r="Q253">
        <v>0</v>
      </c>
      <c r="R253">
        <v>0</v>
      </c>
    </row>
    <row r="254" spans="1:18" x14ac:dyDescent="0.25">
      <c r="A254">
        <v>140</v>
      </c>
      <c r="B254">
        <v>52.5</v>
      </c>
      <c r="C254">
        <f>ROUNDDOWN(2.38636363636364,0)</f>
        <v>2</v>
      </c>
      <c r="D254">
        <v>1.44</v>
      </c>
      <c r="F254">
        <v>-7.0000000000000007E-2</v>
      </c>
      <c r="G254">
        <v>-0.23</v>
      </c>
      <c r="H254">
        <v>1.75</v>
      </c>
      <c r="I254">
        <v>21.68</v>
      </c>
      <c r="J254">
        <v>2.02</v>
      </c>
      <c r="K254">
        <v>-0.85</v>
      </c>
      <c r="L254">
        <v>-0.3</v>
      </c>
      <c r="M254">
        <v>54.28</v>
      </c>
      <c r="O254">
        <v>3.01</v>
      </c>
      <c r="P254">
        <v>3.42</v>
      </c>
      <c r="Q254">
        <v>0</v>
      </c>
      <c r="R254">
        <v>0</v>
      </c>
    </row>
    <row r="255" spans="1:18" x14ac:dyDescent="0.25">
      <c r="A255">
        <v>140</v>
      </c>
      <c r="B255">
        <v>52.71</v>
      </c>
      <c r="C255">
        <f>ROUNDDOWN(2.39590909090909,0)</f>
        <v>2</v>
      </c>
      <c r="D255">
        <v>1.82</v>
      </c>
      <c r="F255">
        <v>-7.0000000000000007E-2</v>
      </c>
      <c r="G255">
        <v>-0.23</v>
      </c>
      <c r="H255">
        <v>1.69</v>
      </c>
      <c r="I255">
        <v>22.11</v>
      </c>
      <c r="J255">
        <v>1.9</v>
      </c>
      <c r="K255">
        <v>-1.01</v>
      </c>
      <c r="L255">
        <v>-0.18</v>
      </c>
      <c r="M255">
        <v>54.28</v>
      </c>
      <c r="O255">
        <v>3.04</v>
      </c>
      <c r="P255">
        <v>3.43</v>
      </c>
      <c r="Q255">
        <v>0</v>
      </c>
      <c r="R255">
        <v>0</v>
      </c>
    </row>
    <row r="256" spans="1:18" x14ac:dyDescent="0.25">
      <c r="A256">
        <v>140</v>
      </c>
      <c r="B256">
        <v>52.919999999999995</v>
      </c>
      <c r="C256">
        <f>ROUNDDOWN(2.40545454545455,0)</f>
        <v>2</v>
      </c>
      <c r="D256">
        <v>2.02</v>
      </c>
      <c r="F256">
        <v>-7.0000000000000007E-2</v>
      </c>
      <c r="G256">
        <v>-0.24</v>
      </c>
      <c r="H256">
        <v>1.61</v>
      </c>
      <c r="I256">
        <v>22.37</v>
      </c>
      <c r="J256">
        <v>1.8</v>
      </c>
      <c r="K256">
        <v>-1.0900000000000001</v>
      </c>
      <c r="L256">
        <v>-0.17</v>
      </c>
      <c r="M256">
        <v>54.28</v>
      </c>
      <c r="O256">
        <v>3.06</v>
      </c>
      <c r="P256">
        <v>3.45</v>
      </c>
      <c r="Q256">
        <v>0</v>
      </c>
      <c r="R256">
        <v>0</v>
      </c>
    </row>
    <row r="257" spans="1:18" x14ac:dyDescent="0.25">
      <c r="A257">
        <v>140</v>
      </c>
      <c r="B257">
        <v>53.129999999999995</v>
      </c>
      <c r="C257">
        <f>ROUNDDOWN(2.415,0)</f>
        <v>2</v>
      </c>
      <c r="D257">
        <v>2.14</v>
      </c>
      <c r="F257">
        <v>-0.06</v>
      </c>
      <c r="G257">
        <v>-0.24</v>
      </c>
      <c r="H257">
        <v>1.57</v>
      </c>
      <c r="I257">
        <v>22.51</v>
      </c>
      <c r="J257">
        <v>1.72</v>
      </c>
      <c r="K257">
        <v>-1.06</v>
      </c>
      <c r="L257">
        <v>-0.18</v>
      </c>
      <c r="M257">
        <v>54.28</v>
      </c>
      <c r="O257">
        <v>3.09</v>
      </c>
      <c r="P257">
        <v>3.47</v>
      </c>
      <c r="Q257">
        <v>0</v>
      </c>
      <c r="R257">
        <v>0</v>
      </c>
    </row>
    <row r="258" spans="1:18" x14ac:dyDescent="0.25">
      <c r="A258">
        <v>140</v>
      </c>
      <c r="B258">
        <v>53.339999999999996</v>
      </c>
      <c r="C258">
        <f>ROUNDDOWN(2.42454545454545,0)</f>
        <v>2</v>
      </c>
      <c r="D258">
        <v>2.2799999999999998</v>
      </c>
      <c r="F258">
        <v>-0.02</v>
      </c>
      <c r="G258">
        <v>-0.2</v>
      </c>
      <c r="H258">
        <v>1.6</v>
      </c>
      <c r="I258">
        <v>22.56</v>
      </c>
      <c r="J258">
        <v>1.65</v>
      </c>
      <c r="K258">
        <v>-0.91</v>
      </c>
      <c r="L258">
        <v>-0.16</v>
      </c>
      <c r="M258">
        <v>54.28</v>
      </c>
      <c r="O258">
        <v>3.12</v>
      </c>
      <c r="P258">
        <v>3.48</v>
      </c>
      <c r="Q258">
        <v>0</v>
      </c>
      <c r="R258">
        <v>0</v>
      </c>
    </row>
    <row r="259" spans="1:18" x14ac:dyDescent="0.25">
      <c r="A259">
        <v>140</v>
      </c>
      <c r="B259">
        <v>53.55</v>
      </c>
      <c r="C259">
        <f>ROUNDDOWN(2.43409090909091,0)</f>
        <v>2</v>
      </c>
      <c r="D259">
        <v>2.39</v>
      </c>
      <c r="F259">
        <v>0.03</v>
      </c>
      <c r="G259">
        <v>-0.15</v>
      </c>
      <c r="H259">
        <v>1.62</v>
      </c>
      <c r="I259">
        <v>22.54</v>
      </c>
      <c r="J259">
        <v>1.61</v>
      </c>
      <c r="K259">
        <v>-0.75</v>
      </c>
      <c r="L259">
        <v>-0.18</v>
      </c>
      <c r="M259">
        <v>54.28</v>
      </c>
      <c r="O259">
        <v>3.14</v>
      </c>
      <c r="P259">
        <v>3.5</v>
      </c>
      <c r="Q259">
        <v>0</v>
      </c>
      <c r="R259">
        <v>0</v>
      </c>
    </row>
    <row r="260" spans="1:18" x14ac:dyDescent="0.25">
      <c r="A260">
        <v>140</v>
      </c>
      <c r="B260">
        <v>53.76</v>
      </c>
      <c r="C260">
        <f>ROUNDDOWN(2.44363636363636,0)</f>
        <v>2</v>
      </c>
      <c r="D260">
        <v>2.34</v>
      </c>
      <c r="F260">
        <v>0.09</v>
      </c>
      <c r="G260">
        <v>-0.1</v>
      </c>
      <c r="H260">
        <v>1.61</v>
      </c>
      <c r="I260">
        <v>22.43</v>
      </c>
      <c r="J260">
        <v>1.59</v>
      </c>
      <c r="K260">
        <v>-0.59</v>
      </c>
      <c r="L260">
        <v>-0.27</v>
      </c>
      <c r="M260">
        <v>54.28</v>
      </c>
      <c r="O260">
        <v>3.17</v>
      </c>
      <c r="P260">
        <v>3.51</v>
      </c>
      <c r="Q260">
        <v>0</v>
      </c>
      <c r="R260">
        <v>0</v>
      </c>
    </row>
    <row r="261" spans="1:18" x14ac:dyDescent="0.25">
      <c r="A261">
        <v>140</v>
      </c>
      <c r="B261">
        <v>53.97</v>
      </c>
      <c r="C261">
        <f>ROUNDDOWN(2.45318181818182,0)</f>
        <v>2</v>
      </c>
      <c r="D261">
        <v>2.14</v>
      </c>
      <c r="F261">
        <v>0.15</v>
      </c>
      <c r="G261">
        <v>-0.03</v>
      </c>
      <c r="H261">
        <v>1.61</v>
      </c>
      <c r="I261">
        <v>22.22</v>
      </c>
      <c r="J261">
        <v>1.58</v>
      </c>
      <c r="K261">
        <v>-0.38</v>
      </c>
      <c r="L261">
        <v>-0.39</v>
      </c>
      <c r="M261">
        <v>54.28</v>
      </c>
      <c r="O261">
        <v>3.2</v>
      </c>
      <c r="P261">
        <v>3.53</v>
      </c>
      <c r="Q261">
        <v>0</v>
      </c>
      <c r="R261">
        <v>0</v>
      </c>
    </row>
    <row r="262" spans="1:18" x14ac:dyDescent="0.25">
      <c r="A262">
        <v>140</v>
      </c>
      <c r="B262">
        <v>54.18</v>
      </c>
      <c r="C262">
        <f>ROUNDDOWN(2.46272727272727,0)</f>
        <v>2</v>
      </c>
      <c r="D262">
        <v>1.96</v>
      </c>
      <c r="F262">
        <v>0.2</v>
      </c>
      <c r="G262">
        <v>0.03</v>
      </c>
      <c r="H262">
        <v>1.64</v>
      </c>
      <c r="I262">
        <v>22.06</v>
      </c>
      <c r="J262">
        <v>1.59</v>
      </c>
      <c r="K262">
        <v>-0.17</v>
      </c>
      <c r="L262">
        <v>-0.44</v>
      </c>
      <c r="M262">
        <v>54.28</v>
      </c>
      <c r="O262">
        <v>3.23</v>
      </c>
      <c r="P262">
        <v>3.55</v>
      </c>
      <c r="Q262">
        <v>0</v>
      </c>
      <c r="R262">
        <v>0</v>
      </c>
    </row>
    <row r="263" spans="1:18" x14ac:dyDescent="0.25">
      <c r="A263">
        <v>140</v>
      </c>
      <c r="B263">
        <v>54.39</v>
      </c>
      <c r="C263">
        <f>ROUNDDOWN(2.47227272727273,0)</f>
        <v>2</v>
      </c>
      <c r="D263">
        <v>1.9</v>
      </c>
      <c r="F263">
        <v>0.25</v>
      </c>
      <c r="G263">
        <v>0.09</v>
      </c>
      <c r="H263">
        <v>1.67</v>
      </c>
      <c r="I263">
        <v>21.98</v>
      </c>
      <c r="J263">
        <v>1.61</v>
      </c>
      <c r="K263">
        <v>-0.03</v>
      </c>
      <c r="L263">
        <v>-0.46</v>
      </c>
      <c r="M263">
        <v>54.28</v>
      </c>
      <c r="O263">
        <v>3.25</v>
      </c>
      <c r="P263">
        <v>3.57</v>
      </c>
      <c r="Q263">
        <v>0</v>
      </c>
      <c r="R263">
        <v>0</v>
      </c>
    </row>
    <row r="264" spans="1:18" x14ac:dyDescent="0.25">
      <c r="A264">
        <v>140</v>
      </c>
      <c r="B264">
        <v>54.6</v>
      </c>
      <c r="C264">
        <f>ROUNDDOWN(2.48181818181818,0)</f>
        <v>2</v>
      </c>
      <c r="D264">
        <v>1.85</v>
      </c>
      <c r="F264">
        <v>0.28000000000000003</v>
      </c>
      <c r="G264">
        <v>0.13</v>
      </c>
      <c r="H264">
        <v>1.66</v>
      </c>
      <c r="I264">
        <v>21.97</v>
      </c>
      <c r="J264">
        <v>1.63</v>
      </c>
      <c r="K264">
        <v>0.04</v>
      </c>
      <c r="L264">
        <v>-0.46</v>
      </c>
      <c r="M264">
        <v>54.28</v>
      </c>
      <c r="O264">
        <v>3.28</v>
      </c>
      <c r="P264">
        <v>3.58</v>
      </c>
      <c r="Q264">
        <v>0</v>
      </c>
      <c r="R264">
        <v>0</v>
      </c>
    </row>
    <row r="265" spans="1:18" x14ac:dyDescent="0.25">
      <c r="A265">
        <v>140</v>
      </c>
      <c r="B265">
        <v>54.809999999999995</v>
      </c>
      <c r="C265">
        <f>ROUNDDOWN(2.49136363636364,0)</f>
        <v>2</v>
      </c>
      <c r="D265">
        <v>1.71</v>
      </c>
      <c r="F265">
        <v>0.32</v>
      </c>
      <c r="G265">
        <v>0.19</v>
      </c>
      <c r="H265">
        <v>1.69</v>
      </c>
      <c r="I265">
        <v>21.97</v>
      </c>
      <c r="J265">
        <v>1.66</v>
      </c>
      <c r="K265">
        <v>0.14000000000000001</v>
      </c>
      <c r="L265">
        <v>-0.42</v>
      </c>
      <c r="M265">
        <v>54.28</v>
      </c>
      <c r="O265">
        <v>3.31</v>
      </c>
      <c r="P265">
        <v>3.6</v>
      </c>
      <c r="Q265">
        <v>0</v>
      </c>
      <c r="R265">
        <v>0</v>
      </c>
    </row>
    <row r="266" spans="1:18" x14ac:dyDescent="0.25">
      <c r="A266">
        <v>140</v>
      </c>
      <c r="B266">
        <v>55.019999999999996</v>
      </c>
      <c r="C266">
        <f>ROUNDDOWN(2.50090909090909,0)</f>
        <v>2</v>
      </c>
      <c r="D266">
        <v>1.47</v>
      </c>
      <c r="F266">
        <v>0.37</v>
      </c>
      <c r="G266">
        <v>0.25</v>
      </c>
      <c r="H266">
        <v>1.81</v>
      </c>
      <c r="I266">
        <v>21.94</v>
      </c>
      <c r="J266">
        <v>1.69</v>
      </c>
      <c r="K266">
        <v>0.34</v>
      </c>
      <c r="L266">
        <v>-0.31</v>
      </c>
      <c r="M266">
        <v>54.28</v>
      </c>
      <c r="O266">
        <v>3.34</v>
      </c>
      <c r="P266">
        <v>3.62</v>
      </c>
      <c r="Q266">
        <v>0</v>
      </c>
      <c r="R266">
        <v>0</v>
      </c>
    </row>
    <row r="267" spans="1:18" x14ac:dyDescent="0.25">
      <c r="A267">
        <v>140</v>
      </c>
      <c r="B267">
        <v>55.23</v>
      </c>
      <c r="C267">
        <f>ROUNDDOWN(2.51045454545455,0)</f>
        <v>2</v>
      </c>
      <c r="D267">
        <v>1.17</v>
      </c>
      <c r="F267">
        <v>0.41</v>
      </c>
      <c r="G267">
        <v>0.3</v>
      </c>
      <c r="H267">
        <v>1.92</v>
      </c>
      <c r="I267">
        <v>21.94</v>
      </c>
      <c r="J267">
        <v>1.71</v>
      </c>
      <c r="K267">
        <v>0.49</v>
      </c>
      <c r="L267">
        <v>-0.2</v>
      </c>
      <c r="M267">
        <v>54.28</v>
      </c>
      <c r="O267">
        <v>3.37</v>
      </c>
      <c r="P267">
        <v>3.64</v>
      </c>
      <c r="Q267">
        <v>0</v>
      </c>
      <c r="R267">
        <v>0</v>
      </c>
    </row>
    <row r="268" spans="1:18" x14ac:dyDescent="0.25">
      <c r="A268">
        <v>140</v>
      </c>
      <c r="B268">
        <v>55.44</v>
      </c>
      <c r="C268">
        <f>ROUNDDOWN(2.52,0)</f>
        <v>2</v>
      </c>
      <c r="D268">
        <v>0.86</v>
      </c>
      <c r="F268">
        <v>0.42</v>
      </c>
      <c r="G268">
        <v>0.33</v>
      </c>
      <c r="H268">
        <v>1.95</v>
      </c>
      <c r="I268">
        <v>22.06</v>
      </c>
      <c r="J268">
        <v>1.74</v>
      </c>
      <c r="K268">
        <v>0.5</v>
      </c>
      <c r="L268">
        <v>-0.1</v>
      </c>
      <c r="M268">
        <v>54.28</v>
      </c>
      <c r="O268">
        <v>3.4</v>
      </c>
      <c r="P268">
        <v>3.65</v>
      </c>
      <c r="Q268">
        <v>0</v>
      </c>
      <c r="R268">
        <v>0</v>
      </c>
    </row>
    <row r="269" spans="1:18" x14ac:dyDescent="0.25">
      <c r="A269">
        <v>140</v>
      </c>
      <c r="B269">
        <v>55.65</v>
      </c>
      <c r="C269">
        <f>ROUNDDOWN(2.52954545454545,0)</f>
        <v>2</v>
      </c>
      <c r="D269">
        <v>0.62</v>
      </c>
      <c r="F269">
        <v>0.44</v>
      </c>
      <c r="G269">
        <v>0.37</v>
      </c>
      <c r="H269">
        <v>2</v>
      </c>
      <c r="I269">
        <v>22.3</v>
      </c>
      <c r="J269">
        <v>1.76</v>
      </c>
      <c r="K269">
        <v>0.48</v>
      </c>
      <c r="L269">
        <v>0.06</v>
      </c>
      <c r="M269">
        <v>54.29</v>
      </c>
      <c r="O269">
        <v>3.43</v>
      </c>
      <c r="P269">
        <v>3.67</v>
      </c>
      <c r="Q269">
        <v>0</v>
      </c>
      <c r="R269">
        <v>0</v>
      </c>
    </row>
    <row r="270" spans="1:18" x14ac:dyDescent="0.25">
      <c r="A270">
        <v>140</v>
      </c>
      <c r="B270">
        <v>55.86</v>
      </c>
      <c r="C270">
        <f>ROUNDDOWN(2.53909090909091,0)</f>
        <v>2</v>
      </c>
      <c r="D270">
        <v>0.5</v>
      </c>
      <c r="F270">
        <v>0.52</v>
      </c>
      <c r="G270">
        <v>0.48</v>
      </c>
      <c r="H270">
        <v>2.11</v>
      </c>
      <c r="I270">
        <v>22.61</v>
      </c>
      <c r="J270">
        <v>1.77</v>
      </c>
      <c r="K270">
        <v>0.5</v>
      </c>
      <c r="L270">
        <v>0.31</v>
      </c>
      <c r="M270">
        <v>54.29</v>
      </c>
      <c r="O270">
        <v>3.46</v>
      </c>
      <c r="P270">
        <v>3.69</v>
      </c>
      <c r="Q270">
        <v>0</v>
      </c>
      <c r="R270">
        <v>0</v>
      </c>
    </row>
    <row r="271" spans="1:18" x14ac:dyDescent="0.25">
      <c r="A271">
        <v>140</v>
      </c>
      <c r="B271">
        <v>56.07</v>
      </c>
      <c r="C271">
        <f>ROUNDDOWN(2.54863636363636,0)</f>
        <v>2</v>
      </c>
      <c r="D271">
        <v>0.5</v>
      </c>
      <c r="F271">
        <v>0.64</v>
      </c>
      <c r="G271">
        <v>0.63</v>
      </c>
      <c r="H271">
        <v>2.2400000000000002</v>
      </c>
      <c r="I271">
        <v>22.86</v>
      </c>
      <c r="J271">
        <v>1.77</v>
      </c>
      <c r="K271">
        <v>0.55000000000000004</v>
      </c>
      <c r="L271">
        <v>0.53</v>
      </c>
      <c r="M271">
        <v>54.29</v>
      </c>
      <c r="O271">
        <v>3.49</v>
      </c>
      <c r="P271">
        <v>3.71</v>
      </c>
      <c r="Q271">
        <v>0</v>
      </c>
      <c r="R271">
        <v>0</v>
      </c>
    </row>
    <row r="272" spans="1:18" x14ac:dyDescent="0.25">
      <c r="A272">
        <v>140</v>
      </c>
      <c r="B272">
        <v>56.28</v>
      </c>
      <c r="C272">
        <f>ROUNDDOWN(2.55818181818182,0)</f>
        <v>2</v>
      </c>
      <c r="D272">
        <v>0.51</v>
      </c>
      <c r="F272">
        <v>0.73</v>
      </c>
      <c r="G272">
        <v>0.75</v>
      </c>
      <c r="H272">
        <v>2.2999999999999998</v>
      </c>
      <c r="I272">
        <v>23.02</v>
      </c>
      <c r="J272">
        <v>1.76</v>
      </c>
      <c r="K272">
        <v>0.59</v>
      </c>
      <c r="L272">
        <v>0.62</v>
      </c>
      <c r="M272">
        <v>54.29</v>
      </c>
      <c r="O272">
        <v>3.52</v>
      </c>
      <c r="P272">
        <v>3.72</v>
      </c>
      <c r="Q272">
        <v>0</v>
      </c>
      <c r="R272">
        <v>0</v>
      </c>
    </row>
    <row r="273" spans="1:18" x14ac:dyDescent="0.25">
      <c r="A273">
        <v>140</v>
      </c>
      <c r="B273">
        <v>56.489999999999995</v>
      </c>
      <c r="C273">
        <f>ROUNDDOWN(2.56772727272727,0)</f>
        <v>2</v>
      </c>
      <c r="D273">
        <v>0.57999999999999996</v>
      </c>
      <c r="F273">
        <v>0.8</v>
      </c>
      <c r="G273">
        <v>0.87</v>
      </c>
      <c r="H273">
        <v>2.35</v>
      </c>
      <c r="I273">
        <v>23.13</v>
      </c>
      <c r="J273">
        <v>1.74</v>
      </c>
      <c r="K273">
        <v>0.63</v>
      </c>
      <c r="L273">
        <v>0.67</v>
      </c>
      <c r="M273">
        <v>54.29</v>
      </c>
      <c r="O273">
        <v>3.56</v>
      </c>
      <c r="P273">
        <v>3.74</v>
      </c>
      <c r="Q273">
        <v>0</v>
      </c>
      <c r="R273">
        <v>0</v>
      </c>
    </row>
    <row r="274" spans="1:18" x14ac:dyDescent="0.25">
      <c r="A274">
        <v>140</v>
      </c>
      <c r="B274">
        <v>56.699999999999996</v>
      </c>
      <c r="C274">
        <f>ROUNDDOWN(2.57727272727273,0)</f>
        <v>2</v>
      </c>
      <c r="D274">
        <v>0.73</v>
      </c>
      <c r="F274">
        <v>0.83</v>
      </c>
      <c r="G274">
        <v>0.94</v>
      </c>
      <c r="H274">
        <v>2.44</v>
      </c>
      <c r="I274">
        <v>23.27</v>
      </c>
      <c r="J274">
        <v>1.71</v>
      </c>
      <c r="K274">
        <v>0.7</v>
      </c>
      <c r="L274">
        <v>0.78</v>
      </c>
      <c r="M274">
        <v>54.29</v>
      </c>
      <c r="O274">
        <v>3.59</v>
      </c>
      <c r="P274">
        <v>3.76</v>
      </c>
      <c r="Q274">
        <v>0</v>
      </c>
      <c r="R274">
        <v>0</v>
      </c>
    </row>
    <row r="275" spans="1:18" x14ac:dyDescent="0.25">
      <c r="A275">
        <v>140</v>
      </c>
      <c r="B275">
        <v>56.91</v>
      </c>
      <c r="C275">
        <f>ROUNDDOWN(2.58681818181818,0)</f>
        <v>2</v>
      </c>
      <c r="D275">
        <v>1.04</v>
      </c>
      <c r="F275">
        <v>0.87</v>
      </c>
      <c r="G275">
        <v>1.03</v>
      </c>
      <c r="H275">
        <v>2.5499999999999998</v>
      </c>
      <c r="I275">
        <v>23.47</v>
      </c>
      <c r="J275">
        <v>1.68</v>
      </c>
      <c r="K275">
        <v>0.77</v>
      </c>
      <c r="L275">
        <v>0.92</v>
      </c>
      <c r="M275">
        <v>54.29</v>
      </c>
      <c r="O275">
        <v>3.62</v>
      </c>
      <c r="P275">
        <v>3.77</v>
      </c>
      <c r="Q275">
        <v>0</v>
      </c>
      <c r="R275">
        <v>0</v>
      </c>
    </row>
    <row r="276" spans="1:18" x14ac:dyDescent="0.25">
      <c r="A276">
        <v>140</v>
      </c>
      <c r="B276">
        <v>57.12</v>
      </c>
      <c r="C276">
        <f>ROUNDDOWN(2.59636363636364,0)</f>
        <v>2</v>
      </c>
      <c r="D276">
        <v>1.45</v>
      </c>
      <c r="F276">
        <v>0.88</v>
      </c>
      <c r="G276">
        <v>1.08</v>
      </c>
      <c r="H276">
        <v>2.6</v>
      </c>
      <c r="I276">
        <v>23.67</v>
      </c>
      <c r="J276">
        <v>1.65</v>
      </c>
      <c r="K276">
        <v>0.77</v>
      </c>
      <c r="L276">
        <v>1</v>
      </c>
      <c r="M276">
        <v>54.29</v>
      </c>
      <c r="O276">
        <v>3.65</v>
      </c>
      <c r="P276">
        <v>3.79</v>
      </c>
      <c r="Q276">
        <v>0</v>
      </c>
      <c r="R276">
        <v>0</v>
      </c>
    </row>
    <row r="277" spans="1:18" x14ac:dyDescent="0.25">
      <c r="A277">
        <v>140</v>
      </c>
      <c r="B277">
        <v>57.33</v>
      </c>
      <c r="C277">
        <f>ROUNDDOWN(2.60590909090909,0)</f>
        <v>2</v>
      </c>
      <c r="D277">
        <v>1.74</v>
      </c>
      <c r="F277">
        <v>0.85</v>
      </c>
      <c r="G277">
        <v>1.1000000000000001</v>
      </c>
      <c r="H277">
        <v>2.63</v>
      </c>
      <c r="I277">
        <v>23.8</v>
      </c>
      <c r="J277">
        <v>1.62</v>
      </c>
      <c r="K277">
        <v>0.79</v>
      </c>
      <c r="L277">
        <v>1.02</v>
      </c>
      <c r="M277">
        <v>54.29</v>
      </c>
      <c r="O277">
        <v>3.68</v>
      </c>
      <c r="P277">
        <v>3.81</v>
      </c>
      <c r="Q277">
        <v>0</v>
      </c>
      <c r="R277">
        <v>0</v>
      </c>
    </row>
    <row r="278" spans="1:18" x14ac:dyDescent="0.25">
      <c r="A278">
        <v>140</v>
      </c>
      <c r="B278">
        <v>57.54</v>
      </c>
      <c r="C278">
        <f>ROUNDDOWN(2.61545454545455,0)</f>
        <v>2</v>
      </c>
      <c r="D278">
        <v>1.83</v>
      </c>
      <c r="F278">
        <v>0.82</v>
      </c>
      <c r="G278">
        <v>1.1200000000000001</v>
      </c>
      <c r="H278">
        <v>2.6</v>
      </c>
      <c r="I278">
        <v>23.82</v>
      </c>
      <c r="J278">
        <v>1.6</v>
      </c>
      <c r="K278">
        <v>0.81</v>
      </c>
      <c r="L278">
        <v>0.93</v>
      </c>
      <c r="M278">
        <v>54.29</v>
      </c>
      <c r="O278">
        <v>3.72</v>
      </c>
      <c r="P278">
        <v>3.83</v>
      </c>
      <c r="Q278">
        <v>0</v>
      </c>
      <c r="R278">
        <v>0</v>
      </c>
    </row>
    <row r="279" spans="1:18" x14ac:dyDescent="0.25">
      <c r="A279">
        <v>140</v>
      </c>
      <c r="B279">
        <v>57.75</v>
      </c>
      <c r="C279">
        <f>ROUNDDOWN(2.625,0)</f>
        <v>2</v>
      </c>
      <c r="D279">
        <v>1.83</v>
      </c>
      <c r="F279">
        <v>0.77</v>
      </c>
      <c r="G279">
        <v>1.1100000000000001</v>
      </c>
      <c r="H279">
        <v>2.5499999999999998</v>
      </c>
      <c r="I279">
        <v>23.8</v>
      </c>
      <c r="J279">
        <v>1.58</v>
      </c>
      <c r="K279">
        <v>0.8</v>
      </c>
      <c r="L279">
        <v>0.8</v>
      </c>
      <c r="M279">
        <v>54.29</v>
      </c>
      <c r="O279">
        <v>3.75</v>
      </c>
      <c r="P279">
        <v>3.85</v>
      </c>
      <c r="Q279">
        <v>0</v>
      </c>
      <c r="R279">
        <v>0</v>
      </c>
    </row>
    <row r="280" spans="1:18" x14ac:dyDescent="0.25">
      <c r="A280">
        <v>140</v>
      </c>
      <c r="B280">
        <v>57.96</v>
      </c>
      <c r="C280">
        <f>ROUNDDOWN(2.63454545454545,0)</f>
        <v>2</v>
      </c>
      <c r="D280">
        <v>1.79</v>
      </c>
      <c r="F280">
        <v>0.71</v>
      </c>
      <c r="G280">
        <v>1.1000000000000001</v>
      </c>
      <c r="H280">
        <v>2.4300000000000002</v>
      </c>
      <c r="I280">
        <v>23.76</v>
      </c>
      <c r="J280">
        <v>1.56</v>
      </c>
      <c r="K280">
        <v>0.75</v>
      </c>
      <c r="L280">
        <v>0.6</v>
      </c>
      <c r="M280">
        <v>54.29</v>
      </c>
      <c r="O280">
        <v>3.78</v>
      </c>
      <c r="P280">
        <v>3.88</v>
      </c>
      <c r="Q280">
        <v>0</v>
      </c>
      <c r="R280">
        <v>0</v>
      </c>
    </row>
    <row r="281" spans="1:18" x14ac:dyDescent="0.25">
      <c r="A281">
        <v>140</v>
      </c>
      <c r="B281">
        <v>58.169999999999995</v>
      </c>
      <c r="C281">
        <f>ROUNDDOWN(2.64409090909091,0)</f>
        <v>2</v>
      </c>
      <c r="D281">
        <v>1.73</v>
      </c>
      <c r="F281">
        <v>0.65</v>
      </c>
      <c r="G281">
        <v>1.0900000000000001</v>
      </c>
      <c r="H281">
        <v>2.25</v>
      </c>
      <c r="I281">
        <v>23.66</v>
      </c>
      <c r="J281">
        <v>1.55</v>
      </c>
      <c r="K281">
        <v>0.67</v>
      </c>
      <c r="L281">
        <v>0.33</v>
      </c>
      <c r="M281">
        <v>54.29</v>
      </c>
      <c r="O281">
        <v>3.82</v>
      </c>
      <c r="P281">
        <v>3.9</v>
      </c>
      <c r="Q281">
        <v>0</v>
      </c>
      <c r="R281">
        <v>0</v>
      </c>
    </row>
    <row r="282" spans="1:18" x14ac:dyDescent="0.25">
      <c r="A282">
        <v>140</v>
      </c>
      <c r="B282">
        <v>58.379999999999995</v>
      </c>
      <c r="C282">
        <f>ROUNDDOWN(2.65363636363636,0)</f>
        <v>2</v>
      </c>
      <c r="D282">
        <v>1.55</v>
      </c>
      <c r="F282">
        <v>0.61</v>
      </c>
      <c r="G282">
        <v>1.0900000000000001</v>
      </c>
      <c r="H282">
        <v>2</v>
      </c>
      <c r="I282">
        <v>23.49</v>
      </c>
      <c r="J282">
        <v>1.53</v>
      </c>
      <c r="K282">
        <v>0.55000000000000004</v>
      </c>
      <c r="L282">
        <v>-0.04</v>
      </c>
      <c r="M282">
        <v>54.29</v>
      </c>
      <c r="O282">
        <v>3.85</v>
      </c>
      <c r="P282">
        <v>3.92</v>
      </c>
      <c r="Q282">
        <v>0</v>
      </c>
      <c r="R282">
        <v>0</v>
      </c>
    </row>
    <row r="283" spans="1:18" x14ac:dyDescent="0.25">
      <c r="A283">
        <v>140</v>
      </c>
      <c r="B283">
        <v>58.589999999999996</v>
      </c>
      <c r="C283">
        <f>ROUNDDOWN(2.66318181818182,0)</f>
        <v>2</v>
      </c>
      <c r="D283">
        <v>1.3</v>
      </c>
      <c r="F283">
        <v>0.57999999999999996</v>
      </c>
      <c r="G283">
        <v>1.1000000000000001</v>
      </c>
      <c r="H283">
        <v>1.74</v>
      </c>
      <c r="I283">
        <v>23.36</v>
      </c>
      <c r="J283">
        <v>1.51</v>
      </c>
      <c r="K283">
        <v>0.4</v>
      </c>
      <c r="L283">
        <v>-0.36</v>
      </c>
      <c r="M283">
        <v>54.29</v>
      </c>
      <c r="O283">
        <v>3.89</v>
      </c>
      <c r="P283">
        <v>3.94</v>
      </c>
      <c r="Q283">
        <v>0</v>
      </c>
      <c r="R283">
        <v>0</v>
      </c>
    </row>
    <row r="284" spans="1:18" x14ac:dyDescent="0.25">
      <c r="A284">
        <v>140</v>
      </c>
      <c r="B284">
        <v>58.8</v>
      </c>
      <c r="C284">
        <f>ROUNDDOWN(2.67272727272727,0)</f>
        <v>2</v>
      </c>
      <c r="D284">
        <v>1.06</v>
      </c>
      <c r="F284">
        <v>0.56000000000000005</v>
      </c>
      <c r="G284">
        <v>1.1200000000000001</v>
      </c>
      <c r="H284">
        <v>1.44</v>
      </c>
      <c r="I284">
        <v>23.36</v>
      </c>
      <c r="J284">
        <v>1.48</v>
      </c>
      <c r="K284">
        <v>0.14000000000000001</v>
      </c>
      <c r="L284">
        <v>-0.65</v>
      </c>
      <c r="M284">
        <v>54.29</v>
      </c>
      <c r="O284">
        <v>3.92</v>
      </c>
      <c r="P284">
        <v>3.96</v>
      </c>
      <c r="Q284">
        <v>0</v>
      </c>
      <c r="R284">
        <v>0</v>
      </c>
    </row>
    <row r="285" spans="1:18" x14ac:dyDescent="0.25">
      <c r="A285">
        <v>140</v>
      </c>
      <c r="B285">
        <v>59.01</v>
      </c>
      <c r="C285">
        <f>ROUNDDOWN(2.68227272727273,0)</f>
        <v>2</v>
      </c>
      <c r="D285">
        <v>0.85</v>
      </c>
      <c r="F285">
        <v>0.56999999999999995</v>
      </c>
      <c r="G285">
        <v>1.17</v>
      </c>
      <c r="H285">
        <v>1.1599999999999999</v>
      </c>
      <c r="I285">
        <v>23.46</v>
      </c>
      <c r="J285">
        <v>1.45</v>
      </c>
      <c r="K285">
        <v>-0.12</v>
      </c>
      <c r="L285">
        <v>-0.85</v>
      </c>
      <c r="M285">
        <v>54.29</v>
      </c>
      <c r="O285">
        <v>3.96</v>
      </c>
      <c r="P285">
        <v>3.97</v>
      </c>
      <c r="Q285">
        <v>0</v>
      </c>
      <c r="R285">
        <v>0</v>
      </c>
    </row>
    <row r="286" spans="1:18" x14ac:dyDescent="0.25">
      <c r="A286">
        <v>140</v>
      </c>
      <c r="B286">
        <v>59.22</v>
      </c>
      <c r="C286">
        <f>ROUNDDOWN(2.69181818181818,0)</f>
        <v>2</v>
      </c>
      <c r="D286">
        <v>0.75</v>
      </c>
      <c r="F286">
        <v>0.56000000000000005</v>
      </c>
      <c r="G286">
        <v>1.2</v>
      </c>
      <c r="H286">
        <v>0.9</v>
      </c>
      <c r="I286">
        <v>23.61</v>
      </c>
      <c r="J286">
        <v>1.42</v>
      </c>
      <c r="K286">
        <v>-0.38</v>
      </c>
      <c r="L286">
        <v>-1</v>
      </c>
      <c r="M286">
        <v>54.29</v>
      </c>
      <c r="O286">
        <v>3.99</v>
      </c>
      <c r="P286">
        <v>3.99</v>
      </c>
      <c r="Q286">
        <v>0</v>
      </c>
      <c r="R286">
        <v>0</v>
      </c>
    </row>
    <row r="287" spans="1:18" x14ac:dyDescent="0.25">
      <c r="A287">
        <v>140</v>
      </c>
      <c r="B287">
        <v>59.43</v>
      </c>
      <c r="C287">
        <f>ROUNDDOWN(2.70136363636364,0)</f>
        <v>2</v>
      </c>
      <c r="D287">
        <v>0.72</v>
      </c>
      <c r="F287">
        <v>0.53</v>
      </c>
      <c r="G287">
        <v>1.21</v>
      </c>
      <c r="H287">
        <v>0.59</v>
      </c>
      <c r="I287">
        <v>23.73</v>
      </c>
      <c r="J287">
        <v>1.38</v>
      </c>
      <c r="K287">
        <v>-0.66</v>
      </c>
      <c r="L287">
        <v>-1.2</v>
      </c>
      <c r="M287">
        <v>54.29</v>
      </c>
      <c r="O287">
        <v>4.03</v>
      </c>
      <c r="P287">
        <v>4</v>
      </c>
      <c r="Q287">
        <v>0</v>
      </c>
      <c r="R287">
        <v>0</v>
      </c>
    </row>
    <row r="288" spans="1:18" x14ac:dyDescent="0.25">
      <c r="A288">
        <v>140</v>
      </c>
      <c r="B288">
        <v>59.64</v>
      </c>
      <c r="C288">
        <f>ROUNDDOWN(2.71090909090909,0)</f>
        <v>2</v>
      </c>
      <c r="D288">
        <v>0.75</v>
      </c>
      <c r="F288">
        <v>0.47</v>
      </c>
      <c r="G288">
        <v>1.2</v>
      </c>
      <c r="H288">
        <v>0.3</v>
      </c>
      <c r="I288">
        <v>23.88</v>
      </c>
      <c r="J288">
        <v>1.34</v>
      </c>
      <c r="K288">
        <v>-0.92</v>
      </c>
      <c r="L288">
        <v>-1.37</v>
      </c>
      <c r="M288">
        <v>54.29</v>
      </c>
      <c r="O288">
        <v>4.07</v>
      </c>
      <c r="P288">
        <v>4.0199999999999996</v>
      </c>
      <c r="Q288">
        <v>0</v>
      </c>
      <c r="R288">
        <v>0</v>
      </c>
    </row>
    <row r="289" spans="1:18" x14ac:dyDescent="0.25">
      <c r="A289">
        <v>140</v>
      </c>
      <c r="B289">
        <v>59.849999999999994</v>
      </c>
      <c r="C289">
        <f>ROUNDDOWN(2.72045454545455,0)</f>
        <v>2</v>
      </c>
      <c r="D289">
        <v>0.79</v>
      </c>
      <c r="F289">
        <v>0.41</v>
      </c>
      <c r="G289">
        <v>1.18</v>
      </c>
      <c r="H289">
        <v>0.04</v>
      </c>
      <c r="I289">
        <v>24.06</v>
      </c>
      <c r="J289">
        <v>1.3</v>
      </c>
      <c r="K289">
        <v>-1.1499999999999999</v>
      </c>
      <c r="L289">
        <v>-1.48</v>
      </c>
      <c r="M289">
        <v>54.3</v>
      </c>
      <c r="O289">
        <v>4.0999999999999996</v>
      </c>
      <c r="P289">
        <v>4.03</v>
      </c>
      <c r="Q289">
        <v>0</v>
      </c>
      <c r="R289">
        <v>0</v>
      </c>
    </row>
    <row r="290" spans="1:18" x14ac:dyDescent="0.25">
      <c r="A290">
        <v>140</v>
      </c>
      <c r="B290">
        <v>60.059999999999995</v>
      </c>
      <c r="C290">
        <f>ROUNDDOWN(2.73,0)</f>
        <v>2</v>
      </c>
      <c r="D290">
        <v>0.84</v>
      </c>
      <c r="F290">
        <v>0.35</v>
      </c>
      <c r="G290">
        <v>1.1499999999999999</v>
      </c>
      <c r="H290">
        <v>-0.2</v>
      </c>
      <c r="I290">
        <v>24.3</v>
      </c>
      <c r="J290">
        <v>1.27</v>
      </c>
      <c r="K290">
        <v>-1.37</v>
      </c>
      <c r="L290">
        <v>-1.53</v>
      </c>
      <c r="M290">
        <v>54.3</v>
      </c>
      <c r="O290">
        <v>4.1399999999999997</v>
      </c>
      <c r="P290">
        <v>4.05</v>
      </c>
      <c r="Q290">
        <v>0</v>
      </c>
      <c r="R290">
        <v>0</v>
      </c>
    </row>
    <row r="291" spans="1:18" x14ac:dyDescent="0.25">
      <c r="A291">
        <v>140</v>
      </c>
      <c r="B291">
        <v>60.269999999999996</v>
      </c>
      <c r="C291">
        <f>ROUNDDOWN(2.73954545454545,0)</f>
        <v>2</v>
      </c>
      <c r="D291">
        <v>0.87</v>
      </c>
      <c r="F291">
        <v>0.28000000000000003</v>
      </c>
      <c r="G291">
        <v>1.1100000000000001</v>
      </c>
      <c r="H291">
        <v>-0.48</v>
      </c>
      <c r="I291">
        <v>24.54</v>
      </c>
      <c r="J291">
        <v>1.25</v>
      </c>
      <c r="K291">
        <v>-1.62</v>
      </c>
      <c r="L291">
        <v>-1.63</v>
      </c>
      <c r="M291">
        <v>54.3</v>
      </c>
      <c r="O291">
        <v>4.18</v>
      </c>
      <c r="P291">
        <v>4.0599999999999996</v>
      </c>
      <c r="Q291">
        <v>0</v>
      </c>
      <c r="R291">
        <v>0</v>
      </c>
    </row>
    <row r="292" spans="1:18" x14ac:dyDescent="0.25">
      <c r="A292">
        <v>140</v>
      </c>
      <c r="B292">
        <v>60.48</v>
      </c>
      <c r="C292">
        <f>ROUNDDOWN(2.74909090909091,0)</f>
        <v>2</v>
      </c>
      <c r="D292">
        <v>0.97</v>
      </c>
      <c r="F292">
        <v>0.2</v>
      </c>
      <c r="G292">
        <v>1.05</v>
      </c>
      <c r="H292">
        <v>-0.69</v>
      </c>
      <c r="I292">
        <v>24.77</v>
      </c>
      <c r="J292">
        <v>1.24</v>
      </c>
      <c r="K292">
        <v>-1.78</v>
      </c>
      <c r="L292">
        <v>-1.66</v>
      </c>
      <c r="M292">
        <v>54.3</v>
      </c>
      <c r="O292">
        <v>4.22</v>
      </c>
      <c r="P292">
        <v>4.07</v>
      </c>
      <c r="Q292">
        <v>0</v>
      </c>
      <c r="R292">
        <v>0</v>
      </c>
    </row>
    <row r="293" spans="1:18" x14ac:dyDescent="0.25">
      <c r="A293">
        <v>140</v>
      </c>
      <c r="B293">
        <v>60.69</v>
      </c>
      <c r="C293">
        <f>ROUNDDOWN(2.75863636363636,0)</f>
        <v>2</v>
      </c>
      <c r="D293">
        <v>1.1599999999999999</v>
      </c>
      <c r="F293">
        <v>0.1</v>
      </c>
      <c r="G293">
        <v>0.99</v>
      </c>
      <c r="H293">
        <v>-0.91</v>
      </c>
      <c r="I293">
        <v>24.98</v>
      </c>
      <c r="J293">
        <v>1.25</v>
      </c>
      <c r="K293">
        <v>-1.92</v>
      </c>
      <c r="L293">
        <v>-1.7</v>
      </c>
      <c r="M293">
        <v>54.3</v>
      </c>
      <c r="O293">
        <v>4.26</v>
      </c>
      <c r="P293">
        <v>4.09</v>
      </c>
      <c r="Q293">
        <v>0</v>
      </c>
      <c r="R293">
        <v>0</v>
      </c>
    </row>
    <row r="294" spans="1:18" x14ac:dyDescent="0.25">
      <c r="A294">
        <v>140</v>
      </c>
      <c r="B294">
        <v>60.9</v>
      </c>
      <c r="C294">
        <f>ROUNDDOWN(2.76818181818182,0)</f>
        <v>2</v>
      </c>
      <c r="D294">
        <v>1.36</v>
      </c>
      <c r="F294">
        <v>0</v>
      </c>
      <c r="G294">
        <v>0.9</v>
      </c>
      <c r="H294">
        <v>-1.1399999999999999</v>
      </c>
      <c r="I294">
        <v>25.16</v>
      </c>
      <c r="J294">
        <v>1.26</v>
      </c>
      <c r="K294">
        <v>-2.0499999999999998</v>
      </c>
      <c r="L294">
        <v>-1.78</v>
      </c>
      <c r="M294">
        <v>54.3</v>
      </c>
      <c r="O294">
        <v>4.29</v>
      </c>
      <c r="P294">
        <v>4.1100000000000003</v>
      </c>
      <c r="Q294">
        <v>0</v>
      </c>
      <c r="R294">
        <v>0</v>
      </c>
    </row>
    <row r="295" spans="1:18" x14ac:dyDescent="0.25">
      <c r="A295">
        <v>140</v>
      </c>
      <c r="B295">
        <v>61.11</v>
      </c>
      <c r="C295">
        <f>ROUNDDOWN(2.77772727272727,0)</f>
        <v>2</v>
      </c>
      <c r="D295">
        <v>1.5</v>
      </c>
      <c r="F295">
        <v>-0.12</v>
      </c>
      <c r="G295">
        <v>0.8</v>
      </c>
      <c r="H295">
        <v>-1.41</v>
      </c>
      <c r="I295">
        <v>25.26</v>
      </c>
      <c r="J295">
        <v>1.29</v>
      </c>
      <c r="K295">
        <v>-2.1800000000000002</v>
      </c>
      <c r="L295">
        <v>-1.93</v>
      </c>
      <c r="M295">
        <v>54.3</v>
      </c>
      <c r="O295">
        <v>4.33</v>
      </c>
      <c r="P295">
        <v>4.12</v>
      </c>
      <c r="Q295">
        <v>0</v>
      </c>
      <c r="R295">
        <v>0</v>
      </c>
    </row>
    <row r="296" spans="1:18" x14ac:dyDescent="0.25">
      <c r="A296">
        <v>140</v>
      </c>
      <c r="B296">
        <v>61.32</v>
      </c>
      <c r="C296">
        <f>ROUNDDOWN(2.78727272727273,0)</f>
        <v>2</v>
      </c>
      <c r="D296">
        <v>1.6</v>
      </c>
      <c r="F296">
        <v>-0.21</v>
      </c>
      <c r="G296">
        <v>0.72</v>
      </c>
      <c r="H296">
        <v>-1.57</v>
      </c>
      <c r="I296">
        <v>25.27</v>
      </c>
      <c r="J296">
        <v>1.33</v>
      </c>
      <c r="K296">
        <v>-2.14</v>
      </c>
      <c r="L296">
        <v>-2</v>
      </c>
      <c r="M296">
        <v>54.3</v>
      </c>
      <c r="O296">
        <v>4.37</v>
      </c>
      <c r="P296">
        <v>4.1399999999999997</v>
      </c>
      <c r="Q296">
        <v>0</v>
      </c>
      <c r="R296">
        <v>0</v>
      </c>
    </row>
    <row r="297" spans="1:18" x14ac:dyDescent="0.25">
      <c r="A297">
        <v>140</v>
      </c>
      <c r="B297">
        <v>61.53</v>
      </c>
      <c r="C297">
        <f>ROUNDDOWN(2.79681818181818,0)</f>
        <v>2</v>
      </c>
      <c r="D297">
        <v>1.75</v>
      </c>
      <c r="F297">
        <v>-0.32</v>
      </c>
      <c r="G297">
        <v>0.62</v>
      </c>
      <c r="H297">
        <v>-1.7</v>
      </c>
      <c r="I297">
        <v>25.24</v>
      </c>
      <c r="J297">
        <v>1.38</v>
      </c>
      <c r="K297">
        <v>-2.0499999999999998</v>
      </c>
      <c r="L297">
        <v>-2.0499999999999998</v>
      </c>
      <c r="M297">
        <v>54.3</v>
      </c>
      <c r="O297">
        <v>4.41</v>
      </c>
      <c r="P297">
        <v>4.1500000000000004</v>
      </c>
      <c r="Q297">
        <v>0</v>
      </c>
      <c r="R297">
        <v>0</v>
      </c>
    </row>
    <row r="298" spans="1:18" x14ac:dyDescent="0.25">
      <c r="A298">
        <v>140</v>
      </c>
      <c r="B298">
        <v>61.739999999999995</v>
      </c>
      <c r="C298">
        <f>ROUNDDOWN(2.80636363636364,0)</f>
        <v>2</v>
      </c>
      <c r="D298">
        <v>1.83</v>
      </c>
      <c r="F298">
        <v>-0.39</v>
      </c>
      <c r="G298">
        <v>0.55000000000000004</v>
      </c>
      <c r="H298">
        <v>-1.86</v>
      </c>
      <c r="I298">
        <v>25.19</v>
      </c>
      <c r="J298">
        <v>1.45</v>
      </c>
      <c r="K298">
        <v>-1.99</v>
      </c>
      <c r="L298">
        <v>-2.13</v>
      </c>
      <c r="M298">
        <v>54.3</v>
      </c>
      <c r="O298">
        <v>4.45</v>
      </c>
      <c r="P298">
        <v>4.16</v>
      </c>
      <c r="Q298">
        <v>0</v>
      </c>
      <c r="R298">
        <v>0</v>
      </c>
    </row>
    <row r="299" spans="1:18" x14ac:dyDescent="0.25">
      <c r="A299">
        <v>140</v>
      </c>
      <c r="B299">
        <v>61.949999999999996</v>
      </c>
      <c r="C299">
        <f>ROUNDDOWN(2.81590909090909,0)</f>
        <v>2</v>
      </c>
      <c r="D299">
        <v>1.81</v>
      </c>
      <c r="F299">
        <v>-0.46</v>
      </c>
      <c r="G299">
        <v>0.48</v>
      </c>
      <c r="H299">
        <v>-2.0299999999999998</v>
      </c>
      <c r="I299">
        <v>25.17</v>
      </c>
      <c r="J299">
        <v>1.52</v>
      </c>
      <c r="K299">
        <v>-1.96</v>
      </c>
      <c r="L299">
        <v>-2.2000000000000002</v>
      </c>
      <c r="M299">
        <v>54.3</v>
      </c>
      <c r="O299">
        <v>4.5</v>
      </c>
      <c r="P299">
        <v>4.18</v>
      </c>
      <c r="Q299">
        <v>0</v>
      </c>
      <c r="R299">
        <v>0</v>
      </c>
    </row>
    <row r="300" spans="1:18" x14ac:dyDescent="0.25">
      <c r="A300">
        <v>140</v>
      </c>
      <c r="B300">
        <v>62.16</v>
      </c>
      <c r="C300">
        <f>ROUNDDOWN(2.82545454545455,0)</f>
        <v>2</v>
      </c>
      <c r="D300">
        <v>1.73</v>
      </c>
      <c r="F300">
        <v>-0.5</v>
      </c>
      <c r="G300">
        <v>0.42</v>
      </c>
      <c r="H300">
        <v>-2.11</v>
      </c>
      <c r="I300">
        <v>25.2</v>
      </c>
      <c r="J300">
        <v>1.59</v>
      </c>
      <c r="K300">
        <v>-1.85</v>
      </c>
      <c r="L300">
        <v>-2.16</v>
      </c>
      <c r="M300">
        <v>54.3</v>
      </c>
      <c r="O300">
        <v>4.54</v>
      </c>
      <c r="P300">
        <v>4.1900000000000004</v>
      </c>
      <c r="Q300">
        <v>0</v>
      </c>
      <c r="R300">
        <v>0</v>
      </c>
    </row>
    <row r="301" spans="1:18" x14ac:dyDescent="0.25">
      <c r="A301">
        <v>140</v>
      </c>
      <c r="B301">
        <v>62.37</v>
      </c>
      <c r="C301">
        <f>ROUNDDOWN(2.835,0)</f>
        <v>2</v>
      </c>
      <c r="D301">
        <v>1.64</v>
      </c>
      <c r="F301">
        <v>-0.56999999999999995</v>
      </c>
      <c r="G301">
        <v>0.34</v>
      </c>
      <c r="H301">
        <v>-2.17</v>
      </c>
      <c r="I301">
        <v>25.25</v>
      </c>
      <c r="J301">
        <v>1.66</v>
      </c>
      <c r="K301">
        <v>-1.76</v>
      </c>
      <c r="L301">
        <v>-2.08</v>
      </c>
      <c r="M301">
        <v>54.3</v>
      </c>
      <c r="O301">
        <v>4.58</v>
      </c>
      <c r="P301">
        <v>4.21</v>
      </c>
      <c r="Q301">
        <v>0</v>
      </c>
      <c r="R301">
        <v>0</v>
      </c>
    </row>
    <row r="302" spans="1:18" x14ac:dyDescent="0.25">
      <c r="A302">
        <v>140</v>
      </c>
      <c r="B302">
        <v>62.58</v>
      </c>
      <c r="C302">
        <f>ROUNDDOWN(2.84454545454545,0)</f>
        <v>2</v>
      </c>
      <c r="D302">
        <v>1.64</v>
      </c>
      <c r="F302">
        <v>-0.65</v>
      </c>
      <c r="G302">
        <v>0.25</v>
      </c>
      <c r="H302">
        <v>-2.2599999999999998</v>
      </c>
      <c r="I302">
        <v>25.37</v>
      </c>
      <c r="J302">
        <v>1.73</v>
      </c>
      <c r="K302">
        <v>-1.73</v>
      </c>
      <c r="L302">
        <v>-2</v>
      </c>
      <c r="M302">
        <v>54.3</v>
      </c>
      <c r="O302">
        <v>4.62</v>
      </c>
      <c r="P302">
        <v>4.22</v>
      </c>
      <c r="Q302">
        <v>0</v>
      </c>
      <c r="R302">
        <v>0</v>
      </c>
    </row>
    <row r="303" spans="1:18" x14ac:dyDescent="0.25">
      <c r="A303">
        <v>140</v>
      </c>
      <c r="B303">
        <v>62.79</v>
      </c>
      <c r="C303">
        <f>ROUNDDOWN(2.85409090909091,0)</f>
        <v>2</v>
      </c>
      <c r="D303">
        <v>1.66</v>
      </c>
      <c r="F303">
        <v>-0.71</v>
      </c>
      <c r="G303">
        <v>0.18</v>
      </c>
      <c r="H303">
        <v>-2.29</v>
      </c>
      <c r="I303">
        <v>25.54</v>
      </c>
      <c r="J303">
        <v>1.79</v>
      </c>
      <c r="K303">
        <v>-1.65</v>
      </c>
      <c r="L303">
        <v>-1.84</v>
      </c>
      <c r="M303">
        <v>54.3</v>
      </c>
      <c r="O303">
        <v>4.66</v>
      </c>
      <c r="P303">
        <v>4.24</v>
      </c>
      <c r="Q303">
        <v>0</v>
      </c>
      <c r="R303">
        <v>0</v>
      </c>
    </row>
    <row r="304" spans="1:18" x14ac:dyDescent="0.25">
      <c r="A304">
        <v>140</v>
      </c>
      <c r="B304">
        <v>63</v>
      </c>
      <c r="C304">
        <f>ROUNDDOWN(2.86363636363636,0)</f>
        <v>2</v>
      </c>
      <c r="D304">
        <v>1.64</v>
      </c>
      <c r="F304">
        <v>-0.72</v>
      </c>
      <c r="G304">
        <v>0.14000000000000001</v>
      </c>
      <c r="H304">
        <v>-2.2400000000000002</v>
      </c>
      <c r="I304">
        <v>25.7</v>
      </c>
      <c r="J304">
        <v>1.85</v>
      </c>
      <c r="K304">
        <v>-1.49</v>
      </c>
      <c r="L304">
        <v>-1.6</v>
      </c>
      <c r="M304">
        <v>54.3</v>
      </c>
      <c r="O304">
        <v>4.71</v>
      </c>
      <c r="P304">
        <v>4.25</v>
      </c>
      <c r="Q304">
        <v>0</v>
      </c>
      <c r="R304">
        <v>0</v>
      </c>
    </row>
    <row r="305" spans="1:18" x14ac:dyDescent="0.25">
      <c r="A305">
        <v>140</v>
      </c>
      <c r="B305">
        <v>63.21</v>
      </c>
      <c r="C305">
        <f>ROUNDDOWN(2.87318181818182,0)</f>
        <v>2</v>
      </c>
      <c r="D305">
        <v>1.49</v>
      </c>
      <c r="F305">
        <v>-0.72</v>
      </c>
      <c r="G305">
        <v>0.12</v>
      </c>
      <c r="H305">
        <v>-2.19</v>
      </c>
      <c r="I305">
        <v>25.79</v>
      </c>
      <c r="J305">
        <v>1.89</v>
      </c>
      <c r="K305">
        <v>-1.31</v>
      </c>
      <c r="L305">
        <v>-1.41</v>
      </c>
      <c r="M305">
        <v>54.3</v>
      </c>
      <c r="O305">
        <v>4.75</v>
      </c>
      <c r="P305">
        <v>4.2699999999999996</v>
      </c>
      <c r="Q305">
        <v>0</v>
      </c>
      <c r="R305">
        <v>0</v>
      </c>
    </row>
    <row r="306" spans="1:18" x14ac:dyDescent="0.25">
      <c r="A306">
        <v>140</v>
      </c>
      <c r="B306">
        <v>63.419999999999995</v>
      </c>
      <c r="C306">
        <f>ROUNDDOWN(2.88272727272727,0)</f>
        <v>2</v>
      </c>
      <c r="D306">
        <v>1.3</v>
      </c>
      <c r="F306">
        <v>-0.74</v>
      </c>
      <c r="G306">
        <v>0.08</v>
      </c>
      <c r="H306">
        <v>-2.2200000000000002</v>
      </c>
      <c r="I306">
        <v>25.84</v>
      </c>
      <c r="J306">
        <v>1.93</v>
      </c>
      <c r="K306">
        <v>-1.19</v>
      </c>
      <c r="L306">
        <v>-1.34</v>
      </c>
      <c r="M306">
        <v>54.3</v>
      </c>
      <c r="O306">
        <v>4.79</v>
      </c>
      <c r="P306">
        <v>4.29</v>
      </c>
      <c r="Q306">
        <v>0</v>
      </c>
      <c r="R306">
        <v>0</v>
      </c>
    </row>
    <row r="307" spans="1:18" x14ac:dyDescent="0.25">
      <c r="A307">
        <v>140</v>
      </c>
      <c r="B307">
        <v>63.629999999999995</v>
      </c>
      <c r="C307">
        <f>ROUNDDOWN(2.89227272727273,0)</f>
        <v>2</v>
      </c>
      <c r="D307">
        <v>1.17</v>
      </c>
      <c r="F307">
        <v>-0.73</v>
      </c>
      <c r="G307">
        <v>0.06</v>
      </c>
      <c r="H307">
        <v>-2.17</v>
      </c>
      <c r="I307">
        <v>25.94</v>
      </c>
      <c r="J307">
        <v>1.97</v>
      </c>
      <c r="K307">
        <v>-1.03</v>
      </c>
      <c r="L307">
        <v>-1.1599999999999999</v>
      </c>
      <c r="M307">
        <v>54.3</v>
      </c>
      <c r="O307">
        <v>4.84</v>
      </c>
      <c r="P307">
        <v>4.3</v>
      </c>
      <c r="Q307">
        <v>0</v>
      </c>
      <c r="R307">
        <v>0</v>
      </c>
    </row>
    <row r="308" spans="1:18" x14ac:dyDescent="0.25">
      <c r="A308">
        <v>140</v>
      </c>
      <c r="B308">
        <v>63.839999999999996</v>
      </c>
      <c r="C308">
        <f>ROUNDDOWN(2.90181818181818,0)</f>
        <v>2</v>
      </c>
      <c r="D308">
        <v>1.1499999999999999</v>
      </c>
      <c r="F308">
        <v>-0.7</v>
      </c>
      <c r="G308">
        <v>0.08</v>
      </c>
      <c r="H308">
        <v>-2.0099999999999998</v>
      </c>
      <c r="I308">
        <v>26.13</v>
      </c>
      <c r="J308">
        <v>2</v>
      </c>
      <c r="K308">
        <v>-0.8</v>
      </c>
      <c r="L308">
        <v>-0.84</v>
      </c>
      <c r="M308">
        <v>54.3</v>
      </c>
      <c r="O308">
        <v>4.88</v>
      </c>
      <c r="P308">
        <v>4.32</v>
      </c>
      <c r="Q308">
        <v>0</v>
      </c>
      <c r="R308">
        <v>0</v>
      </c>
    </row>
    <row r="309" spans="1:18" x14ac:dyDescent="0.25">
      <c r="A309">
        <v>140</v>
      </c>
      <c r="B309">
        <v>64.05</v>
      </c>
      <c r="C309">
        <f>ROUNDDOWN(2.91136363636364,0)</f>
        <v>2</v>
      </c>
      <c r="D309">
        <v>1.18</v>
      </c>
      <c r="F309">
        <v>-0.62</v>
      </c>
      <c r="G309">
        <v>0.13</v>
      </c>
      <c r="H309">
        <v>-1.81</v>
      </c>
      <c r="I309">
        <v>26.34</v>
      </c>
      <c r="J309">
        <v>2.0499999999999998</v>
      </c>
      <c r="K309">
        <v>-0.55000000000000004</v>
      </c>
      <c r="L309">
        <v>-0.47</v>
      </c>
      <c r="M309">
        <v>54.31</v>
      </c>
      <c r="O309">
        <v>4.93</v>
      </c>
      <c r="P309">
        <v>4.34</v>
      </c>
      <c r="Q309">
        <v>0</v>
      </c>
      <c r="R309">
        <v>0</v>
      </c>
    </row>
    <row r="310" spans="1:18" x14ac:dyDescent="0.25">
      <c r="A310">
        <v>140</v>
      </c>
      <c r="B310">
        <v>64.259999999999991</v>
      </c>
      <c r="C310">
        <f>ROUNDDOWN(2.92090909090909,0)</f>
        <v>2</v>
      </c>
      <c r="D310">
        <v>1.19</v>
      </c>
      <c r="F310">
        <v>-0.59</v>
      </c>
      <c r="G310">
        <v>0.14000000000000001</v>
      </c>
      <c r="H310">
        <v>-1.68</v>
      </c>
      <c r="I310">
        <v>26.46</v>
      </c>
      <c r="J310">
        <v>2.1</v>
      </c>
      <c r="K310">
        <v>-0.34</v>
      </c>
      <c r="L310">
        <v>-0.25</v>
      </c>
      <c r="M310">
        <v>54.31</v>
      </c>
      <c r="O310">
        <v>4.97</v>
      </c>
      <c r="P310">
        <v>4.3600000000000003</v>
      </c>
      <c r="Q310">
        <v>0</v>
      </c>
      <c r="R310">
        <v>0</v>
      </c>
    </row>
    <row r="311" spans="1:18" x14ac:dyDescent="0.25">
      <c r="A311">
        <v>140</v>
      </c>
      <c r="B311">
        <v>64.47</v>
      </c>
      <c r="C311">
        <f>ROUNDDOWN(2.93045454545455,0)</f>
        <v>2</v>
      </c>
      <c r="D311">
        <v>1.17</v>
      </c>
      <c r="F311">
        <v>-0.61</v>
      </c>
      <c r="G311">
        <v>0.1</v>
      </c>
      <c r="H311">
        <v>-1.56</v>
      </c>
      <c r="I311">
        <v>26.44</v>
      </c>
      <c r="J311">
        <v>2.15</v>
      </c>
      <c r="K311">
        <v>-0.08</v>
      </c>
      <c r="L311">
        <v>-0.11</v>
      </c>
      <c r="M311">
        <v>54.31</v>
      </c>
      <c r="O311">
        <v>5.0199999999999996</v>
      </c>
      <c r="P311">
        <v>4.38</v>
      </c>
      <c r="Q311">
        <v>0</v>
      </c>
      <c r="R311">
        <v>0</v>
      </c>
    </row>
    <row r="312" spans="1:18" x14ac:dyDescent="0.25">
      <c r="A312">
        <v>140</v>
      </c>
      <c r="B312">
        <v>64.679999999999993</v>
      </c>
      <c r="C312">
        <f>ROUNDDOWN(2.94,0)</f>
        <v>2</v>
      </c>
      <c r="D312">
        <v>1.1000000000000001</v>
      </c>
      <c r="F312">
        <v>-0.63</v>
      </c>
      <c r="G312">
        <v>0.05</v>
      </c>
      <c r="H312">
        <v>-1.44</v>
      </c>
      <c r="I312">
        <v>26.34</v>
      </c>
      <c r="J312">
        <v>2.2200000000000002</v>
      </c>
      <c r="K312">
        <v>0.21</v>
      </c>
      <c r="L312">
        <v>-0.01</v>
      </c>
      <c r="M312">
        <v>54.31</v>
      </c>
      <c r="O312">
        <v>5.0599999999999996</v>
      </c>
      <c r="P312">
        <v>4.4000000000000004</v>
      </c>
      <c r="Q312">
        <v>0</v>
      </c>
      <c r="R312">
        <v>0</v>
      </c>
    </row>
    <row r="313" spans="1:18" x14ac:dyDescent="0.25">
      <c r="A313">
        <v>140</v>
      </c>
      <c r="B313">
        <v>64.89</v>
      </c>
      <c r="C313">
        <f>ROUNDDOWN(2.94954545454545,0)</f>
        <v>2</v>
      </c>
      <c r="D313">
        <v>1.1399999999999999</v>
      </c>
      <c r="F313">
        <v>-0.63</v>
      </c>
      <c r="G313">
        <v>0.03</v>
      </c>
      <c r="H313">
        <v>-1.29</v>
      </c>
      <c r="I313">
        <v>26.33</v>
      </c>
      <c r="J313">
        <v>2.2799999999999998</v>
      </c>
      <c r="K313">
        <v>0.46</v>
      </c>
      <c r="L313">
        <v>0.15</v>
      </c>
      <c r="M313">
        <v>54.31</v>
      </c>
      <c r="O313">
        <v>5.1100000000000003</v>
      </c>
      <c r="P313">
        <v>4.41</v>
      </c>
      <c r="Q313">
        <v>0</v>
      </c>
      <c r="R313">
        <v>0</v>
      </c>
    </row>
    <row r="314" spans="1:18" x14ac:dyDescent="0.25">
      <c r="A314">
        <v>140</v>
      </c>
      <c r="B314">
        <v>65.099999999999994</v>
      </c>
      <c r="C314">
        <f>ROUNDDOWN(2.95909090909091,0)</f>
        <v>2</v>
      </c>
      <c r="D314">
        <v>1.23</v>
      </c>
      <c r="F314">
        <v>-0.6</v>
      </c>
      <c r="G314">
        <v>0.04</v>
      </c>
      <c r="H314">
        <v>-1.24</v>
      </c>
      <c r="I314">
        <v>26.4</v>
      </c>
      <c r="J314">
        <v>2.35</v>
      </c>
      <c r="K314">
        <v>0.56000000000000005</v>
      </c>
      <c r="L314">
        <v>0.26</v>
      </c>
      <c r="M314">
        <v>54.31</v>
      </c>
      <c r="O314">
        <v>5.16</v>
      </c>
      <c r="P314">
        <v>4.43</v>
      </c>
      <c r="Q314">
        <v>0</v>
      </c>
      <c r="R314">
        <v>0</v>
      </c>
    </row>
    <row r="315" spans="1:18" x14ac:dyDescent="0.25">
      <c r="A315">
        <v>140</v>
      </c>
      <c r="B315">
        <v>65.31</v>
      </c>
      <c r="C315">
        <f>ROUNDDOWN(2.96863636363636,0)</f>
        <v>2</v>
      </c>
      <c r="D315">
        <v>1.32</v>
      </c>
      <c r="F315">
        <v>-0.56999999999999995</v>
      </c>
      <c r="G315">
        <v>0.04</v>
      </c>
      <c r="H315">
        <v>-1.1599999999999999</v>
      </c>
      <c r="I315">
        <v>26.51</v>
      </c>
      <c r="J315">
        <v>2.41</v>
      </c>
      <c r="K315">
        <v>0.67</v>
      </c>
      <c r="L315">
        <v>0.41</v>
      </c>
      <c r="M315">
        <v>54.31</v>
      </c>
      <c r="O315">
        <v>5.21</v>
      </c>
      <c r="P315">
        <v>4.4400000000000004</v>
      </c>
      <c r="Q315">
        <v>0</v>
      </c>
      <c r="R315">
        <v>0</v>
      </c>
    </row>
    <row r="316" spans="1:18" x14ac:dyDescent="0.25">
      <c r="A316">
        <v>140</v>
      </c>
      <c r="B316">
        <v>65.52</v>
      </c>
      <c r="C316">
        <f>ROUNDDOWN(2.97818181818182,0)</f>
        <v>2</v>
      </c>
      <c r="D316">
        <v>1.33</v>
      </c>
      <c r="F316">
        <v>-0.55000000000000004</v>
      </c>
      <c r="G316">
        <v>0.03</v>
      </c>
      <c r="H316">
        <v>-1.1000000000000001</v>
      </c>
      <c r="I316">
        <v>26.59</v>
      </c>
      <c r="J316">
        <v>2.4700000000000002</v>
      </c>
      <c r="K316">
        <v>0.77</v>
      </c>
      <c r="L316">
        <v>0.51</v>
      </c>
      <c r="M316">
        <v>54.31</v>
      </c>
      <c r="O316">
        <v>5.25</v>
      </c>
      <c r="P316">
        <v>4.46</v>
      </c>
      <c r="Q316">
        <v>0</v>
      </c>
      <c r="R316">
        <v>0</v>
      </c>
    </row>
    <row r="317" spans="1:18" x14ac:dyDescent="0.25">
      <c r="A317">
        <v>140</v>
      </c>
      <c r="B317">
        <v>65.73</v>
      </c>
      <c r="C317">
        <f>ROUNDDOWN(2.98772727272727,0)</f>
        <v>2</v>
      </c>
      <c r="D317">
        <v>1.26</v>
      </c>
      <c r="F317">
        <v>-0.53</v>
      </c>
      <c r="G317">
        <v>0.03</v>
      </c>
      <c r="H317">
        <v>-1.0900000000000001</v>
      </c>
      <c r="I317">
        <v>26.63</v>
      </c>
      <c r="J317">
        <v>2.5299999999999998</v>
      </c>
      <c r="K317">
        <v>0.83</v>
      </c>
      <c r="L317">
        <v>0.55000000000000004</v>
      </c>
      <c r="M317">
        <v>54.31</v>
      </c>
      <c r="O317">
        <v>5.3</v>
      </c>
      <c r="P317">
        <v>4.47</v>
      </c>
      <c r="Q317">
        <v>0</v>
      </c>
      <c r="R317">
        <v>0</v>
      </c>
    </row>
    <row r="318" spans="1:18" x14ac:dyDescent="0.25">
      <c r="A318">
        <v>140</v>
      </c>
      <c r="B318">
        <v>65.94</v>
      </c>
      <c r="C318">
        <f>ROUNDDOWN(2.99727272727273,0)</f>
        <v>2</v>
      </c>
      <c r="D318">
        <v>1.1299999999999999</v>
      </c>
      <c r="F318">
        <v>-0.5</v>
      </c>
      <c r="G318">
        <v>0.04</v>
      </c>
      <c r="H318">
        <v>-1.2</v>
      </c>
      <c r="I318">
        <v>26.67</v>
      </c>
      <c r="J318">
        <v>2.59</v>
      </c>
      <c r="K318">
        <v>0.77</v>
      </c>
      <c r="L318">
        <v>0.46</v>
      </c>
      <c r="M318">
        <v>54.31</v>
      </c>
      <c r="O318">
        <v>5.35</v>
      </c>
      <c r="P318">
        <v>4.4800000000000004</v>
      </c>
      <c r="Q318">
        <v>0</v>
      </c>
      <c r="R318">
        <v>0</v>
      </c>
    </row>
    <row r="319" spans="1:18" x14ac:dyDescent="0.25">
      <c r="A319">
        <v>140</v>
      </c>
      <c r="B319">
        <v>66.149999999999991</v>
      </c>
      <c r="C319">
        <f>ROUNDDOWN(3.00681818181818,0)</f>
        <v>3</v>
      </c>
      <c r="D319">
        <v>1.06</v>
      </c>
      <c r="F319">
        <v>-0.47</v>
      </c>
      <c r="G319">
        <v>0.05</v>
      </c>
      <c r="H319">
        <v>-1.32</v>
      </c>
      <c r="I319">
        <v>26.76</v>
      </c>
      <c r="J319">
        <v>2.65</v>
      </c>
      <c r="K319">
        <v>0.67</v>
      </c>
      <c r="L319">
        <v>0.38</v>
      </c>
      <c r="M319">
        <v>54.31</v>
      </c>
      <c r="O319">
        <v>5.4</v>
      </c>
      <c r="P319">
        <v>4.49</v>
      </c>
      <c r="Q319">
        <v>0</v>
      </c>
      <c r="R319">
        <v>0</v>
      </c>
    </row>
    <row r="320" spans="1:18" x14ac:dyDescent="0.25">
      <c r="A320">
        <v>140</v>
      </c>
      <c r="B320">
        <v>66.36</v>
      </c>
      <c r="C320">
        <f>ROUNDDOWN(3.01636363636364,0)</f>
        <v>3</v>
      </c>
      <c r="D320">
        <v>1.0900000000000001</v>
      </c>
      <c r="F320">
        <v>-0.43</v>
      </c>
      <c r="G320">
        <v>7.0000000000000007E-2</v>
      </c>
      <c r="H320">
        <v>-1.45</v>
      </c>
      <c r="I320">
        <v>26.88</v>
      </c>
      <c r="J320">
        <v>2.71</v>
      </c>
      <c r="K320">
        <v>0.56000000000000005</v>
      </c>
      <c r="L320">
        <v>0.33</v>
      </c>
      <c r="M320">
        <v>54.31</v>
      </c>
      <c r="O320">
        <v>5.45</v>
      </c>
      <c r="P320">
        <v>4.5</v>
      </c>
      <c r="Q320">
        <v>0</v>
      </c>
      <c r="R320">
        <v>0</v>
      </c>
    </row>
    <row r="321" spans="1:18" x14ac:dyDescent="0.25">
      <c r="A321">
        <v>140</v>
      </c>
      <c r="B321">
        <v>66.569999999999993</v>
      </c>
      <c r="C321">
        <f>ROUNDDOWN(3.02590909090909,0)</f>
        <v>3</v>
      </c>
      <c r="D321">
        <v>1.1399999999999999</v>
      </c>
      <c r="F321">
        <v>-0.36</v>
      </c>
      <c r="G321">
        <v>0.12</v>
      </c>
      <c r="H321">
        <v>-1.64</v>
      </c>
      <c r="I321">
        <v>26.98</v>
      </c>
      <c r="J321">
        <v>2.77</v>
      </c>
      <c r="K321">
        <v>0.41</v>
      </c>
      <c r="L321">
        <v>0.2</v>
      </c>
      <c r="M321">
        <v>54.31</v>
      </c>
      <c r="O321">
        <v>5.5</v>
      </c>
      <c r="P321">
        <v>4.5199999999999996</v>
      </c>
      <c r="Q321">
        <v>0</v>
      </c>
      <c r="R321">
        <v>0</v>
      </c>
    </row>
    <row r="322" spans="1:18" x14ac:dyDescent="0.25">
      <c r="A322">
        <v>140</v>
      </c>
      <c r="B322">
        <v>66.78</v>
      </c>
      <c r="C322">
        <f>ROUNDDOWN(3.03545454545455,0)</f>
        <v>3</v>
      </c>
      <c r="D322">
        <v>1.1200000000000001</v>
      </c>
      <c r="F322">
        <v>-0.28000000000000003</v>
      </c>
      <c r="G322">
        <v>0.18</v>
      </c>
      <c r="H322">
        <v>-1.96</v>
      </c>
      <c r="I322">
        <v>27.06</v>
      </c>
      <c r="J322">
        <v>2.82</v>
      </c>
      <c r="K322">
        <v>0.13</v>
      </c>
      <c r="L322">
        <v>-0.06</v>
      </c>
      <c r="M322">
        <v>54.31</v>
      </c>
      <c r="O322">
        <v>5.55</v>
      </c>
      <c r="P322">
        <v>4.53</v>
      </c>
      <c r="Q322">
        <v>0</v>
      </c>
      <c r="R322">
        <v>0</v>
      </c>
    </row>
    <row r="323" spans="1:18" x14ac:dyDescent="0.25">
      <c r="A323">
        <v>140</v>
      </c>
      <c r="B323">
        <v>66.989999999999995</v>
      </c>
      <c r="C323">
        <f>ROUNDDOWN(3.045,0)</f>
        <v>3</v>
      </c>
      <c r="D323">
        <v>1.03</v>
      </c>
      <c r="F323">
        <v>-0.19</v>
      </c>
      <c r="G323">
        <v>0.26</v>
      </c>
      <c r="H323">
        <v>-2.27</v>
      </c>
      <c r="I323">
        <v>27.16</v>
      </c>
      <c r="J323">
        <v>2.86</v>
      </c>
      <c r="K323">
        <v>-0.13</v>
      </c>
      <c r="L323">
        <v>-0.28999999999999998</v>
      </c>
      <c r="M323">
        <v>54.31</v>
      </c>
      <c r="O323">
        <v>5.6</v>
      </c>
      <c r="P323">
        <v>4.54</v>
      </c>
      <c r="Q323">
        <v>0</v>
      </c>
      <c r="R323">
        <v>0</v>
      </c>
    </row>
    <row r="324" spans="1:18" x14ac:dyDescent="0.25">
      <c r="A324">
        <v>140</v>
      </c>
      <c r="B324">
        <v>67.2</v>
      </c>
      <c r="C324">
        <f>ROUNDDOWN(3.05454545454545,0)</f>
        <v>3</v>
      </c>
      <c r="D324">
        <v>0.98</v>
      </c>
      <c r="F324">
        <v>-0.13</v>
      </c>
      <c r="G324">
        <v>0.31</v>
      </c>
      <c r="H324">
        <v>-2.41</v>
      </c>
      <c r="I324">
        <v>27.32</v>
      </c>
      <c r="J324">
        <v>2.9</v>
      </c>
      <c r="K324">
        <v>-0.24</v>
      </c>
      <c r="L324">
        <v>-0.32</v>
      </c>
      <c r="M324">
        <v>54.31</v>
      </c>
      <c r="O324">
        <v>5.65</v>
      </c>
      <c r="P324">
        <v>4.55</v>
      </c>
      <c r="Q324">
        <v>0</v>
      </c>
      <c r="R324">
        <v>0</v>
      </c>
    </row>
    <row r="325" spans="1:18" x14ac:dyDescent="0.25">
      <c r="A325">
        <v>140</v>
      </c>
      <c r="B325">
        <v>67.41</v>
      </c>
      <c r="C325">
        <f>ROUNDDOWN(3.06409090909091,0)</f>
        <v>3</v>
      </c>
      <c r="D325">
        <v>1.03</v>
      </c>
      <c r="F325">
        <v>-0.06</v>
      </c>
      <c r="G325">
        <v>0.37</v>
      </c>
      <c r="H325">
        <v>-2.5299999999999998</v>
      </c>
      <c r="I325">
        <v>27.49</v>
      </c>
      <c r="J325">
        <v>2.94</v>
      </c>
      <c r="K325">
        <v>-0.33</v>
      </c>
      <c r="L325">
        <v>-0.32</v>
      </c>
      <c r="M325">
        <v>54.31</v>
      </c>
      <c r="O325">
        <v>5.7</v>
      </c>
      <c r="P325">
        <v>4.5599999999999996</v>
      </c>
      <c r="Q325">
        <v>0</v>
      </c>
      <c r="R325">
        <v>0</v>
      </c>
    </row>
    <row r="326" spans="1:18" x14ac:dyDescent="0.25">
      <c r="A326">
        <v>140</v>
      </c>
      <c r="B326">
        <v>67.62</v>
      </c>
      <c r="C326">
        <f>ROUNDDOWN(3.07363636363636,0)</f>
        <v>3</v>
      </c>
      <c r="D326">
        <v>1.19</v>
      </c>
      <c r="F326">
        <v>0.01</v>
      </c>
      <c r="G326">
        <v>0.44</v>
      </c>
      <c r="H326">
        <v>-2.67</v>
      </c>
      <c r="I326">
        <v>27.63</v>
      </c>
      <c r="J326">
        <v>2.96</v>
      </c>
      <c r="K326">
        <v>-0.41</v>
      </c>
      <c r="L326">
        <v>-0.35</v>
      </c>
      <c r="M326">
        <v>54.31</v>
      </c>
      <c r="O326">
        <v>5.75</v>
      </c>
      <c r="P326">
        <v>4.57</v>
      </c>
      <c r="Q326">
        <v>0</v>
      </c>
      <c r="R326">
        <v>0</v>
      </c>
    </row>
    <row r="327" spans="1:18" x14ac:dyDescent="0.25">
      <c r="A327">
        <v>140</v>
      </c>
      <c r="B327">
        <v>67.83</v>
      </c>
      <c r="C327">
        <f>ROUNDDOWN(3.08318181818182,0)</f>
        <v>3</v>
      </c>
      <c r="D327">
        <v>1.37</v>
      </c>
      <c r="F327">
        <v>0.1</v>
      </c>
      <c r="G327">
        <v>0.52</v>
      </c>
      <c r="H327">
        <v>-2.91</v>
      </c>
      <c r="I327">
        <v>27.71</v>
      </c>
      <c r="J327">
        <v>2.98</v>
      </c>
      <c r="K327">
        <v>-0.56000000000000005</v>
      </c>
      <c r="L327">
        <v>-0.51</v>
      </c>
      <c r="M327">
        <v>54.32</v>
      </c>
      <c r="O327">
        <v>5.81</v>
      </c>
      <c r="P327">
        <v>4.58</v>
      </c>
      <c r="Q327">
        <v>0</v>
      </c>
      <c r="R327">
        <v>0</v>
      </c>
    </row>
    <row r="328" spans="1:18" x14ac:dyDescent="0.25">
      <c r="A328">
        <v>140</v>
      </c>
      <c r="B328">
        <v>68.039999999999992</v>
      </c>
      <c r="C328">
        <f>ROUNDDOWN(3.09272727272727,0)</f>
        <v>3</v>
      </c>
      <c r="D328">
        <v>1.47</v>
      </c>
      <c r="F328">
        <v>0.17</v>
      </c>
      <c r="G328">
        <v>0.6</v>
      </c>
      <c r="H328">
        <v>-3.07</v>
      </c>
      <c r="I328">
        <v>27.8</v>
      </c>
      <c r="J328">
        <v>3</v>
      </c>
      <c r="K328">
        <v>-0.64</v>
      </c>
      <c r="L328">
        <v>-0.59</v>
      </c>
      <c r="M328">
        <v>54.32</v>
      </c>
      <c r="O328">
        <v>5.86</v>
      </c>
      <c r="P328">
        <v>4.59</v>
      </c>
      <c r="Q328">
        <v>0</v>
      </c>
      <c r="R328">
        <v>0</v>
      </c>
    </row>
    <row r="329" spans="1:18" x14ac:dyDescent="0.25">
      <c r="A329">
        <v>140</v>
      </c>
      <c r="B329">
        <v>68.25</v>
      </c>
      <c r="C329">
        <f>ROUNDDOWN(3.10227272727273,0)</f>
        <v>3</v>
      </c>
      <c r="D329">
        <v>1.55</v>
      </c>
      <c r="F329">
        <v>0.2</v>
      </c>
      <c r="G329">
        <v>0.64</v>
      </c>
      <c r="H329">
        <v>-3.22</v>
      </c>
      <c r="I329">
        <v>27.95</v>
      </c>
      <c r="J329">
        <v>3.01</v>
      </c>
      <c r="K329">
        <v>-0.73</v>
      </c>
      <c r="L329">
        <v>-0.62</v>
      </c>
      <c r="M329">
        <v>54.32</v>
      </c>
      <c r="O329">
        <v>5.91</v>
      </c>
      <c r="P329">
        <v>4.5999999999999996</v>
      </c>
      <c r="Q329">
        <v>0</v>
      </c>
      <c r="R329">
        <v>0</v>
      </c>
    </row>
    <row r="330" spans="1:18" x14ac:dyDescent="0.25">
      <c r="A330">
        <v>140</v>
      </c>
      <c r="B330">
        <v>68.459999999999994</v>
      </c>
      <c r="C330">
        <f>ROUNDDOWN(3.11181818181818,0)</f>
        <v>3</v>
      </c>
      <c r="D330">
        <v>1.67</v>
      </c>
      <c r="F330">
        <v>0.19</v>
      </c>
      <c r="G330">
        <v>0.63</v>
      </c>
      <c r="H330">
        <v>-3.41</v>
      </c>
      <c r="I330">
        <v>28.18</v>
      </c>
      <c r="J330">
        <v>3.01</v>
      </c>
      <c r="K330">
        <v>-0.88</v>
      </c>
      <c r="L330">
        <v>-0.65</v>
      </c>
      <c r="M330">
        <v>54.32</v>
      </c>
      <c r="O330">
        <v>5.97</v>
      </c>
      <c r="P330">
        <v>4.5999999999999996</v>
      </c>
      <c r="Q330">
        <v>0</v>
      </c>
      <c r="R330">
        <v>0</v>
      </c>
    </row>
    <row r="331" spans="1:18" x14ac:dyDescent="0.25">
      <c r="A331">
        <v>140</v>
      </c>
      <c r="B331">
        <v>68.67</v>
      </c>
      <c r="C331">
        <f>ROUNDDOWN(3.12136363636364,0)</f>
        <v>3</v>
      </c>
      <c r="D331">
        <v>1.86</v>
      </c>
      <c r="F331">
        <v>0.15</v>
      </c>
      <c r="G331">
        <v>0.6</v>
      </c>
      <c r="H331">
        <v>-3.65</v>
      </c>
      <c r="I331">
        <v>28.44</v>
      </c>
      <c r="J331">
        <v>3</v>
      </c>
      <c r="K331">
        <v>-1.0900000000000001</v>
      </c>
      <c r="L331">
        <v>-0.72</v>
      </c>
      <c r="M331">
        <v>54.32</v>
      </c>
      <c r="O331">
        <v>6.02</v>
      </c>
      <c r="P331">
        <v>4.6100000000000003</v>
      </c>
      <c r="Q331">
        <v>0</v>
      </c>
      <c r="R331">
        <v>0</v>
      </c>
    </row>
    <row r="332" spans="1:18" x14ac:dyDescent="0.25">
      <c r="A332">
        <v>140</v>
      </c>
      <c r="B332">
        <v>68.88</v>
      </c>
      <c r="C332">
        <f>ROUNDDOWN(3.13090909090909,0)</f>
        <v>3</v>
      </c>
      <c r="D332">
        <v>2.0699999999999998</v>
      </c>
      <c r="F332">
        <v>0.16</v>
      </c>
      <c r="G332">
        <v>0.61</v>
      </c>
      <c r="H332">
        <v>-3.86</v>
      </c>
      <c r="I332">
        <v>28.7</v>
      </c>
      <c r="J332">
        <v>2.98</v>
      </c>
      <c r="K332">
        <v>-1.25</v>
      </c>
      <c r="L332">
        <v>-0.76</v>
      </c>
      <c r="M332">
        <v>54.32</v>
      </c>
      <c r="O332">
        <v>6.07</v>
      </c>
      <c r="P332">
        <v>4.6100000000000003</v>
      </c>
      <c r="Q332">
        <v>0</v>
      </c>
      <c r="R332">
        <v>0</v>
      </c>
    </row>
    <row r="333" spans="1:18" x14ac:dyDescent="0.25">
      <c r="A333">
        <v>140</v>
      </c>
      <c r="B333">
        <v>69.09</v>
      </c>
      <c r="C333">
        <f>ROUNDDOWN(3.14045454545455,0)</f>
        <v>3</v>
      </c>
      <c r="D333">
        <v>2.29</v>
      </c>
      <c r="F333">
        <v>0.18</v>
      </c>
      <c r="G333">
        <v>0.63</v>
      </c>
      <c r="H333">
        <v>-3.99</v>
      </c>
      <c r="I333">
        <v>28.96</v>
      </c>
      <c r="J333">
        <v>2.97</v>
      </c>
      <c r="K333">
        <v>-1.33</v>
      </c>
      <c r="L333">
        <v>-0.72</v>
      </c>
      <c r="M333">
        <v>54.32</v>
      </c>
      <c r="O333">
        <v>6.13</v>
      </c>
      <c r="P333">
        <v>4.62</v>
      </c>
      <c r="Q333">
        <v>0</v>
      </c>
      <c r="R333">
        <v>0</v>
      </c>
    </row>
    <row r="334" spans="1:18" x14ac:dyDescent="0.25">
      <c r="A334">
        <v>140</v>
      </c>
      <c r="B334">
        <v>69.3</v>
      </c>
      <c r="C334">
        <f>ROUNDDOWN(3.15,0)</f>
        <v>3</v>
      </c>
      <c r="D334">
        <v>2.46</v>
      </c>
      <c r="F334">
        <v>0.17</v>
      </c>
      <c r="G334">
        <v>0.63</v>
      </c>
      <c r="H334">
        <v>-4.12</v>
      </c>
      <c r="I334">
        <v>29.21</v>
      </c>
      <c r="J334">
        <v>2.97</v>
      </c>
      <c r="K334">
        <v>-1.4</v>
      </c>
      <c r="L334">
        <v>-0.68</v>
      </c>
      <c r="M334">
        <v>54.32</v>
      </c>
      <c r="O334">
        <v>6.18</v>
      </c>
      <c r="P334">
        <v>4.63</v>
      </c>
      <c r="Q334">
        <v>0</v>
      </c>
      <c r="R334">
        <v>0</v>
      </c>
    </row>
    <row r="335" spans="1:18" x14ac:dyDescent="0.25">
      <c r="A335">
        <v>140</v>
      </c>
      <c r="B335">
        <v>69.509999999999991</v>
      </c>
      <c r="C335">
        <f>ROUNDDOWN(3.15954545454545,0)</f>
        <v>3</v>
      </c>
      <c r="D335">
        <v>2.5</v>
      </c>
      <c r="F335">
        <v>0.16</v>
      </c>
      <c r="G335">
        <v>0.62</v>
      </c>
      <c r="H335">
        <v>-4.29</v>
      </c>
      <c r="I335">
        <v>29.37</v>
      </c>
      <c r="J335">
        <v>2.98</v>
      </c>
      <c r="K335">
        <v>-1.46</v>
      </c>
      <c r="L335">
        <v>-0.74</v>
      </c>
      <c r="M335">
        <v>54.32</v>
      </c>
      <c r="O335">
        <v>6.24</v>
      </c>
      <c r="P335">
        <v>4.6399999999999997</v>
      </c>
      <c r="Q335">
        <v>0</v>
      </c>
      <c r="R335">
        <v>0</v>
      </c>
    </row>
    <row r="336" spans="1:18" x14ac:dyDescent="0.25">
      <c r="A336">
        <v>140</v>
      </c>
      <c r="B336">
        <v>69.72</v>
      </c>
      <c r="C336">
        <f>ROUNDDOWN(3.16909090909091,0)</f>
        <v>3</v>
      </c>
      <c r="D336">
        <v>2.4500000000000002</v>
      </c>
      <c r="F336">
        <v>0.17</v>
      </c>
      <c r="G336">
        <v>0.65</v>
      </c>
      <c r="H336">
        <v>-4.42</v>
      </c>
      <c r="I336">
        <v>29.43</v>
      </c>
      <c r="J336">
        <v>3</v>
      </c>
      <c r="K336">
        <v>-1.42</v>
      </c>
      <c r="L336">
        <v>-0.81</v>
      </c>
      <c r="M336">
        <v>54.32</v>
      </c>
      <c r="O336">
        <v>6.3</v>
      </c>
      <c r="P336">
        <v>4.6399999999999997</v>
      </c>
      <c r="Q336">
        <v>0</v>
      </c>
      <c r="R336">
        <v>0</v>
      </c>
    </row>
    <row r="337" spans="1:18" x14ac:dyDescent="0.25">
      <c r="A337">
        <v>140</v>
      </c>
      <c r="B337">
        <v>69.929999999999993</v>
      </c>
      <c r="C337">
        <f>ROUNDDOWN(3.17863636363636,0)</f>
        <v>3</v>
      </c>
      <c r="D337">
        <v>2.36</v>
      </c>
      <c r="F337">
        <v>0.24</v>
      </c>
      <c r="G337">
        <v>0.72</v>
      </c>
      <c r="H337">
        <v>-4.46</v>
      </c>
      <c r="I337">
        <v>29.42</v>
      </c>
      <c r="J337">
        <v>3.02</v>
      </c>
      <c r="K337">
        <v>-1.26</v>
      </c>
      <c r="L337">
        <v>-0.82</v>
      </c>
      <c r="M337">
        <v>54.32</v>
      </c>
      <c r="O337">
        <v>6.35</v>
      </c>
      <c r="P337">
        <v>4.6500000000000004</v>
      </c>
      <c r="Q337">
        <v>0</v>
      </c>
      <c r="R337">
        <v>0</v>
      </c>
    </row>
    <row r="338" spans="1:18" x14ac:dyDescent="0.25">
      <c r="A338">
        <v>140</v>
      </c>
      <c r="B338">
        <v>70.14</v>
      </c>
      <c r="C338">
        <f>ROUNDDOWN(3.18818181818182,0)</f>
        <v>3</v>
      </c>
      <c r="D338">
        <v>2.2400000000000002</v>
      </c>
      <c r="F338">
        <v>0.28999999999999998</v>
      </c>
      <c r="G338">
        <v>0.78</v>
      </c>
      <c r="H338">
        <v>-4.53</v>
      </c>
      <c r="I338">
        <v>29.39</v>
      </c>
      <c r="J338">
        <v>3.06</v>
      </c>
      <c r="K338">
        <v>-1.1299999999999999</v>
      </c>
      <c r="L338">
        <v>-0.85</v>
      </c>
      <c r="M338">
        <v>54.32</v>
      </c>
      <c r="O338">
        <v>6.41</v>
      </c>
      <c r="P338">
        <v>4.66</v>
      </c>
      <c r="Q338">
        <v>0</v>
      </c>
      <c r="R338">
        <v>0</v>
      </c>
    </row>
    <row r="339" spans="1:18" x14ac:dyDescent="0.25">
      <c r="A339">
        <v>140</v>
      </c>
      <c r="B339">
        <v>70.349999999999994</v>
      </c>
      <c r="C339">
        <f>ROUNDDOWN(3.19772727272727,0)</f>
        <v>3</v>
      </c>
      <c r="D339">
        <v>2.0099999999999998</v>
      </c>
      <c r="F339">
        <v>0.3</v>
      </c>
      <c r="G339">
        <v>0.8</v>
      </c>
      <c r="H339">
        <v>-4.58</v>
      </c>
      <c r="I339">
        <v>29.32</v>
      </c>
      <c r="J339">
        <v>3.1</v>
      </c>
      <c r="K339">
        <v>-0.98</v>
      </c>
      <c r="L339">
        <v>-0.9</v>
      </c>
      <c r="M339">
        <v>54.32</v>
      </c>
      <c r="O339">
        <v>6.46</v>
      </c>
      <c r="P339">
        <v>4.67</v>
      </c>
      <c r="Q339">
        <v>0</v>
      </c>
      <c r="R339">
        <v>0</v>
      </c>
    </row>
    <row r="340" spans="1:18" x14ac:dyDescent="0.25">
      <c r="A340">
        <v>140</v>
      </c>
      <c r="B340">
        <v>70.56</v>
      </c>
      <c r="C340">
        <f>ROUNDDOWN(3.20727272727273,0)</f>
        <v>3</v>
      </c>
      <c r="D340">
        <v>1.73</v>
      </c>
      <c r="F340">
        <v>0.28999999999999998</v>
      </c>
      <c r="G340">
        <v>0.8</v>
      </c>
      <c r="H340">
        <v>-4.59</v>
      </c>
      <c r="I340">
        <v>29.22</v>
      </c>
      <c r="J340">
        <v>3.14</v>
      </c>
      <c r="K340">
        <v>-0.78</v>
      </c>
      <c r="L340">
        <v>-0.9</v>
      </c>
      <c r="M340">
        <v>54.32</v>
      </c>
      <c r="O340">
        <v>6.52</v>
      </c>
      <c r="P340">
        <v>4.68</v>
      </c>
      <c r="Q340">
        <v>0</v>
      </c>
      <c r="R340">
        <v>0</v>
      </c>
    </row>
    <row r="341" spans="1:18" x14ac:dyDescent="0.25">
      <c r="A341">
        <v>140</v>
      </c>
      <c r="B341">
        <v>70.77</v>
      </c>
      <c r="C341">
        <f>ROUNDDOWN(3.21681818181818,0)</f>
        <v>3</v>
      </c>
      <c r="D341">
        <v>1.56</v>
      </c>
      <c r="F341">
        <v>0.28000000000000003</v>
      </c>
      <c r="G341">
        <v>0.8</v>
      </c>
      <c r="H341">
        <v>-4.5</v>
      </c>
      <c r="I341">
        <v>29.19</v>
      </c>
      <c r="J341">
        <v>3.18</v>
      </c>
      <c r="K341">
        <v>-0.52</v>
      </c>
      <c r="L341">
        <v>-0.77</v>
      </c>
      <c r="M341">
        <v>54.32</v>
      </c>
      <c r="O341">
        <v>6.58</v>
      </c>
      <c r="P341">
        <v>4.6900000000000004</v>
      </c>
      <c r="Q341">
        <v>0</v>
      </c>
      <c r="R341">
        <v>0</v>
      </c>
    </row>
    <row r="342" spans="1:18" x14ac:dyDescent="0.25">
      <c r="A342">
        <v>140</v>
      </c>
      <c r="B342">
        <v>70.98</v>
      </c>
      <c r="C342">
        <f>ROUNDDOWN(3.22636363636364,0)</f>
        <v>3</v>
      </c>
      <c r="D342">
        <v>1.56</v>
      </c>
      <c r="F342">
        <v>0.28000000000000003</v>
      </c>
      <c r="G342">
        <v>0.81</v>
      </c>
      <c r="H342">
        <v>-4.3499999999999996</v>
      </c>
      <c r="I342">
        <v>29.27</v>
      </c>
      <c r="J342">
        <v>3.21</v>
      </c>
      <c r="K342">
        <v>-0.28999999999999998</v>
      </c>
      <c r="L342">
        <v>-0.54</v>
      </c>
      <c r="M342">
        <v>54.32</v>
      </c>
      <c r="O342">
        <v>6.64</v>
      </c>
      <c r="P342">
        <v>4.7</v>
      </c>
      <c r="Q342">
        <v>0</v>
      </c>
      <c r="R342">
        <v>0</v>
      </c>
    </row>
    <row r="343" spans="1:18" x14ac:dyDescent="0.25">
      <c r="A343">
        <v>140</v>
      </c>
      <c r="B343">
        <v>71.19</v>
      </c>
      <c r="C343">
        <f>ROUNDDOWN(3.23590909090909,0)</f>
        <v>3</v>
      </c>
      <c r="D343">
        <v>1.66</v>
      </c>
      <c r="F343">
        <v>0.27</v>
      </c>
      <c r="G343">
        <v>0.82</v>
      </c>
      <c r="H343">
        <v>-4.24</v>
      </c>
      <c r="I343">
        <v>29.46</v>
      </c>
      <c r="J343">
        <v>3.24</v>
      </c>
      <c r="K343">
        <v>-0.15</v>
      </c>
      <c r="L343">
        <v>-0.28999999999999998</v>
      </c>
      <c r="M343">
        <v>54.32</v>
      </c>
      <c r="O343">
        <v>6.69</v>
      </c>
      <c r="P343">
        <v>4.71</v>
      </c>
      <c r="Q343">
        <v>0</v>
      </c>
      <c r="R343">
        <v>0</v>
      </c>
    </row>
    <row r="344" spans="1:18" x14ac:dyDescent="0.25">
      <c r="A344">
        <v>140</v>
      </c>
      <c r="B344">
        <v>71.399999999999991</v>
      </c>
      <c r="C344">
        <f>ROUNDDOWN(3.24545454545455,0)</f>
        <v>3</v>
      </c>
      <c r="D344">
        <v>1.72</v>
      </c>
      <c r="F344">
        <v>0.27</v>
      </c>
      <c r="G344">
        <v>0.82</v>
      </c>
      <c r="H344">
        <v>-4.1100000000000003</v>
      </c>
      <c r="I344">
        <v>29.67</v>
      </c>
      <c r="J344">
        <v>3.26</v>
      </c>
      <c r="K344">
        <v>0</v>
      </c>
      <c r="L344">
        <v>-0.04</v>
      </c>
      <c r="M344">
        <v>54.32</v>
      </c>
      <c r="O344">
        <v>6.75</v>
      </c>
      <c r="P344">
        <v>4.71</v>
      </c>
      <c r="Q344">
        <v>0</v>
      </c>
      <c r="R344">
        <v>0</v>
      </c>
    </row>
    <row r="345" spans="1:18" x14ac:dyDescent="0.25">
      <c r="A345">
        <v>140</v>
      </c>
      <c r="B345">
        <v>71.61</v>
      </c>
      <c r="C345">
        <f>ROUNDDOWN(3.255,0)</f>
        <v>3</v>
      </c>
      <c r="D345">
        <v>1.62</v>
      </c>
      <c r="F345">
        <v>0.26</v>
      </c>
      <c r="G345">
        <v>0.82</v>
      </c>
      <c r="H345">
        <v>-3.89</v>
      </c>
      <c r="I345">
        <v>29.8</v>
      </c>
      <c r="J345">
        <v>3.27</v>
      </c>
      <c r="K345">
        <v>0.27</v>
      </c>
      <c r="L345">
        <v>0.26</v>
      </c>
      <c r="M345">
        <v>54.32</v>
      </c>
      <c r="O345">
        <v>6.81</v>
      </c>
      <c r="P345">
        <v>4.72</v>
      </c>
      <c r="Q345">
        <v>0</v>
      </c>
      <c r="R345">
        <v>0</v>
      </c>
    </row>
    <row r="346" spans="1:18" x14ac:dyDescent="0.25">
      <c r="A346">
        <v>140</v>
      </c>
      <c r="B346">
        <v>71.819999999999993</v>
      </c>
      <c r="C346">
        <f>ROUNDDOWN(3.26454545454545,0)</f>
        <v>3</v>
      </c>
      <c r="D346">
        <v>1.34</v>
      </c>
      <c r="F346">
        <v>0.23</v>
      </c>
      <c r="G346">
        <v>0.81</v>
      </c>
      <c r="H346">
        <v>-3.69</v>
      </c>
      <c r="I346">
        <v>29.78</v>
      </c>
      <c r="J346">
        <v>3.27</v>
      </c>
      <c r="K346">
        <v>0.56999999999999995</v>
      </c>
      <c r="L346">
        <v>0.44</v>
      </c>
      <c r="M346">
        <v>54.32</v>
      </c>
      <c r="O346">
        <v>6.87</v>
      </c>
      <c r="P346">
        <v>4.7300000000000004</v>
      </c>
      <c r="Q346">
        <v>0</v>
      </c>
      <c r="R346">
        <v>0</v>
      </c>
    </row>
    <row r="347" spans="1:18" x14ac:dyDescent="0.25">
      <c r="A347">
        <v>140</v>
      </c>
      <c r="B347">
        <v>72.03</v>
      </c>
      <c r="C347">
        <f>ROUNDDOWN(3.27409090909091,0)</f>
        <v>3</v>
      </c>
      <c r="D347">
        <v>1.03</v>
      </c>
      <c r="F347">
        <v>0.2</v>
      </c>
      <c r="G347">
        <v>0.78</v>
      </c>
      <c r="H347">
        <v>-3.59</v>
      </c>
      <c r="I347">
        <v>29.72</v>
      </c>
      <c r="J347">
        <v>3.26</v>
      </c>
      <c r="K347">
        <v>0.78</v>
      </c>
      <c r="L347">
        <v>0.51</v>
      </c>
      <c r="M347">
        <v>54.33</v>
      </c>
      <c r="O347">
        <v>6.93</v>
      </c>
      <c r="P347">
        <v>4.74</v>
      </c>
      <c r="Q347">
        <v>0</v>
      </c>
      <c r="R347">
        <v>0</v>
      </c>
    </row>
    <row r="348" spans="1:18" x14ac:dyDescent="0.25">
      <c r="A348">
        <v>140</v>
      </c>
      <c r="B348">
        <v>72.239999999999995</v>
      </c>
      <c r="C348">
        <f>ROUNDDOWN(3.28363636363636,0)</f>
        <v>3</v>
      </c>
      <c r="D348">
        <v>0.79</v>
      </c>
      <c r="F348">
        <v>0.15</v>
      </c>
      <c r="G348">
        <v>0.74</v>
      </c>
      <c r="H348">
        <v>-3.43</v>
      </c>
      <c r="I348">
        <v>29.75</v>
      </c>
      <c r="J348">
        <v>3.24</v>
      </c>
      <c r="K348">
        <v>0.98</v>
      </c>
      <c r="L348">
        <v>0.66</v>
      </c>
      <c r="M348">
        <v>54.33</v>
      </c>
      <c r="O348">
        <v>6.99</v>
      </c>
      <c r="P348">
        <v>4.75</v>
      </c>
      <c r="Q348">
        <v>0</v>
      </c>
      <c r="R348">
        <v>0</v>
      </c>
    </row>
    <row r="349" spans="1:18" x14ac:dyDescent="0.25">
      <c r="A349">
        <v>140</v>
      </c>
      <c r="B349">
        <v>72.45</v>
      </c>
      <c r="C349">
        <f>ROUNDDOWN(3.29318181818182,0)</f>
        <v>3</v>
      </c>
      <c r="D349">
        <v>0.65</v>
      </c>
      <c r="F349">
        <v>0.13</v>
      </c>
      <c r="G349">
        <v>0.73</v>
      </c>
      <c r="H349">
        <v>-3.23</v>
      </c>
      <c r="I349">
        <v>29.86</v>
      </c>
      <c r="J349">
        <v>3.2</v>
      </c>
      <c r="K349">
        <v>1.18</v>
      </c>
      <c r="L349">
        <v>0.9</v>
      </c>
      <c r="M349">
        <v>54.33</v>
      </c>
      <c r="O349">
        <v>7.05</v>
      </c>
      <c r="P349">
        <v>4.76</v>
      </c>
      <c r="Q349">
        <v>0</v>
      </c>
      <c r="R349">
        <v>0</v>
      </c>
    </row>
    <row r="350" spans="1:18" x14ac:dyDescent="0.25">
      <c r="A350">
        <v>140</v>
      </c>
      <c r="B350">
        <v>72.66</v>
      </c>
      <c r="C350">
        <f>ROUNDDOWN(3.30272727272727,0)</f>
        <v>3</v>
      </c>
      <c r="D350">
        <v>0.56999999999999995</v>
      </c>
      <c r="F350">
        <v>0.16</v>
      </c>
      <c r="G350">
        <v>0.76</v>
      </c>
      <c r="H350">
        <v>-3.02</v>
      </c>
      <c r="I350">
        <v>29.94</v>
      </c>
      <c r="J350">
        <v>3.16</v>
      </c>
      <c r="K350">
        <v>1.39</v>
      </c>
      <c r="L350">
        <v>1.1100000000000001</v>
      </c>
      <c r="M350">
        <v>54.33</v>
      </c>
      <c r="O350">
        <v>7.11</v>
      </c>
      <c r="P350">
        <v>4.78</v>
      </c>
      <c r="Q350">
        <v>0</v>
      </c>
      <c r="R350">
        <v>0</v>
      </c>
    </row>
    <row r="351" spans="1:18" x14ac:dyDescent="0.25">
      <c r="A351">
        <v>140</v>
      </c>
      <c r="B351">
        <v>72.86999999999999</v>
      </c>
      <c r="C351">
        <f>ROUNDDOWN(3.31227272727273,0)</f>
        <v>3</v>
      </c>
      <c r="D351">
        <v>0.43</v>
      </c>
      <c r="F351">
        <v>0.2</v>
      </c>
      <c r="G351">
        <v>0.81</v>
      </c>
      <c r="H351">
        <v>-2.93</v>
      </c>
      <c r="I351">
        <v>29.86</v>
      </c>
      <c r="J351">
        <v>3.12</v>
      </c>
      <c r="K351">
        <v>1.55</v>
      </c>
      <c r="L351">
        <v>1.1100000000000001</v>
      </c>
      <c r="M351">
        <v>54.33</v>
      </c>
      <c r="O351">
        <v>7.17</v>
      </c>
      <c r="P351">
        <v>4.79</v>
      </c>
      <c r="Q351">
        <v>0</v>
      </c>
      <c r="R351">
        <v>0</v>
      </c>
    </row>
    <row r="352" spans="1:18" x14ac:dyDescent="0.25">
      <c r="A352">
        <v>140</v>
      </c>
      <c r="B352">
        <v>73.08</v>
      </c>
      <c r="C352">
        <f>ROUNDDOWN(3.32181818181818,0)</f>
        <v>3</v>
      </c>
      <c r="D352">
        <v>0.28000000000000003</v>
      </c>
      <c r="F352">
        <v>0.23</v>
      </c>
      <c r="G352">
        <v>0.85</v>
      </c>
      <c r="H352">
        <v>-2.83</v>
      </c>
      <c r="I352">
        <v>29.7</v>
      </c>
      <c r="J352">
        <v>3.06</v>
      </c>
      <c r="K352">
        <v>1.74</v>
      </c>
      <c r="L352">
        <v>1.1000000000000001</v>
      </c>
      <c r="M352">
        <v>54.33</v>
      </c>
      <c r="O352">
        <v>7.23</v>
      </c>
      <c r="P352">
        <v>4.8</v>
      </c>
      <c r="Q352">
        <v>0</v>
      </c>
      <c r="R352">
        <v>0</v>
      </c>
    </row>
    <row r="353" spans="1:18" x14ac:dyDescent="0.25">
      <c r="A353">
        <v>140</v>
      </c>
      <c r="B353">
        <v>73.289999999999992</v>
      </c>
      <c r="C353">
        <f>ROUNDDOWN(3.33136363636364,0)</f>
        <v>3</v>
      </c>
      <c r="D353">
        <v>0.2</v>
      </c>
      <c r="F353">
        <v>0.22</v>
      </c>
      <c r="G353">
        <v>0.85</v>
      </c>
      <c r="H353">
        <v>-2.66</v>
      </c>
      <c r="I353">
        <v>29.59</v>
      </c>
      <c r="J353">
        <v>3.01</v>
      </c>
      <c r="K353">
        <v>1.95</v>
      </c>
      <c r="L353">
        <v>1.17</v>
      </c>
      <c r="M353">
        <v>54.33</v>
      </c>
      <c r="O353">
        <v>7.29</v>
      </c>
      <c r="P353">
        <v>4.8099999999999996</v>
      </c>
      <c r="Q353">
        <v>0</v>
      </c>
      <c r="R353">
        <v>0</v>
      </c>
    </row>
    <row r="354" spans="1:18" x14ac:dyDescent="0.25">
      <c r="A354">
        <v>140</v>
      </c>
      <c r="B354">
        <v>73.5</v>
      </c>
      <c r="C354">
        <f>ROUNDDOWN(3.34090909090909,0)</f>
        <v>3</v>
      </c>
      <c r="D354">
        <v>0.26</v>
      </c>
      <c r="F354">
        <v>0.22</v>
      </c>
      <c r="G354">
        <v>0.86</v>
      </c>
      <c r="H354">
        <v>-2.5</v>
      </c>
      <c r="I354">
        <v>29.59</v>
      </c>
      <c r="J354">
        <v>2.95</v>
      </c>
      <c r="K354">
        <v>2.09</v>
      </c>
      <c r="L354">
        <v>1.29</v>
      </c>
      <c r="M354">
        <v>54.33</v>
      </c>
      <c r="O354">
        <v>7.35</v>
      </c>
      <c r="P354">
        <v>4.82</v>
      </c>
      <c r="Q354">
        <v>0</v>
      </c>
      <c r="R354">
        <v>0</v>
      </c>
    </row>
    <row r="355" spans="1:18" x14ac:dyDescent="0.25">
      <c r="A355">
        <v>140</v>
      </c>
      <c r="B355">
        <v>73.709999999999994</v>
      </c>
      <c r="C355">
        <f>ROUNDDOWN(3.35045454545455,0)</f>
        <v>3</v>
      </c>
      <c r="D355">
        <v>0.42</v>
      </c>
      <c r="F355">
        <v>0.21</v>
      </c>
      <c r="G355">
        <v>0.86</v>
      </c>
      <c r="H355">
        <v>-2.4300000000000002</v>
      </c>
      <c r="I355">
        <v>29.64</v>
      </c>
      <c r="J355">
        <v>2.9</v>
      </c>
      <c r="K355">
        <v>2.11</v>
      </c>
      <c r="L355">
        <v>1.34</v>
      </c>
      <c r="M355">
        <v>54.33</v>
      </c>
      <c r="O355">
        <v>7.41</v>
      </c>
      <c r="P355">
        <v>4.83</v>
      </c>
      <c r="Q355">
        <v>0</v>
      </c>
      <c r="R355">
        <v>0</v>
      </c>
    </row>
    <row r="356" spans="1:18" x14ac:dyDescent="0.25">
      <c r="A356">
        <v>140</v>
      </c>
      <c r="B356">
        <v>73.92</v>
      </c>
      <c r="C356">
        <f>ROUNDDOWN(3.36,0)</f>
        <v>3</v>
      </c>
      <c r="D356">
        <v>0.46</v>
      </c>
      <c r="F356">
        <v>0.16</v>
      </c>
      <c r="G356">
        <v>0.82</v>
      </c>
      <c r="H356">
        <v>-2.37</v>
      </c>
      <c r="I356">
        <v>29.65</v>
      </c>
      <c r="J356">
        <v>2.85</v>
      </c>
      <c r="K356">
        <v>2.13</v>
      </c>
      <c r="L356">
        <v>1.36</v>
      </c>
      <c r="M356">
        <v>54.33</v>
      </c>
      <c r="O356">
        <v>7.47</v>
      </c>
      <c r="P356">
        <v>4.84</v>
      </c>
      <c r="Q356">
        <v>0</v>
      </c>
      <c r="R356">
        <v>0</v>
      </c>
    </row>
    <row r="357" spans="1:18" x14ac:dyDescent="0.25">
      <c r="A357">
        <v>140</v>
      </c>
      <c r="B357">
        <v>74.13</v>
      </c>
      <c r="C357">
        <f>ROUNDDOWN(3.36954545454545,0)</f>
        <v>3</v>
      </c>
      <c r="D357">
        <v>0.36</v>
      </c>
      <c r="F357">
        <v>0.11</v>
      </c>
      <c r="G357">
        <v>0.77</v>
      </c>
      <c r="H357">
        <v>-2.2599999999999998</v>
      </c>
      <c r="I357">
        <v>29.63</v>
      </c>
      <c r="J357">
        <v>2.81</v>
      </c>
      <c r="K357">
        <v>2.21</v>
      </c>
      <c r="L357">
        <v>1.41</v>
      </c>
      <c r="M357">
        <v>54.33</v>
      </c>
      <c r="O357">
        <v>7.53</v>
      </c>
      <c r="P357">
        <v>4.8499999999999996</v>
      </c>
      <c r="Q357">
        <v>0</v>
      </c>
      <c r="R357">
        <v>0</v>
      </c>
    </row>
    <row r="358" spans="1:18" x14ac:dyDescent="0.25">
      <c r="A358">
        <v>140</v>
      </c>
      <c r="B358">
        <v>74.34</v>
      </c>
      <c r="C358">
        <f>ROUNDDOWN(3.37909090909091,0)</f>
        <v>3</v>
      </c>
      <c r="D358">
        <v>0.17</v>
      </c>
      <c r="F358">
        <v>0.05</v>
      </c>
      <c r="G358">
        <v>0.72</v>
      </c>
      <c r="H358">
        <v>-2.14</v>
      </c>
      <c r="I358">
        <v>29.63</v>
      </c>
      <c r="J358">
        <v>2.78</v>
      </c>
      <c r="K358">
        <v>2.27</v>
      </c>
      <c r="L358">
        <v>1.47</v>
      </c>
      <c r="M358">
        <v>54.33</v>
      </c>
      <c r="O358">
        <v>7.59</v>
      </c>
      <c r="P358">
        <v>4.8499999999999996</v>
      </c>
      <c r="Q358">
        <v>0</v>
      </c>
      <c r="R358">
        <v>0</v>
      </c>
    </row>
    <row r="359" spans="1:18" x14ac:dyDescent="0.25">
      <c r="A359">
        <v>140</v>
      </c>
      <c r="B359">
        <v>74.55</v>
      </c>
      <c r="C359">
        <f>ROUNDDOWN(3.38863636363636,0)</f>
        <v>3</v>
      </c>
      <c r="D359">
        <v>0</v>
      </c>
      <c r="F359">
        <v>0.01</v>
      </c>
      <c r="G359">
        <v>0.68</v>
      </c>
      <c r="H359">
        <v>-2.0499999999999998</v>
      </c>
      <c r="I359">
        <v>29.67</v>
      </c>
      <c r="J359">
        <v>2.75</v>
      </c>
      <c r="K359">
        <v>2.2799999999999998</v>
      </c>
      <c r="L359">
        <v>1.52</v>
      </c>
      <c r="M359">
        <v>54.33</v>
      </c>
      <c r="O359">
        <v>7.65</v>
      </c>
      <c r="P359">
        <v>4.8600000000000003</v>
      </c>
      <c r="Q359">
        <v>0</v>
      </c>
      <c r="R359">
        <v>0</v>
      </c>
    </row>
    <row r="360" spans="1:18" x14ac:dyDescent="0.25">
      <c r="A360">
        <v>140</v>
      </c>
      <c r="B360">
        <v>74.759999999999991</v>
      </c>
      <c r="C360">
        <f>ROUNDDOWN(3.39818181818182,0)</f>
        <v>3</v>
      </c>
      <c r="D360">
        <v>-0.1</v>
      </c>
      <c r="F360">
        <v>-0.02</v>
      </c>
      <c r="G360">
        <v>0.65</v>
      </c>
      <c r="H360">
        <v>-1.98</v>
      </c>
      <c r="I360">
        <v>29.7</v>
      </c>
      <c r="J360">
        <v>2.72</v>
      </c>
      <c r="K360">
        <v>2.2799999999999998</v>
      </c>
      <c r="L360">
        <v>1.55</v>
      </c>
      <c r="M360">
        <v>54.33</v>
      </c>
      <c r="O360">
        <v>7.72</v>
      </c>
      <c r="P360">
        <v>4.87</v>
      </c>
      <c r="Q360">
        <v>0</v>
      </c>
      <c r="R360">
        <v>0</v>
      </c>
    </row>
    <row r="361" spans="1:18" x14ac:dyDescent="0.25">
      <c r="A361">
        <v>140</v>
      </c>
      <c r="B361">
        <v>74.97</v>
      </c>
      <c r="C361">
        <f>ROUNDDOWN(3.40772727272727,0)</f>
        <v>3</v>
      </c>
      <c r="D361">
        <v>-0.12</v>
      </c>
      <c r="F361">
        <v>-0.03</v>
      </c>
      <c r="G361">
        <v>0.64</v>
      </c>
      <c r="H361">
        <v>-1.85</v>
      </c>
      <c r="I361">
        <v>29.67</v>
      </c>
      <c r="J361">
        <v>2.7</v>
      </c>
      <c r="K361">
        <v>2.35</v>
      </c>
      <c r="L361">
        <v>1.59</v>
      </c>
      <c r="M361">
        <v>54.33</v>
      </c>
      <c r="O361">
        <v>7.78</v>
      </c>
      <c r="P361">
        <v>4.88</v>
      </c>
      <c r="Q361">
        <v>0</v>
      </c>
      <c r="R361">
        <v>0</v>
      </c>
    </row>
    <row r="362" spans="1:18" x14ac:dyDescent="0.25">
      <c r="A362">
        <v>140</v>
      </c>
      <c r="B362">
        <v>75.179999999999993</v>
      </c>
      <c r="C362">
        <f>ROUNDDOWN(3.41727272727273,0)</f>
        <v>3</v>
      </c>
      <c r="D362">
        <v>-0.1</v>
      </c>
      <c r="F362">
        <v>0.01</v>
      </c>
      <c r="G362">
        <v>0.67</v>
      </c>
      <c r="H362">
        <v>-1.78</v>
      </c>
      <c r="I362">
        <v>29.63</v>
      </c>
      <c r="J362">
        <v>2.68</v>
      </c>
      <c r="K362">
        <v>2.36</v>
      </c>
      <c r="L362">
        <v>1.57</v>
      </c>
      <c r="M362">
        <v>54.33</v>
      </c>
      <c r="O362">
        <v>7.84</v>
      </c>
      <c r="P362">
        <v>4.8899999999999997</v>
      </c>
      <c r="Q362">
        <v>0</v>
      </c>
      <c r="R362">
        <v>0</v>
      </c>
    </row>
    <row r="363" spans="1:18" x14ac:dyDescent="0.25">
      <c r="A363">
        <v>140</v>
      </c>
      <c r="B363">
        <v>75.39</v>
      </c>
      <c r="C363">
        <f>ROUNDDOWN(3.42681818181818,0)</f>
        <v>3</v>
      </c>
      <c r="D363">
        <v>-0.11</v>
      </c>
      <c r="F363">
        <v>0.04</v>
      </c>
      <c r="G363">
        <v>0.7</v>
      </c>
      <c r="H363">
        <v>-1.77</v>
      </c>
      <c r="I363">
        <v>29.65</v>
      </c>
      <c r="J363">
        <v>2.67</v>
      </c>
      <c r="K363">
        <v>2.2799999999999998</v>
      </c>
      <c r="L363">
        <v>1.53</v>
      </c>
      <c r="M363">
        <v>54.33</v>
      </c>
      <c r="O363">
        <v>7.9</v>
      </c>
      <c r="P363">
        <v>4.9000000000000004</v>
      </c>
      <c r="Q363">
        <v>0</v>
      </c>
      <c r="R363">
        <v>0</v>
      </c>
    </row>
    <row r="364" spans="1:18" x14ac:dyDescent="0.25">
      <c r="A364">
        <v>140</v>
      </c>
      <c r="B364">
        <v>75.599999999999994</v>
      </c>
      <c r="C364">
        <f>ROUNDDOWN(3.43636363636364,0)</f>
        <v>3</v>
      </c>
      <c r="D364">
        <v>-0.13</v>
      </c>
      <c r="F364">
        <v>0.04</v>
      </c>
      <c r="G364">
        <v>0.71</v>
      </c>
      <c r="H364">
        <v>-1.76</v>
      </c>
      <c r="I364">
        <v>29.73</v>
      </c>
      <c r="J364">
        <v>2.66</v>
      </c>
      <c r="K364">
        <v>2.17</v>
      </c>
      <c r="L364">
        <v>1.52</v>
      </c>
      <c r="M364">
        <v>54.33</v>
      </c>
      <c r="O364">
        <v>7.97</v>
      </c>
      <c r="P364">
        <v>4.91</v>
      </c>
      <c r="Q364">
        <v>0</v>
      </c>
      <c r="R364">
        <v>0</v>
      </c>
    </row>
    <row r="365" spans="1:18" x14ac:dyDescent="0.25">
      <c r="A365">
        <v>140</v>
      </c>
      <c r="B365">
        <v>75.81</v>
      </c>
      <c r="C365">
        <f>ROUNDDOWN(3.44590909090909,0)</f>
        <v>3</v>
      </c>
      <c r="D365">
        <v>-0.06</v>
      </c>
      <c r="F365">
        <v>0.01</v>
      </c>
      <c r="G365">
        <v>0.68</v>
      </c>
      <c r="H365">
        <v>-1.61</v>
      </c>
      <c r="I365">
        <v>29.88</v>
      </c>
      <c r="J365">
        <v>2.64</v>
      </c>
      <c r="K365">
        <v>2.17</v>
      </c>
      <c r="L365">
        <v>1.67</v>
      </c>
      <c r="M365">
        <v>54.33</v>
      </c>
      <c r="O365">
        <v>8.0299999999999994</v>
      </c>
      <c r="P365">
        <v>4.92</v>
      </c>
      <c r="Q365">
        <v>0</v>
      </c>
      <c r="R365">
        <v>0</v>
      </c>
    </row>
    <row r="366" spans="1:18" x14ac:dyDescent="0.25">
      <c r="A366">
        <v>140</v>
      </c>
      <c r="B366">
        <v>76.02</v>
      </c>
      <c r="C366">
        <f>ROUNDDOWN(3.45545454545455,0)</f>
        <v>3</v>
      </c>
      <c r="D366">
        <v>0.14000000000000001</v>
      </c>
      <c r="F366">
        <v>-0.02</v>
      </c>
      <c r="G366">
        <v>0.64</v>
      </c>
      <c r="H366">
        <v>-1.41</v>
      </c>
      <c r="I366">
        <v>30</v>
      </c>
      <c r="J366">
        <v>2.63</v>
      </c>
      <c r="K366">
        <v>2.2200000000000002</v>
      </c>
      <c r="L366">
        <v>1.84</v>
      </c>
      <c r="M366">
        <v>54.34</v>
      </c>
      <c r="O366">
        <v>8.09</v>
      </c>
      <c r="P366">
        <v>4.9400000000000004</v>
      </c>
      <c r="Q366">
        <v>0</v>
      </c>
      <c r="R366">
        <v>0</v>
      </c>
    </row>
    <row r="367" spans="1:18" x14ac:dyDescent="0.25">
      <c r="A367">
        <v>140</v>
      </c>
      <c r="B367">
        <v>76.23</v>
      </c>
      <c r="C367">
        <f>ROUNDDOWN(3.465,0)</f>
        <v>3</v>
      </c>
      <c r="D367">
        <v>0.34</v>
      </c>
      <c r="F367">
        <v>-0.06</v>
      </c>
      <c r="G367">
        <v>0.6</v>
      </c>
      <c r="H367">
        <v>-1.18</v>
      </c>
      <c r="I367">
        <v>30.04</v>
      </c>
      <c r="J367">
        <v>2.61</v>
      </c>
      <c r="K367">
        <v>2.34</v>
      </c>
      <c r="L367">
        <v>1.98</v>
      </c>
      <c r="M367">
        <v>54.34</v>
      </c>
      <c r="O367">
        <v>8.16</v>
      </c>
      <c r="P367">
        <v>4.95</v>
      </c>
      <c r="Q367">
        <v>0</v>
      </c>
      <c r="R367">
        <v>0</v>
      </c>
    </row>
    <row r="368" spans="1:18" x14ac:dyDescent="0.25">
      <c r="A368">
        <v>140</v>
      </c>
      <c r="B368">
        <v>76.44</v>
      </c>
      <c r="C368">
        <f>ROUNDDOWN(3.47454545454545,0)</f>
        <v>3</v>
      </c>
      <c r="D368">
        <v>0.43</v>
      </c>
      <c r="F368">
        <v>-0.11</v>
      </c>
      <c r="G368">
        <v>0.55000000000000004</v>
      </c>
      <c r="H368">
        <v>-0.99</v>
      </c>
      <c r="I368">
        <v>30.02</v>
      </c>
      <c r="J368">
        <v>2.59</v>
      </c>
      <c r="K368">
        <v>2.44</v>
      </c>
      <c r="L368">
        <v>2.0699999999999998</v>
      </c>
      <c r="M368">
        <v>54.34</v>
      </c>
      <c r="O368">
        <v>8.2200000000000006</v>
      </c>
      <c r="P368">
        <v>4.97</v>
      </c>
      <c r="Q368">
        <v>0</v>
      </c>
      <c r="R368">
        <v>0</v>
      </c>
    </row>
    <row r="369" spans="1:18" x14ac:dyDescent="0.25">
      <c r="A369">
        <v>140</v>
      </c>
      <c r="B369">
        <v>76.649999999999991</v>
      </c>
      <c r="C369">
        <f>ROUNDDOWN(3.48409090909091,0)</f>
        <v>3</v>
      </c>
      <c r="D369">
        <v>0.4</v>
      </c>
      <c r="F369">
        <v>-0.13</v>
      </c>
      <c r="G369">
        <v>0.53</v>
      </c>
      <c r="H369">
        <v>-0.74</v>
      </c>
      <c r="I369">
        <v>29.99</v>
      </c>
      <c r="J369">
        <v>2.56</v>
      </c>
      <c r="K369">
        <v>2.59</v>
      </c>
      <c r="L369">
        <v>2.1800000000000002</v>
      </c>
      <c r="M369">
        <v>54.34</v>
      </c>
      <c r="O369">
        <v>8.2799999999999994</v>
      </c>
      <c r="P369">
        <v>4.99</v>
      </c>
      <c r="Q369">
        <v>0</v>
      </c>
      <c r="R369">
        <v>0</v>
      </c>
    </row>
    <row r="370" spans="1:18" x14ac:dyDescent="0.25">
      <c r="A370">
        <v>140</v>
      </c>
      <c r="B370">
        <v>76.86</v>
      </c>
      <c r="C370">
        <f>ROUNDDOWN(3.49363636363636,0)</f>
        <v>3</v>
      </c>
      <c r="D370">
        <v>0.34</v>
      </c>
      <c r="F370">
        <v>-0.13</v>
      </c>
      <c r="G370">
        <v>0.52</v>
      </c>
      <c r="H370">
        <v>-0.46</v>
      </c>
      <c r="I370">
        <v>29.98</v>
      </c>
      <c r="J370">
        <v>2.54</v>
      </c>
      <c r="K370">
        <v>2.76</v>
      </c>
      <c r="L370">
        <v>2.34</v>
      </c>
      <c r="M370">
        <v>54.34</v>
      </c>
      <c r="O370">
        <v>8.35</v>
      </c>
      <c r="P370">
        <v>5</v>
      </c>
      <c r="Q370">
        <v>0</v>
      </c>
      <c r="R370">
        <v>0</v>
      </c>
    </row>
    <row r="371" spans="1:18" x14ac:dyDescent="0.25">
      <c r="A371">
        <v>140</v>
      </c>
      <c r="B371">
        <v>77.069999999999993</v>
      </c>
      <c r="C371">
        <f>ROUNDDOWN(3.50318181818182,0)</f>
        <v>3</v>
      </c>
      <c r="D371">
        <v>0.32</v>
      </c>
      <c r="F371">
        <v>-0.14000000000000001</v>
      </c>
      <c r="G371">
        <v>0.5</v>
      </c>
      <c r="H371">
        <v>-0.26</v>
      </c>
      <c r="I371">
        <v>29.97</v>
      </c>
      <c r="J371">
        <v>2.5099999999999998</v>
      </c>
      <c r="K371">
        <v>2.82</v>
      </c>
      <c r="L371">
        <v>2.41</v>
      </c>
      <c r="M371">
        <v>54.34</v>
      </c>
      <c r="O371">
        <v>8.41</v>
      </c>
      <c r="P371">
        <v>5.0199999999999996</v>
      </c>
      <c r="Q371">
        <v>0</v>
      </c>
      <c r="R371">
        <v>0</v>
      </c>
    </row>
    <row r="372" spans="1:18" x14ac:dyDescent="0.25">
      <c r="A372">
        <v>140</v>
      </c>
      <c r="B372">
        <v>77.28</v>
      </c>
      <c r="C372">
        <f>ROUNDDOWN(3.51272727272727,0)</f>
        <v>3</v>
      </c>
      <c r="D372">
        <v>0.36</v>
      </c>
      <c r="F372">
        <v>-0.19</v>
      </c>
      <c r="G372">
        <v>0.44</v>
      </c>
      <c r="H372">
        <v>-0.15</v>
      </c>
      <c r="I372">
        <v>29.98</v>
      </c>
      <c r="J372">
        <v>2.48</v>
      </c>
      <c r="K372">
        <v>2.78</v>
      </c>
      <c r="L372">
        <v>2.4</v>
      </c>
      <c r="M372">
        <v>54.34</v>
      </c>
      <c r="O372">
        <v>8.48</v>
      </c>
      <c r="P372">
        <v>5.04</v>
      </c>
      <c r="Q372">
        <v>0</v>
      </c>
      <c r="R372">
        <v>0</v>
      </c>
    </row>
    <row r="373" spans="1:18" x14ac:dyDescent="0.25">
      <c r="A373">
        <v>140</v>
      </c>
      <c r="B373">
        <v>77.489999999999995</v>
      </c>
      <c r="C373">
        <f>ROUNDDOWN(3.52227272727273,0)</f>
        <v>3</v>
      </c>
      <c r="D373">
        <v>0.41</v>
      </c>
      <c r="F373">
        <v>-0.25</v>
      </c>
      <c r="G373">
        <v>0.36</v>
      </c>
      <c r="H373">
        <v>-0.08</v>
      </c>
      <c r="I373">
        <v>30.04</v>
      </c>
      <c r="J373">
        <v>2.4500000000000002</v>
      </c>
      <c r="K373">
        <v>2.68</v>
      </c>
      <c r="L373">
        <v>2.36</v>
      </c>
      <c r="M373">
        <v>54.34</v>
      </c>
      <c r="O373">
        <v>8.5399999999999991</v>
      </c>
      <c r="P373">
        <v>5.0599999999999996</v>
      </c>
      <c r="Q373">
        <v>0</v>
      </c>
      <c r="R373">
        <v>0</v>
      </c>
    </row>
    <row r="374" spans="1:18" x14ac:dyDescent="0.25">
      <c r="A374">
        <v>140</v>
      </c>
      <c r="B374">
        <v>77.7</v>
      </c>
      <c r="C374">
        <f>ROUNDDOWN(3.53181818181818,0)</f>
        <v>3</v>
      </c>
      <c r="D374">
        <v>0.47</v>
      </c>
      <c r="F374">
        <v>-0.31</v>
      </c>
      <c r="G374">
        <v>0.28999999999999998</v>
      </c>
      <c r="H374">
        <v>0.05</v>
      </c>
      <c r="I374">
        <v>30.15</v>
      </c>
      <c r="J374">
        <v>2.42</v>
      </c>
      <c r="K374">
        <v>2.61</v>
      </c>
      <c r="L374">
        <v>2.4</v>
      </c>
      <c r="M374">
        <v>54.34</v>
      </c>
      <c r="O374">
        <v>8.61</v>
      </c>
      <c r="P374">
        <v>5.08</v>
      </c>
      <c r="Q374">
        <v>0</v>
      </c>
      <c r="R374">
        <v>0</v>
      </c>
    </row>
    <row r="375" spans="1:18" x14ac:dyDescent="0.25">
      <c r="A375">
        <v>140</v>
      </c>
      <c r="B375">
        <v>77.91</v>
      </c>
      <c r="C375">
        <f>ROUNDDOWN(3.54136363636364,0)</f>
        <v>3</v>
      </c>
      <c r="D375">
        <v>0.6</v>
      </c>
      <c r="F375">
        <v>-0.35</v>
      </c>
      <c r="G375">
        <v>0.23</v>
      </c>
      <c r="H375">
        <v>0.1</v>
      </c>
      <c r="I375">
        <v>30.3</v>
      </c>
      <c r="J375">
        <v>2.39</v>
      </c>
      <c r="K375">
        <v>2.44</v>
      </c>
      <c r="L375">
        <v>2.39</v>
      </c>
      <c r="M375">
        <v>54.34</v>
      </c>
      <c r="O375">
        <v>8.67</v>
      </c>
      <c r="P375">
        <v>5.0999999999999996</v>
      </c>
      <c r="Q375">
        <v>0</v>
      </c>
      <c r="R375">
        <v>0</v>
      </c>
    </row>
    <row r="376" spans="1:18" x14ac:dyDescent="0.25">
      <c r="A376">
        <v>140</v>
      </c>
      <c r="B376">
        <v>78.11999999999999</v>
      </c>
      <c r="C376">
        <f>ROUNDDOWN(3.55090909090909,0)</f>
        <v>3</v>
      </c>
      <c r="D376">
        <v>0.79</v>
      </c>
      <c r="F376">
        <v>-0.39</v>
      </c>
      <c r="G376">
        <v>0.16</v>
      </c>
      <c r="H376">
        <v>0.09</v>
      </c>
      <c r="I376">
        <v>30.45</v>
      </c>
      <c r="J376">
        <v>2.37</v>
      </c>
      <c r="K376">
        <v>2.2200000000000002</v>
      </c>
      <c r="L376">
        <v>2.31</v>
      </c>
      <c r="M376">
        <v>54.34</v>
      </c>
      <c r="O376">
        <v>8.74</v>
      </c>
      <c r="P376">
        <v>5.12</v>
      </c>
      <c r="Q376">
        <v>0</v>
      </c>
      <c r="R376">
        <v>0</v>
      </c>
    </row>
    <row r="377" spans="1:18" x14ac:dyDescent="0.25">
      <c r="A377">
        <v>140</v>
      </c>
      <c r="B377">
        <v>78.33</v>
      </c>
      <c r="C377">
        <f>ROUNDDOWN(3.56045454545455,0)</f>
        <v>3</v>
      </c>
      <c r="D377">
        <v>1.02</v>
      </c>
      <c r="F377">
        <v>-0.44</v>
      </c>
      <c r="G377">
        <v>0.1</v>
      </c>
      <c r="H377">
        <v>0</v>
      </c>
      <c r="I377">
        <v>30.65</v>
      </c>
      <c r="J377">
        <v>2.36</v>
      </c>
      <c r="K377">
        <v>1.92</v>
      </c>
      <c r="L377">
        <v>2.17</v>
      </c>
      <c r="M377">
        <v>54.34</v>
      </c>
      <c r="O377">
        <v>8.8000000000000007</v>
      </c>
      <c r="P377">
        <v>5.14</v>
      </c>
      <c r="Q377">
        <v>0</v>
      </c>
      <c r="R377">
        <v>0</v>
      </c>
    </row>
    <row r="378" spans="1:18" x14ac:dyDescent="0.25">
      <c r="A378">
        <v>140</v>
      </c>
      <c r="B378">
        <v>78.539999999999992</v>
      </c>
      <c r="C378">
        <f>ROUNDDOWN(3.57,0)</f>
        <v>3</v>
      </c>
      <c r="D378">
        <v>1.19</v>
      </c>
      <c r="F378">
        <v>-0.49</v>
      </c>
      <c r="G378">
        <v>0.02</v>
      </c>
      <c r="H378">
        <v>-0.05</v>
      </c>
      <c r="I378">
        <v>30.84</v>
      </c>
      <c r="J378">
        <v>2.37</v>
      </c>
      <c r="K378">
        <v>1.66</v>
      </c>
      <c r="L378">
        <v>2.06</v>
      </c>
      <c r="M378">
        <v>54.34</v>
      </c>
      <c r="O378">
        <v>8.8699999999999992</v>
      </c>
      <c r="P378">
        <v>5.16</v>
      </c>
      <c r="Q378">
        <v>0</v>
      </c>
      <c r="R378">
        <v>0</v>
      </c>
    </row>
    <row r="379" spans="1:18" x14ac:dyDescent="0.25">
      <c r="A379">
        <v>140</v>
      </c>
      <c r="B379">
        <v>78.75</v>
      </c>
      <c r="C379">
        <f>ROUNDDOWN(3.57954545454545,0)</f>
        <v>3</v>
      </c>
      <c r="D379">
        <v>1.27</v>
      </c>
      <c r="F379">
        <v>-0.53</v>
      </c>
      <c r="G379">
        <v>-0.06</v>
      </c>
      <c r="H379">
        <v>-0.16</v>
      </c>
      <c r="I379">
        <v>31</v>
      </c>
      <c r="J379">
        <v>2.38</v>
      </c>
      <c r="K379">
        <v>1.37</v>
      </c>
      <c r="L379">
        <v>1.88</v>
      </c>
      <c r="M379">
        <v>54.34</v>
      </c>
      <c r="O379">
        <v>8.93</v>
      </c>
      <c r="P379">
        <v>5.18</v>
      </c>
      <c r="Q379">
        <v>0</v>
      </c>
      <c r="R379">
        <v>0</v>
      </c>
    </row>
    <row r="380" spans="1:18" x14ac:dyDescent="0.25">
      <c r="A380">
        <v>140</v>
      </c>
      <c r="B380">
        <v>78.959999999999994</v>
      </c>
      <c r="C380">
        <f>ROUNDDOWN(3.58909090909091,0)</f>
        <v>3</v>
      </c>
      <c r="D380">
        <v>1.17</v>
      </c>
      <c r="F380">
        <v>-0.55000000000000004</v>
      </c>
      <c r="G380">
        <v>-0.11</v>
      </c>
      <c r="H380">
        <v>-0.32</v>
      </c>
      <c r="I380">
        <v>31.05</v>
      </c>
      <c r="J380">
        <v>2.4</v>
      </c>
      <c r="K380">
        <v>1.1100000000000001</v>
      </c>
      <c r="L380">
        <v>1.61</v>
      </c>
      <c r="M380">
        <v>54.34</v>
      </c>
      <c r="O380">
        <v>9</v>
      </c>
      <c r="P380">
        <v>5.21</v>
      </c>
      <c r="Q380">
        <v>0</v>
      </c>
      <c r="R380">
        <v>0</v>
      </c>
    </row>
    <row r="381" spans="1:18" x14ac:dyDescent="0.25">
      <c r="A381">
        <v>140</v>
      </c>
      <c r="B381">
        <v>79.17</v>
      </c>
      <c r="C381">
        <f>ROUNDDOWN(3.59863636363636,0)</f>
        <v>3</v>
      </c>
      <c r="D381">
        <v>0.98</v>
      </c>
      <c r="F381">
        <v>-0.54</v>
      </c>
      <c r="G381">
        <v>-0.12</v>
      </c>
      <c r="H381">
        <v>-0.54</v>
      </c>
      <c r="I381">
        <v>30.98</v>
      </c>
      <c r="J381">
        <v>2.42</v>
      </c>
      <c r="K381">
        <v>0.84</v>
      </c>
      <c r="L381">
        <v>1.22</v>
      </c>
      <c r="M381">
        <v>54.34</v>
      </c>
      <c r="O381">
        <v>9.07</v>
      </c>
      <c r="P381">
        <v>5.23</v>
      </c>
      <c r="Q381">
        <v>0</v>
      </c>
      <c r="R381">
        <v>0</v>
      </c>
    </row>
    <row r="382" spans="1:18" x14ac:dyDescent="0.25">
      <c r="A382">
        <v>140</v>
      </c>
      <c r="B382">
        <v>79.38</v>
      </c>
      <c r="C382">
        <f>ROUNDDOWN(3.60818181818182,0)</f>
        <v>3</v>
      </c>
      <c r="D382">
        <v>0.81</v>
      </c>
      <c r="F382">
        <v>-0.49</v>
      </c>
      <c r="G382">
        <v>-0.11</v>
      </c>
      <c r="H382">
        <v>-0.87</v>
      </c>
      <c r="I382">
        <v>30.85</v>
      </c>
      <c r="J382">
        <v>2.42</v>
      </c>
      <c r="K382">
        <v>0.51</v>
      </c>
      <c r="L382">
        <v>0.72</v>
      </c>
      <c r="M382">
        <v>54.34</v>
      </c>
      <c r="O382">
        <v>9.1300000000000008</v>
      </c>
      <c r="P382">
        <v>5.26</v>
      </c>
      <c r="Q382">
        <v>0</v>
      </c>
      <c r="R382">
        <v>0</v>
      </c>
    </row>
    <row r="383" spans="1:18" x14ac:dyDescent="0.25">
      <c r="A383">
        <v>140</v>
      </c>
      <c r="B383">
        <v>79.59</v>
      </c>
      <c r="C383">
        <f>ROUNDDOWN(3.61772727272727,0)</f>
        <v>3</v>
      </c>
      <c r="D383">
        <v>0.7</v>
      </c>
      <c r="F383">
        <v>-0.44</v>
      </c>
      <c r="G383">
        <v>-0.09</v>
      </c>
      <c r="H383">
        <v>-1.19</v>
      </c>
      <c r="I383">
        <v>30.72</v>
      </c>
      <c r="J383">
        <v>2.42</v>
      </c>
      <c r="K383">
        <v>0.2</v>
      </c>
      <c r="L383">
        <v>0.26</v>
      </c>
      <c r="M383">
        <v>54.34</v>
      </c>
      <c r="O383">
        <v>9.1999999999999993</v>
      </c>
      <c r="P383">
        <v>5.28</v>
      </c>
      <c r="Q383">
        <v>0</v>
      </c>
      <c r="R383">
        <v>0</v>
      </c>
    </row>
    <row r="384" spans="1:18" x14ac:dyDescent="0.25">
      <c r="A384">
        <v>140</v>
      </c>
      <c r="B384">
        <v>79.8</v>
      </c>
      <c r="C384">
        <f>ROUNDDOWN(3.62727272727273,0)</f>
        <v>3</v>
      </c>
      <c r="D384">
        <v>0.6</v>
      </c>
      <c r="F384">
        <v>-0.37</v>
      </c>
      <c r="G384">
        <v>-0.05</v>
      </c>
      <c r="H384">
        <v>-1.46</v>
      </c>
      <c r="I384">
        <v>30.59</v>
      </c>
      <c r="J384">
        <v>2.4</v>
      </c>
      <c r="K384">
        <v>-0.05</v>
      </c>
      <c r="L384">
        <v>-0.13</v>
      </c>
      <c r="M384">
        <v>54.35</v>
      </c>
      <c r="O384">
        <v>9.27</v>
      </c>
      <c r="P384">
        <v>5.31</v>
      </c>
      <c r="Q384">
        <v>0</v>
      </c>
      <c r="R384">
        <v>0</v>
      </c>
    </row>
    <row r="385" spans="1:18" x14ac:dyDescent="0.25">
      <c r="A385">
        <v>140</v>
      </c>
      <c r="B385">
        <v>80.009999999999991</v>
      </c>
      <c r="C385">
        <f>ROUNDDOWN(3.63681818181818,0)</f>
        <v>3</v>
      </c>
      <c r="D385">
        <v>0.42</v>
      </c>
      <c r="F385">
        <v>-0.27</v>
      </c>
      <c r="G385">
        <v>0.03</v>
      </c>
      <c r="H385">
        <v>-1.68</v>
      </c>
      <c r="I385">
        <v>30.4</v>
      </c>
      <c r="J385">
        <v>2.38</v>
      </c>
      <c r="K385">
        <v>-0.22</v>
      </c>
      <c r="L385">
        <v>-0.48</v>
      </c>
      <c r="M385">
        <v>54.35</v>
      </c>
      <c r="O385">
        <v>9.33</v>
      </c>
      <c r="P385">
        <v>5.34</v>
      </c>
      <c r="Q385">
        <v>0</v>
      </c>
      <c r="R385">
        <v>0</v>
      </c>
    </row>
    <row r="386" spans="1:18" x14ac:dyDescent="0.25">
      <c r="A386">
        <v>140</v>
      </c>
      <c r="B386">
        <v>80.22</v>
      </c>
      <c r="C386">
        <f>ROUNDDOWN(3.64636363636364,0)</f>
        <v>3</v>
      </c>
      <c r="D386">
        <v>0.22</v>
      </c>
      <c r="F386">
        <v>-0.19</v>
      </c>
      <c r="G386">
        <v>0.09</v>
      </c>
      <c r="H386">
        <v>-1.89</v>
      </c>
      <c r="I386">
        <v>30.19</v>
      </c>
      <c r="J386">
        <v>2.35</v>
      </c>
      <c r="K386">
        <v>-0.38</v>
      </c>
      <c r="L386">
        <v>-0.82</v>
      </c>
      <c r="M386">
        <v>54.35</v>
      </c>
      <c r="O386">
        <v>9.4</v>
      </c>
      <c r="P386">
        <v>5.36</v>
      </c>
      <c r="Q386">
        <v>0</v>
      </c>
      <c r="R386">
        <v>0</v>
      </c>
    </row>
    <row r="387" spans="1:18" x14ac:dyDescent="0.25">
      <c r="A387">
        <v>140</v>
      </c>
      <c r="B387">
        <v>80.429999999999993</v>
      </c>
      <c r="C387">
        <f>ROUNDDOWN(3.65590909090909,0)</f>
        <v>3</v>
      </c>
      <c r="D387">
        <v>0.06</v>
      </c>
      <c r="F387">
        <v>-0.1</v>
      </c>
      <c r="G387">
        <v>0.16</v>
      </c>
      <c r="H387">
        <v>-2.09</v>
      </c>
      <c r="I387">
        <v>30.04</v>
      </c>
      <c r="J387">
        <v>2.3199999999999998</v>
      </c>
      <c r="K387">
        <v>-0.54</v>
      </c>
      <c r="L387">
        <v>-1.08</v>
      </c>
      <c r="M387">
        <v>54.35</v>
      </c>
      <c r="O387">
        <v>9.4700000000000006</v>
      </c>
      <c r="P387">
        <v>5.39</v>
      </c>
      <c r="Q387">
        <v>0</v>
      </c>
      <c r="R387">
        <v>0</v>
      </c>
    </row>
    <row r="388" spans="1:18" x14ac:dyDescent="0.25">
      <c r="A388">
        <v>140</v>
      </c>
      <c r="B388">
        <v>80.64</v>
      </c>
      <c r="C388">
        <f>ROUNDDOWN(3.66545454545455,0)</f>
        <v>3</v>
      </c>
      <c r="D388">
        <v>0.06</v>
      </c>
      <c r="F388">
        <v>-0.03</v>
      </c>
      <c r="G388">
        <v>0.22</v>
      </c>
      <c r="H388">
        <v>-2.21</v>
      </c>
      <c r="I388">
        <v>30.1</v>
      </c>
      <c r="J388">
        <v>2.2799999999999998</v>
      </c>
      <c r="K388">
        <v>-0.72</v>
      </c>
      <c r="L388">
        <v>-1.1499999999999999</v>
      </c>
      <c r="M388">
        <v>54.35</v>
      </c>
      <c r="O388">
        <v>9.5399999999999991</v>
      </c>
      <c r="P388">
        <v>5.41</v>
      </c>
      <c r="Q388">
        <v>0</v>
      </c>
      <c r="R388">
        <v>0</v>
      </c>
    </row>
    <row r="389" spans="1:18" x14ac:dyDescent="0.25">
      <c r="A389">
        <v>140</v>
      </c>
      <c r="B389">
        <v>80.849999999999994</v>
      </c>
      <c r="C389">
        <f>ROUNDDOWN(3.675,0)</f>
        <v>3</v>
      </c>
      <c r="D389">
        <v>0.13</v>
      </c>
      <c r="F389">
        <v>0.02</v>
      </c>
      <c r="G389">
        <v>0.26</v>
      </c>
      <c r="H389">
        <v>-2.33</v>
      </c>
      <c r="I389">
        <v>30.27</v>
      </c>
      <c r="J389">
        <v>2.25</v>
      </c>
      <c r="K389">
        <v>-0.96</v>
      </c>
      <c r="L389">
        <v>-1.17</v>
      </c>
      <c r="M389">
        <v>54.35</v>
      </c>
      <c r="O389">
        <v>9.6</v>
      </c>
      <c r="P389">
        <v>5.44</v>
      </c>
      <c r="Q389">
        <v>0</v>
      </c>
      <c r="R389">
        <v>0</v>
      </c>
    </row>
    <row r="390" spans="1:18" x14ac:dyDescent="0.25">
      <c r="A390">
        <v>140</v>
      </c>
      <c r="B390">
        <v>81.06</v>
      </c>
      <c r="C390">
        <f>ROUNDDOWN(3.68454545454545,0)</f>
        <v>3</v>
      </c>
      <c r="D390">
        <v>0.2</v>
      </c>
      <c r="F390">
        <v>0.04</v>
      </c>
      <c r="G390">
        <v>0.27</v>
      </c>
      <c r="H390">
        <v>-2.4</v>
      </c>
      <c r="I390">
        <v>30.49</v>
      </c>
      <c r="J390">
        <v>2.23</v>
      </c>
      <c r="K390">
        <v>-1.1499999999999999</v>
      </c>
      <c r="L390">
        <v>-1.1200000000000001</v>
      </c>
      <c r="M390">
        <v>54.35</v>
      </c>
      <c r="O390">
        <v>9.67</v>
      </c>
      <c r="P390">
        <v>5.47</v>
      </c>
      <c r="Q390">
        <v>0</v>
      </c>
      <c r="R390">
        <v>0</v>
      </c>
    </row>
    <row r="391" spans="1:18" x14ac:dyDescent="0.25">
      <c r="A391">
        <v>140</v>
      </c>
      <c r="B391">
        <v>81.27</v>
      </c>
      <c r="C391">
        <f>ROUNDDOWN(3.69409090909091,0)</f>
        <v>3</v>
      </c>
      <c r="D391">
        <v>0.21</v>
      </c>
      <c r="F391">
        <v>0.06</v>
      </c>
      <c r="G391">
        <v>0.28000000000000003</v>
      </c>
      <c r="H391">
        <v>-2.4300000000000002</v>
      </c>
      <c r="I391">
        <v>30.67</v>
      </c>
      <c r="J391">
        <v>2.21</v>
      </c>
      <c r="K391">
        <v>-1.26</v>
      </c>
      <c r="L391">
        <v>-1.06</v>
      </c>
      <c r="M391">
        <v>54.35</v>
      </c>
      <c r="O391">
        <v>9.74</v>
      </c>
      <c r="P391">
        <v>5.5</v>
      </c>
      <c r="Q391">
        <v>0</v>
      </c>
      <c r="R391">
        <v>0</v>
      </c>
    </row>
    <row r="392" spans="1:18" x14ac:dyDescent="0.25">
      <c r="A392">
        <v>140</v>
      </c>
      <c r="B392">
        <v>81.48</v>
      </c>
      <c r="C392">
        <f>ROUNDDOWN(3.70363636363636,0)</f>
        <v>3</v>
      </c>
      <c r="D392">
        <v>0.2</v>
      </c>
      <c r="F392">
        <v>0.12</v>
      </c>
      <c r="G392">
        <v>0.34</v>
      </c>
      <c r="H392">
        <v>-2.39</v>
      </c>
      <c r="I392">
        <v>30.85</v>
      </c>
      <c r="J392">
        <v>2.19</v>
      </c>
      <c r="K392">
        <v>-1.31</v>
      </c>
      <c r="L392">
        <v>-0.93</v>
      </c>
      <c r="M392">
        <v>54.35</v>
      </c>
      <c r="O392">
        <v>9.81</v>
      </c>
      <c r="P392">
        <v>5.52</v>
      </c>
      <c r="Q392">
        <v>0</v>
      </c>
      <c r="R392">
        <v>0</v>
      </c>
    </row>
    <row r="393" spans="1:18" x14ac:dyDescent="0.25">
      <c r="A393">
        <v>140</v>
      </c>
      <c r="B393">
        <v>81.69</v>
      </c>
      <c r="C393">
        <f>ROUNDDOWN(3.71318181818182,0)</f>
        <v>3</v>
      </c>
      <c r="D393">
        <v>0.25</v>
      </c>
      <c r="F393">
        <v>0.25</v>
      </c>
      <c r="G393">
        <v>0.47</v>
      </c>
      <c r="H393">
        <v>-2.39</v>
      </c>
      <c r="I393">
        <v>31.08</v>
      </c>
      <c r="J393">
        <v>2.19</v>
      </c>
      <c r="K393">
        <v>-1.4</v>
      </c>
      <c r="L393">
        <v>-0.82</v>
      </c>
      <c r="M393">
        <v>54.35</v>
      </c>
      <c r="O393">
        <v>9.8800000000000008</v>
      </c>
      <c r="P393">
        <v>5.55</v>
      </c>
      <c r="Q393">
        <v>0</v>
      </c>
      <c r="R393">
        <v>0</v>
      </c>
    </row>
    <row r="394" spans="1:18" x14ac:dyDescent="0.25">
      <c r="A394">
        <v>140</v>
      </c>
      <c r="B394">
        <v>81.899999999999991</v>
      </c>
      <c r="C394">
        <f>ROUNDDOWN(3.72272727272727,0)</f>
        <v>3</v>
      </c>
      <c r="D394">
        <v>0.39</v>
      </c>
      <c r="F394">
        <v>0.39</v>
      </c>
      <c r="G394">
        <v>0.61</v>
      </c>
      <c r="H394">
        <v>-2.39</v>
      </c>
      <c r="I394">
        <v>31.39</v>
      </c>
      <c r="J394">
        <v>2.2000000000000002</v>
      </c>
      <c r="K394">
        <v>-1.53</v>
      </c>
      <c r="L394">
        <v>-0.69</v>
      </c>
      <c r="M394">
        <v>54.35</v>
      </c>
      <c r="O394">
        <v>9.9499999999999993</v>
      </c>
      <c r="P394">
        <v>5.57</v>
      </c>
      <c r="Q394">
        <v>0</v>
      </c>
      <c r="R394">
        <v>0</v>
      </c>
    </row>
    <row r="395" spans="1:18" x14ac:dyDescent="0.25">
      <c r="A395">
        <v>140</v>
      </c>
      <c r="B395">
        <v>82.11</v>
      </c>
      <c r="C395">
        <f>ROUNDDOWN(3.73227272727273,0)</f>
        <v>3</v>
      </c>
      <c r="D395">
        <v>0.63</v>
      </c>
      <c r="F395">
        <v>0.51</v>
      </c>
      <c r="G395">
        <v>0.74</v>
      </c>
      <c r="H395">
        <v>-2.34</v>
      </c>
      <c r="I395">
        <v>31.68</v>
      </c>
      <c r="J395">
        <v>2.25</v>
      </c>
      <c r="K395">
        <v>-1.59</v>
      </c>
      <c r="L395">
        <v>-0.53</v>
      </c>
      <c r="M395">
        <v>54.35</v>
      </c>
      <c r="O395">
        <v>10.01</v>
      </c>
      <c r="P395">
        <v>5.6</v>
      </c>
      <c r="Q395">
        <v>0</v>
      </c>
      <c r="R395">
        <v>0</v>
      </c>
    </row>
    <row r="396" spans="1:18" x14ac:dyDescent="0.25">
      <c r="A396">
        <v>140</v>
      </c>
      <c r="B396">
        <v>82.32</v>
      </c>
      <c r="C396">
        <f>ROUNDDOWN(3.74181818181818,0)</f>
        <v>3</v>
      </c>
      <c r="D396">
        <v>0.91</v>
      </c>
      <c r="F396">
        <v>0.61</v>
      </c>
      <c r="G396">
        <v>0.86</v>
      </c>
      <c r="H396">
        <v>-2.09</v>
      </c>
      <c r="I396">
        <v>31.89</v>
      </c>
      <c r="J396">
        <v>2.33</v>
      </c>
      <c r="K396">
        <v>-1.4</v>
      </c>
      <c r="L396">
        <v>-0.22</v>
      </c>
      <c r="M396">
        <v>54.35</v>
      </c>
      <c r="O396">
        <v>10.08</v>
      </c>
      <c r="P396">
        <v>5.62</v>
      </c>
      <c r="Q396">
        <v>0</v>
      </c>
      <c r="R396">
        <v>0</v>
      </c>
    </row>
    <row r="397" spans="1:18" x14ac:dyDescent="0.25">
      <c r="A397">
        <v>140</v>
      </c>
      <c r="B397">
        <v>82.53</v>
      </c>
      <c r="C397">
        <f>ROUNDDOWN(3.75136363636364,0)</f>
        <v>3</v>
      </c>
      <c r="D397">
        <v>1.1499999999999999</v>
      </c>
      <c r="F397">
        <v>0.67</v>
      </c>
      <c r="G397">
        <v>0.95</v>
      </c>
      <c r="H397">
        <v>-1.9</v>
      </c>
      <c r="I397">
        <v>32</v>
      </c>
      <c r="J397">
        <v>2.4300000000000002</v>
      </c>
      <c r="K397">
        <v>-1.22</v>
      </c>
      <c r="L397">
        <v>-0.04</v>
      </c>
      <c r="M397">
        <v>54.35</v>
      </c>
      <c r="O397">
        <v>10.15</v>
      </c>
      <c r="P397">
        <v>5.64</v>
      </c>
      <c r="Q397">
        <v>0</v>
      </c>
      <c r="R397">
        <v>0</v>
      </c>
    </row>
    <row r="398" spans="1:18" x14ac:dyDescent="0.25">
      <c r="A398">
        <v>140</v>
      </c>
      <c r="B398">
        <v>82.74</v>
      </c>
      <c r="C398">
        <f>ROUNDDOWN(3.76090909090909,0)</f>
        <v>3</v>
      </c>
      <c r="D398">
        <v>1.33</v>
      </c>
      <c r="F398">
        <v>0.68</v>
      </c>
      <c r="G398">
        <v>0.98</v>
      </c>
      <c r="H398">
        <v>-1.81</v>
      </c>
      <c r="I398">
        <v>32.06</v>
      </c>
      <c r="J398">
        <v>2.56</v>
      </c>
      <c r="K398">
        <v>-1.1299999999999999</v>
      </c>
      <c r="L398">
        <v>0.01</v>
      </c>
      <c r="M398">
        <v>54.35</v>
      </c>
      <c r="O398">
        <v>10.220000000000001</v>
      </c>
      <c r="P398">
        <v>5.66</v>
      </c>
      <c r="Q398">
        <v>0</v>
      </c>
      <c r="R398">
        <v>0</v>
      </c>
    </row>
    <row r="399" spans="1:18" x14ac:dyDescent="0.25">
      <c r="A399">
        <v>140</v>
      </c>
      <c r="B399">
        <v>82.95</v>
      </c>
      <c r="C399">
        <f>ROUNDDOWN(3.77045454545455,0)</f>
        <v>3</v>
      </c>
      <c r="D399">
        <v>1.56</v>
      </c>
      <c r="F399">
        <v>0.72</v>
      </c>
      <c r="G399">
        <v>1.05</v>
      </c>
      <c r="H399">
        <v>-1.62</v>
      </c>
      <c r="I399">
        <v>32.15</v>
      </c>
      <c r="J399">
        <v>2.7</v>
      </c>
      <c r="K399">
        <v>-0.96</v>
      </c>
      <c r="L399">
        <v>0.17</v>
      </c>
      <c r="M399">
        <v>54.35</v>
      </c>
      <c r="O399">
        <v>10.29</v>
      </c>
      <c r="P399">
        <v>5.68</v>
      </c>
      <c r="Q399">
        <v>0</v>
      </c>
      <c r="R399">
        <v>0</v>
      </c>
    </row>
    <row r="400" spans="1:18" x14ac:dyDescent="0.25">
      <c r="A400">
        <v>140</v>
      </c>
      <c r="B400">
        <v>83.16</v>
      </c>
      <c r="C400">
        <f>ROUNDDOWN(3.78,0)</f>
        <v>3</v>
      </c>
      <c r="D400">
        <v>1.8</v>
      </c>
      <c r="F400">
        <v>0.8</v>
      </c>
      <c r="G400">
        <v>1.1499999999999999</v>
      </c>
      <c r="H400">
        <v>-1.35</v>
      </c>
      <c r="I400">
        <v>32.200000000000003</v>
      </c>
      <c r="J400">
        <v>2.86</v>
      </c>
      <c r="K400">
        <v>-0.69</v>
      </c>
      <c r="L400">
        <v>0.38</v>
      </c>
      <c r="M400">
        <v>54.35</v>
      </c>
      <c r="O400">
        <v>10.36</v>
      </c>
      <c r="P400">
        <v>5.7</v>
      </c>
      <c r="Q400">
        <v>0</v>
      </c>
      <c r="R400">
        <v>0</v>
      </c>
    </row>
    <row r="401" spans="1:18" x14ac:dyDescent="0.25">
      <c r="A401">
        <v>140</v>
      </c>
      <c r="B401">
        <v>83.36999999999999</v>
      </c>
      <c r="C401">
        <f>ROUNDDOWN(3.78954545454545,0)</f>
        <v>3</v>
      </c>
      <c r="D401">
        <v>1.92</v>
      </c>
      <c r="F401">
        <v>0.8</v>
      </c>
      <c r="G401">
        <v>1.19</v>
      </c>
      <c r="H401">
        <v>-1.1499999999999999</v>
      </c>
      <c r="I401">
        <v>32.1</v>
      </c>
      <c r="J401">
        <v>3.04</v>
      </c>
      <c r="K401">
        <v>-0.44</v>
      </c>
      <c r="L401">
        <v>0.45</v>
      </c>
      <c r="M401">
        <v>54.35</v>
      </c>
      <c r="O401">
        <v>10.43</v>
      </c>
      <c r="P401">
        <v>5.72</v>
      </c>
      <c r="Q401">
        <v>0</v>
      </c>
      <c r="R401">
        <v>0</v>
      </c>
    </row>
    <row r="402" spans="1:18" x14ac:dyDescent="0.25">
      <c r="A402">
        <v>140</v>
      </c>
      <c r="B402">
        <v>83.58</v>
      </c>
      <c r="C402">
        <f>ROUNDDOWN(3.79909090909091,0)</f>
        <v>3</v>
      </c>
      <c r="D402">
        <v>1.87</v>
      </c>
      <c r="F402">
        <v>0.71</v>
      </c>
      <c r="G402">
        <v>1.1299999999999999</v>
      </c>
      <c r="H402">
        <v>-1.04</v>
      </c>
      <c r="I402">
        <v>31.91</v>
      </c>
      <c r="J402">
        <v>3.24</v>
      </c>
      <c r="K402">
        <v>-0.25</v>
      </c>
      <c r="L402">
        <v>0.37</v>
      </c>
      <c r="M402">
        <v>54.36</v>
      </c>
      <c r="O402">
        <v>10.5</v>
      </c>
      <c r="P402">
        <v>5.74</v>
      </c>
      <c r="Q402">
        <v>0</v>
      </c>
      <c r="R402">
        <v>0</v>
      </c>
    </row>
    <row r="403" spans="1:18" x14ac:dyDescent="0.25">
      <c r="A403">
        <v>140</v>
      </c>
      <c r="B403">
        <v>83.789999999999992</v>
      </c>
      <c r="C403">
        <f>ROUNDDOWN(3.80863636363636,0)</f>
        <v>3</v>
      </c>
      <c r="D403">
        <v>1.73</v>
      </c>
      <c r="F403">
        <v>0.54</v>
      </c>
      <c r="G403">
        <v>0.98</v>
      </c>
      <c r="H403">
        <v>-0.81</v>
      </c>
      <c r="I403">
        <v>31.83</v>
      </c>
      <c r="J403">
        <v>3.44</v>
      </c>
      <c r="K403">
        <v>0</v>
      </c>
      <c r="L403">
        <v>0.48</v>
      </c>
      <c r="M403">
        <v>54.36</v>
      </c>
      <c r="O403">
        <v>10.57</v>
      </c>
      <c r="P403">
        <v>5.76</v>
      </c>
      <c r="Q403">
        <v>0</v>
      </c>
      <c r="R403">
        <v>0</v>
      </c>
    </row>
    <row r="404" spans="1:18" x14ac:dyDescent="0.25">
      <c r="A404">
        <v>140</v>
      </c>
      <c r="B404">
        <v>84</v>
      </c>
      <c r="C404">
        <f>ROUNDDOWN(3.81818181818182,0)</f>
        <v>3</v>
      </c>
      <c r="D404">
        <v>1.65</v>
      </c>
      <c r="F404">
        <v>0.48</v>
      </c>
      <c r="G404">
        <v>0.94</v>
      </c>
      <c r="H404">
        <v>-0.5</v>
      </c>
      <c r="I404">
        <v>31.93</v>
      </c>
      <c r="J404">
        <v>3.63</v>
      </c>
      <c r="K404">
        <v>0.23</v>
      </c>
      <c r="L404">
        <v>0.74</v>
      </c>
      <c r="M404">
        <v>54.36</v>
      </c>
      <c r="O404">
        <v>10.65</v>
      </c>
      <c r="P404">
        <v>5.77</v>
      </c>
      <c r="Q404">
        <v>0</v>
      </c>
      <c r="R404">
        <v>0</v>
      </c>
    </row>
    <row r="405" spans="1:18" x14ac:dyDescent="0.25">
      <c r="A405">
        <v>140</v>
      </c>
      <c r="B405">
        <v>84.21</v>
      </c>
      <c r="C405">
        <f>ROUNDDOWN(3.82772727272727,0)</f>
        <v>3</v>
      </c>
      <c r="D405">
        <v>1.6</v>
      </c>
      <c r="F405">
        <v>0.45</v>
      </c>
      <c r="G405">
        <v>0.94</v>
      </c>
      <c r="H405">
        <v>-0.19</v>
      </c>
      <c r="I405">
        <v>32.090000000000003</v>
      </c>
      <c r="J405">
        <v>3.81</v>
      </c>
      <c r="K405">
        <v>0.41</v>
      </c>
      <c r="L405">
        <v>1.03</v>
      </c>
      <c r="M405">
        <v>54.36</v>
      </c>
      <c r="O405">
        <v>10.72</v>
      </c>
      <c r="P405">
        <v>5.79</v>
      </c>
      <c r="Q405">
        <v>0</v>
      </c>
      <c r="R405">
        <v>0</v>
      </c>
    </row>
    <row r="406" spans="1:18" x14ac:dyDescent="0.25">
      <c r="A406">
        <v>140</v>
      </c>
      <c r="B406">
        <v>84.42</v>
      </c>
      <c r="C406">
        <f>ROUNDDOWN(3.83727272727273,0)</f>
        <v>3</v>
      </c>
      <c r="D406">
        <v>1.6</v>
      </c>
      <c r="F406">
        <v>0.37</v>
      </c>
      <c r="G406">
        <v>0.87</v>
      </c>
      <c r="H406">
        <v>0.03</v>
      </c>
      <c r="I406">
        <v>32.270000000000003</v>
      </c>
      <c r="J406">
        <v>3.98</v>
      </c>
      <c r="K406">
        <v>0.49</v>
      </c>
      <c r="L406">
        <v>1.21</v>
      </c>
      <c r="M406">
        <v>54.36</v>
      </c>
      <c r="O406">
        <v>10.79</v>
      </c>
      <c r="P406">
        <v>5.81</v>
      </c>
      <c r="Q406">
        <v>0</v>
      </c>
      <c r="R406">
        <v>0</v>
      </c>
    </row>
    <row r="407" spans="1:18" x14ac:dyDescent="0.25">
      <c r="A407">
        <v>140</v>
      </c>
      <c r="B407">
        <v>84.63</v>
      </c>
      <c r="C407">
        <f>ROUNDDOWN(3.84681818181818,0)</f>
        <v>3</v>
      </c>
      <c r="D407">
        <v>1.57</v>
      </c>
      <c r="F407">
        <v>0.26</v>
      </c>
      <c r="G407">
        <v>0.78</v>
      </c>
      <c r="H407">
        <v>0.28000000000000003</v>
      </c>
      <c r="I407">
        <v>32.409999999999997</v>
      </c>
      <c r="J407">
        <v>4.13</v>
      </c>
      <c r="K407">
        <v>0.62</v>
      </c>
      <c r="L407">
        <v>1.41</v>
      </c>
      <c r="M407">
        <v>54.36</v>
      </c>
      <c r="O407">
        <v>10.86</v>
      </c>
      <c r="P407">
        <v>5.83</v>
      </c>
      <c r="Q407">
        <v>0</v>
      </c>
      <c r="R407">
        <v>0</v>
      </c>
    </row>
    <row r="408" spans="1:18" x14ac:dyDescent="0.25">
      <c r="A408">
        <v>140</v>
      </c>
      <c r="B408">
        <v>84.84</v>
      </c>
      <c r="C408">
        <f>ROUNDDOWN(3.85636363636364,0)</f>
        <v>3</v>
      </c>
      <c r="D408">
        <v>1.5</v>
      </c>
      <c r="F408">
        <v>0.2</v>
      </c>
      <c r="G408">
        <v>0.73</v>
      </c>
      <c r="H408">
        <v>0.46</v>
      </c>
      <c r="I408">
        <v>32.590000000000003</v>
      </c>
      <c r="J408">
        <v>4.26</v>
      </c>
      <c r="K408">
        <v>0.65</v>
      </c>
      <c r="L408">
        <v>1.52</v>
      </c>
      <c r="M408">
        <v>54.36</v>
      </c>
      <c r="O408">
        <v>10.93</v>
      </c>
      <c r="P408">
        <v>5.84</v>
      </c>
      <c r="Q408">
        <v>0</v>
      </c>
      <c r="R408">
        <v>0</v>
      </c>
    </row>
    <row r="409" spans="1:18" x14ac:dyDescent="0.25">
      <c r="A409">
        <v>140</v>
      </c>
      <c r="B409">
        <v>85.05</v>
      </c>
      <c r="C409">
        <f>ROUNDDOWN(3.86590909090909,0)</f>
        <v>3</v>
      </c>
      <c r="D409">
        <v>1.4</v>
      </c>
      <c r="F409">
        <v>0.23</v>
      </c>
      <c r="G409">
        <v>0.76</v>
      </c>
      <c r="H409">
        <v>0.56999999999999995</v>
      </c>
      <c r="I409">
        <v>32.79</v>
      </c>
      <c r="J409">
        <v>4.37</v>
      </c>
      <c r="K409">
        <v>0.61</v>
      </c>
      <c r="L409">
        <v>1.58</v>
      </c>
      <c r="M409">
        <v>54.36</v>
      </c>
      <c r="O409">
        <v>11</v>
      </c>
      <c r="P409">
        <v>5.86</v>
      </c>
      <c r="Q409">
        <v>0</v>
      </c>
      <c r="R409">
        <v>0</v>
      </c>
    </row>
    <row r="410" spans="1:18" x14ac:dyDescent="0.25">
      <c r="A410">
        <v>140</v>
      </c>
      <c r="B410">
        <v>85.259999999999991</v>
      </c>
      <c r="C410">
        <f>ROUNDDOWN(3.87545454545455,0)</f>
        <v>3</v>
      </c>
      <c r="D410">
        <v>1.37</v>
      </c>
      <c r="F410">
        <v>0.23</v>
      </c>
      <c r="G410">
        <v>0.77</v>
      </c>
      <c r="H410">
        <v>0.64</v>
      </c>
      <c r="I410">
        <v>33.049999999999997</v>
      </c>
      <c r="J410">
        <v>4.4400000000000004</v>
      </c>
      <c r="K410">
        <v>0.51</v>
      </c>
      <c r="L410">
        <v>1.62</v>
      </c>
      <c r="M410">
        <v>54.36</v>
      </c>
      <c r="O410">
        <v>11.08</v>
      </c>
      <c r="P410">
        <v>5.88</v>
      </c>
      <c r="Q410">
        <v>0</v>
      </c>
      <c r="R410">
        <v>0</v>
      </c>
    </row>
    <row r="411" spans="1:18" x14ac:dyDescent="0.25">
      <c r="A411">
        <v>140</v>
      </c>
      <c r="B411">
        <v>85.47</v>
      </c>
      <c r="C411">
        <f>ROUNDDOWN(3.885,0)</f>
        <v>3</v>
      </c>
      <c r="D411">
        <v>1.45</v>
      </c>
      <c r="F411">
        <v>0.26</v>
      </c>
      <c r="G411">
        <v>0.81</v>
      </c>
      <c r="H411">
        <v>0.78</v>
      </c>
      <c r="I411">
        <v>33.340000000000003</v>
      </c>
      <c r="J411">
        <v>4.49</v>
      </c>
      <c r="K411">
        <v>0.46</v>
      </c>
      <c r="L411">
        <v>1.73</v>
      </c>
      <c r="M411">
        <v>54.36</v>
      </c>
      <c r="O411">
        <v>11.15</v>
      </c>
      <c r="P411">
        <v>5.9</v>
      </c>
      <c r="Q411">
        <v>0</v>
      </c>
      <c r="R411">
        <v>0</v>
      </c>
    </row>
    <row r="412" spans="1:18" x14ac:dyDescent="0.25">
      <c r="A412">
        <v>140</v>
      </c>
      <c r="B412">
        <v>85.679999999999993</v>
      </c>
      <c r="C412">
        <f>ROUNDDOWN(3.89454545454545,0)</f>
        <v>3</v>
      </c>
      <c r="D412">
        <v>1.63</v>
      </c>
      <c r="F412">
        <v>0.28000000000000003</v>
      </c>
      <c r="G412">
        <v>0.84</v>
      </c>
      <c r="H412">
        <v>0.85</v>
      </c>
      <c r="I412">
        <v>33.630000000000003</v>
      </c>
      <c r="J412">
        <v>4.5199999999999996</v>
      </c>
      <c r="K412">
        <v>0.36</v>
      </c>
      <c r="L412">
        <v>1.76</v>
      </c>
      <c r="M412">
        <v>54.36</v>
      </c>
      <c r="O412">
        <v>11.22</v>
      </c>
      <c r="P412">
        <v>5.91</v>
      </c>
      <c r="Q412">
        <v>0</v>
      </c>
      <c r="R412">
        <v>0</v>
      </c>
    </row>
    <row r="413" spans="1:18" x14ac:dyDescent="0.25">
      <c r="A413">
        <v>140</v>
      </c>
      <c r="B413">
        <v>85.89</v>
      </c>
      <c r="C413">
        <f>ROUNDDOWN(3.90409090909091,0)</f>
        <v>3</v>
      </c>
      <c r="D413">
        <v>1.8</v>
      </c>
      <c r="F413">
        <v>0.3</v>
      </c>
      <c r="G413">
        <v>0.88</v>
      </c>
      <c r="H413">
        <v>0.85</v>
      </c>
      <c r="I413">
        <v>33.85</v>
      </c>
      <c r="J413">
        <v>4.5199999999999996</v>
      </c>
      <c r="K413">
        <v>0.22</v>
      </c>
      <c r="L413">
        <v>1.67</v>
      </c>
      <c r="M413">
        <v>54.36</v>
      </c>
      <c r="O413">
        <v>11.29</v>
      </c>
      <c r="P413">
        <v>5.93</v>
      </c>
      <c r="Q413">
        <v>0</v>
      </c>
      <c r="R413">
        <v>0</v>
      </c>
    </row>
    <row r="414" spans="1:18" x14ac:dyDescent="0.25">
      <c r="A414">
        <v>140</v>
      </c>
      <c r="B414">
        <v>86.1</v>
      </c>
      <c r="C414">
        <f>ROUNDDOWN(3.91363636363636,0)</f>
        <v>3</v>
      </c>
      <c r="D414">
        <v>1.83</v>
      </c>
      <c r="F414">
        <v>0.25</v>
      </c>
      <c r="G414">
        <v>0.85</v>
      </c>
      <c r="H414">
        <v>0.88</v>
      </c>
      <c r="I414">
        <v>33.979999999999997</v>
      </c>
      <c r="J414">
        <v>4.49</v>
      </c>
      <c r="K414">
        <v>0.18</v>
      </c>
      <c r="L414">
        <v>1.57</v>
      </c>
      <c r="M414">
        <v>54.36</v>
      </c>
      <c r="O414">
        <v>11.37</v>
      </c>
      <c r="P414">
        <v>5.94</v>
      </c>
      <c r="Q414">
        <v>0</v>
      </c>
      <c r="R414">
        <v>0</v>
      </c>
    </row>
    <row r="415" spans="1:18" x14ac:dyDescent="0.25">
      <c r="A415">
        <v>140</v>
      </c>
      <c r="B415">
        <v>86.31</v>
      </c>
      <c r="C415">
        <f>ROUNDDOWN(3.92318181818182,0)</f>
        <v>3</v>
      </c>
      <c r="D415">
        <v>1.9</v>
      </c>
      <c r="F415">
        <v>0.17</v>
      </c>
      <c r="G415">
        <v>0.78</v>
      </c>
      <c r="H415">
        <v>0.96</v>
      </c>
      <c r="I415">
        <v>34.1</v>
      </c>
      <c r="J415">
        <v>4.4400000000000004</v>
      </c>
      <c r="K415">
        <v>0.19</v>
      </c>
      <c r="L415">
        <v>1.52</v>
      </c>
      <c r="M415">
        <v>54.36</v>
      </c>
      <c r="O415">
        <v>11.44</v>
      </c>
      <c r="P415">
        <v>5.96</v>
      </c>
      <c r="Q415">
        <v>0</v>
      </c>
      <c r="R415">
        <v>0</v>
      </c>
    </row>
    <row r="416" spans="1:18" x14ac:dyDescent="0.25">
      <c r="A416">
        <v>140</v>
      </c>
      <c r="B416">
        <v>86.52</v>
      </c>
      <c r="C416">
        <f>ROUNDDOWN(3.93272727272727,0)</f>
        <v>3</v>
      </c>
      <c r="D416">
        <v>2.11</v>
      </c>
      <c r="F416">
        <v>0.11</v>
      </c>
      <c r="G416">
        <v>0.72</v>
      </c>
      <c r="H416">
        <v>1.03</v>
      </c>
      <c r="I416">
        <v>34.22</v>
      </c>
      <c r="J416">
        <v>4.37</v>
      </c>
      <c r="K416">
        <v>0.19</v>
      </c>
      <c r="L416">
        <v>1.47</v>
      </c>
      <c r="M416">
        <v>54.36</v>
      </c>
      <c r="O416">
        <v>11.51</v>
      </c>
      <c r="P416">
        <v>5.97</v>
      </c>
      <c r="Q416">
        <v>0</v>
      </c>
      <c r="R416">
        <v>0</v>
      </c>
    </row>
    <row r="417" spans="1:18" x14ac:dyDescent="0.25">
      <c r="A417">
        <v>140</v>
      </c>
      <c r="B417">
        <v>86.72999999999999</v>
      </c>
      <c r="C417">
        <f>ROUNDDOWN(3.94227272727273,0)</f>
        <v>3</v>
      </c>
      <c r="D417">
        <v>2.4300000000000002</v>
      </c>
      <c r="F417">
        <v>0</v>
      </c>
      <c r="G417">
        <v>0.62</v>
      </c>
      <c r="H417">
        <v>0.96</v>
      </c>
      <c r="I417">
        <v>34.35</v>
      </c>
      <c r="J417">
        <v>4.2699999999999996</v>
      </c>
      <c r="K417">
        <v>0.04</v>
      </c>
      <c r="L417">
        <v>1.27</v>
      </c>
      <c r="M417">
        <v>54.36</v>
      </c>
      <c r="O417">
        <v>11.59</v>
      </c>
      <c r="P417">
        <v>5.99</v>
      </c>
      <c r="Q417">
        <v>0</v>
      </c>
      <c r="R417">
        <v>0</v>
      </c>
    </row>
    <row r="418" spans="1:18" x14ac:dyDescent="0.25">
      <c r="A418">
        <v>140</v>
      </c>
      <c r="B418">
        <v>86.94</v>
      </c>
      <c r="C418">
        <f>ROUNDDOWN(3.95181818181818,0)</f>
        <v>3</v>
      </c>
      <c r="D418">
        <v>2.5499999999999998</v>
      </c>
      <c r="F418">
        <v>-0.13</v>
      </c>
      <c r="G418">
        <v>0.48</v>
      </c>
      <c r="H418">
        <v>0.85</v>
      </c>
      <c r="I418">
        <v>34.39</v>
      </c>
      <c r="J418">
        <v>4.17</v>
      </c>
      <c r="K418">
        <v>-0.09</v>
      </c>
      <c r="L418">
        <v>1</v>
      </c>
      <c r="M418">
        <v>54.36</v>
      </c>
      <c r="O418">
        <v>11.66</v>
      </c>
      <c r="P418">
        <v>6</v>
      </c>
      <c r="Q418">
        <v>0</v>
      </c>
      <c r="R418">
        <v>0</v>
      </c>
    </row>
    <row r="419" spans="1:18" x14ac:dyDescent="0.25">
      <c r="A419">
        <v>140</v>
      </c>
      <c r="B419">
        <v>87.149999999999991</v>
      </c>
      <c r="C419">
        <f>ROUNDDOWN(3.96136363636364,0)</f>
        <v>3</v>
      </c>
      <c r="D419">
        <v>2.4300000000000002</v>
      </c>
      <c r="F419">
        <v>-0.28999999999999998</v>
      </c>
      <c r="G419">
        <v>0.32</v>
      </c>
      <c r="H419">
        <v>0.81</v>
      </c>
      <c r="I419">
        <v>34.35</v>
      </c>
      <c r="J419">
        <v>4.04</v>
      </c>
      <c r="K419">
        <v>-0.11</v>
      </c>
      <c r="L419">
        <v>0.79</v>
      </c>
      <c r="M419">
        <v>54.36</v>
      </c>
      <c r="O419">
        <v>11.74</v>
      </c>
      <c r="P419">
        <v>6.01</v>
      </c>
      <c r="Q419">
        <v>0</v>
      </c>
      <c r="R419">
        <v>0</v>
      </c>
    </row>
    <row r="420" spans="1:18" x14ac:dyDescent="0.25">
      <c r="A420">
        <v>140</v>
      </c>
      <c r="B420">
        <v>87.36</v>
      </c>
      <c r="C420">
        <f>ROUNDDOWN(3.97090909090909,0)</f>
        <v>3</v>
      </c>
      <c r="D420">
        <v>2.21</v>
      </c>
      <c r="F420">
        <v>-0.43</v>
      </c>
      <c r="G420">
        <v>0.16</v>
      </c>
      <c r="H420">
        <v>0.87</v>
      </c>
      <c r="I420">
        <v>34.299999999999997</v>
      </c>
      <c r="J420">
        <v>3.89</v>
      </c>
      <c r="K420">
        <v>-0.03</v>
      </c>
      <c r="L420">
        <v>0.66</v>
      </c>
      <c r="M420">
        <v>54.36</v>
      </c>
      <c r="O420">
        <v>11.81</v>
      </c>
      <c r="P420">
        <v>6.02</v>
      </c>
      <c r="Q420">
        <v>0</v>
      </c>
      <c r="R420">
        <v>0</v>
      </c>
    </row>
    <row r="421" spans="1:18" x14ac:dyDescent="0.25">
      <c r="A421">
        <v>140</v>
      </c>
      <c r="B421">
        <v>87.57</v>
      </c>
      <c r="C421">
        <f>ROUNDDOWN(3.98045454545455,0)</f>
        <v>3</v>
      </c>
      <c r="D421">
        <v>2.0099999999999998</v>
      </c>
      <c r="F421">
        <v>-0.55000000000000004</v>
      </c>
      <c r="G421">
        <v>0.01</v>
      </c>
      <c r="H421">
        <v>0.91</v>
      </c>
      <c r="I421">
        <v>34.270000000000003</v>
      </c>
      <c r="J421">
        <v>3.73</v>
      </c>
      <c r="K421">
        <v>0.02</v>
      </c>
      <c r="L421">
        <v>0.54</v>
      </c>
      <c r="M421">
        <v>54.37</v>
      </c>
      <c r="O421">
        <v>11.88</v>
      </c>
      <c r="P421">
        <v>6.02</v>
      </c>
      <c r="Q421">
        <v>0</v>
      </c>
      <c r="R421">
        <v>0</v>
      </c>
    </row>
    <row r="422" spans="1:18" x14ac:dyDescent="0.25">
      <c r="A422">
        <v>140</v>
      </c>
      <c r="B422">
        <v>87.78</v>
      </c>
      <c r="C422">
        <f>ROUNDDOWN(3.99,0)</f>
        <v>3</v>
      </c>
      <c r="D422">
        <v>1.91</v>
      </c>
      <c r="F422">
        <v>-0.63</v>
      </c>
      <c r="G422">
        <v>-0.09</v>
      </c>
      <c r="H422">
        <v>0.88</v>
      </c>
      <c r="I422">
        <v>34.32</v>
      </c>
      <c r="J422">
        <v>3.56</v>
      </c>
      <c r="K422">
        <v>-0.05</v>
      </c>
      <c r="L422">
        <v>0.39</v>
      </c>
      <c r="M422">
        <v>54.37</v>
      </c>
      <c r="O422">
        <v>11.96</v>
      </c>
      <c r="P422">
        <v>6.03</v>
      </c>
      <c r="Q422">
        <v>0</v>
      </c>
      <c r="R422">
        <v>0</v>
      </c>
    </row>
    <row r="423" spans="1:18" x14ac:dyDescent="0.25">
      <c r="A423">
        <v>140</v>
      </c>
      <c r="B423">
        <v>87.99</v>
      </c>
      <c r="C423">
        <f>ROUNDDOWN(3.99954545454545,0)</f>
        <v>3</v>
      </c>
      <c r="D423">
        <v>1.91</v>
      </c>
      <c r="F423">
        <v>-0.68</v>
      </c>
      <c r="G423">
        <v>-0.18</v>
      </c>
      <c r="H423">
        <v>0.82</v>
      </c>
      <c r="I423">
        <v>34.5</v>
      </c>
      <c r="J423">
        <v>3.38</v>
      </c>
      <c r="K423">
        <v>-0.2</v>
      </c>
      <c r="L423">
        <v>0.28999999999999998</v>
      </c>
      <c r="M423">
        <v>54.37</v>
      </c>
      <c r="O423">
        <v>12.03</v>
      </c>
      <c r="P423">
        <v>6.04</v>
      </c>
      <c r="Q423">
        <v>0</v>
      </c>
      <c r="R423">
        <v>0</v>
      </c>
    </row>
    <row r="424" spans="1:18" x14ac:dyDescent="0.25">
      <c r="A424">
        <v>140</v>
      </c>
      <c r="B424">
        <v>88.2</v>
      </c>
      <c r="C424">
        <f>ROUNDDOWN(4.00909090909091,0)</f>
        <v>4</v>
      </c>
      <c r="D424">
        <v>1.99</v>
      </c>
      <c r="F424">
        <v>-0.69</v>
      </c>
      <c r="G424">
        <v>-0.21</v>
      </c>
      <c r="H424">
        <v>0.82</v>
      </c>
      <c r="I424">
        <v>34.78</v>
      </c>
      <c r="J424">
        <v>3.19</v>
      </c>
      <c r="K424">
        <v>-0.33</v>
      </c>
      <c r="L424">
        <v>0.28999999999999998</v>
      </c>
      <c r="M424">
        <v>54.37</v>
      </c>
      <c r="O424">
        <v>12.11</v>
      </c>
      <c r="P424">
        <v>6.05</v>
      </c>
      <c r="Q424">
        <v>0</v>
      </c>
      <c r="R424">
        <v>0</v>
      </c>
    </row>
    <row r="425" spans="1:18" x14ac:dyDescent="0.25">
      <c r="A425">
        <v>140</v>
      </c>
      <c r="B425">
        <v>88.41</v>
      </c>
      <c r="C425">
        <f>ROUNDDOWN(4.01863636363636,0)</f>
        <v>4</v>
      </c>
      <c r="D425">
        <v>1.95</v>
      </c>
      <c r="F425">
        <v>-0.67</v>
      </c>
      <c r="G425">
        <v>-0.24</v>
      </c>
      <c r="H425">
        <v>0.81</v>
      </c>
      <c r="I425">
        <v>35</v>
      </c>
      <c r="J425">
        <v>3</v>
      </c>
      <c r="K425">
        <v>-0.44</v>
      </c>
      <c r="L425">
        <v>0.25</v>
      </c>
      <c r="M425">
        <v>54.37</v>
      </c>
      <c r="O425">
        <v>12.18</v>
      </c>
      <c r="P425">
        <v>6.06</v>
      </c>
      <c r="Q425">
        <v>0</v>
      </c>
      <c r="R425">
        <v>0</v>
      </c>
    </row>
    <row r="426" spans="1:18" x14ac:dyDescent="0.25">
      <c r="A426">
        <v>140</v>
      </c>
      <c r="B426">
        <v>88.61999999999999</v>
      </c>
      <c r="C426">
        <f>ROUNDDOWN(4.02818181818182,0)</f>
        <v>4</v>
      </c>
      <c r="D426">
        <v>1.81</v>
      </c>
      <c r="F426">
        <v>-0.67</v>
      </c>
      <c r="G426">
        <v>-0.27</v>
      </c>
      <c r="H426">
        <v>0.76</v>
      </c>
      <c r="I426">
        <v>35.159999999999997</v>
      </c>
      <c r="J426">
        <v>2.82</v>
      </c>
      <c r="K426">
        <v>-0.54</v>
      </c>
      <c r="L426">
        <v>0.14000000000000001</v>
      </c>
      <c r="M426">
        <v>54.37</v>
      </c>
      <c r="O426">
        <v>12.26</v>
      </c>
      <c r="P426">
        <v>6.06</v>
      </c>
      <c r="Q426">
        <v>0</v>
      </c>
      <c r="R426">
        <v>0</v>
      </c>
    </row>
    <row r="427" spans="1:18" x14ac:dyDescent="0.25">
      <c r="A427">
        <v>140</v>
      </c>
      <c r="B427">
        <v>88.83</v>
      </c>
      <c r="C427">
        <f>ROUNDDOWN(4.03772727272727,0)</f>
        <v>4</v>
      </c>
      <c r="D427">
        <v>1.67</v>
      </c>
      <c r="F427">
        <v>-0.64</v>
      </c>
      <c r="G427">
        <v>-0.27</v>
      </c>
      <c r="H427">
        <v>0.68</v>
      </c>
      <c r="I427">
        <v>35.299999999999997</v>
      </c>
      <c r="J427">
        <v>2.63</v>
      </c>
      <c r="K427">
        <v>-0.67</v>
      </c>
      <c r="L427">
        <v>-0.01</v>
      </c>
      <c r="M427">
        <v>54.37</v>
      </c>
      <c r="O427">
        <v>12.33</v>
      </c>
      <c r="P427">
        <v>6.07</v>
      </c>
      <c r="Q427">
        <v>0</v>
      </c>
      <c r="R427">
        <v>0</v>
      </c>
    </row>
    <row r="428" spans="1:18" x14ac:dyDescent="0.25">
      <c r="A428">
        <v>140</v>
      </c>
      <c r="B428">
        <v>89.039999999999992</v>
      </c>
      <c r="C428">
        <f>ROUNDDOWN(4.04727272727273,0)</f>
        <v>4</v>
      </c>
      <c r="D428">
        <v>1.61</v>
      </c>
      <c r="F428">
        <v>-0.6</v>
      </c>
      <c r="G428">
        <v>-0.27</v>
      </c>
      <c r="H428">
        <v>0.6</v>
      </c>
      <c r="I428">
        <v>35.46</v>
      </c>
      <c r="J428">
        <v>2.4500000000000002</v>
      </c>
      <c r="K428">
        <v>-0.79</v>
      </c>
      <c r="L428">
        <v>-0.13</v>
      </c>
      <c r="M428">
        <v>54.37</v>
      </c>
      <c r="O428">
        <v>12.41</v>
      </c>
      <c r="P428">
        <v>6.08</v>
      </c>
      <c r="Q428">
        <v>0</v>
      </c>
      <c r="R428">
        <v>0</v>
      </c>
    </row>
    <row r="429" spans="1:18" x14ac:dyDescent="0.25">
      <c r="A429">
        <v>140</v>
      </c>
      <c r="B429">
        <v>89.25</v>
      </c>
      <c r="C429">
        <f>ROUNDDOWN(4.05681818181818,0)</f>
        <v>4</v>
      </c>
      <c r="D429">
        <v>1.61</v>
      </c>
      <c r="F429">
        <v>-0.54</v>
      </c>
      <c r="G429">
        <v>-0.24</v>
      </c>
      <c r="H429">
        <v>0.49</v>
      </c>
      <c r="I429">
        <v>35.590000000000003</v>
      </c>
      <c r="J429">
        <v>2.2799999999999998</v>
      </c>
      <c r="K429">
        <v>-0.91</v>
      </c>
      <c r="L429">
        <v>-0.3</v>
      </c>
      <c r="M429">
        <v>54.37</v>
      </c>
      <c r="O429">
        <v>12.48</v>
      </c>
      <c r="P429">
        <v>6.09</v>
      </c>
      <c r="Q429">
        <v>0</v>
      </c>
      <c r="R429">
        <v>0</v>
      </c>
    </row>
    <row r="430" spans="1:18" x14ac:dyDescent="0.25">
      <c r="A430">
        <v>140</v>
      </c>
      <c r="B430">
        <v>89.46</v>
      </c>
      <c r="C430">
        <f>ROUNDDOWN(4.06636363636364,0)</f>
        <v>4</v>
      </c>
      <c r="D430">
        <v>1.47</v>
      </c>
      <c r="F430">
        <v>-0.47</v>
      </c>
      <c r="G430">
        <v>-0.2</v>
      </c>
      <c r="H430">
        <v>0.34</v>
      </c>
      <c r="I430">
        <v>35.57</v>
      </c>
      <c r="J430">
        <v>2.12</v>
      </c>
      <c r="K430">
        <v>-1</v>
      </c>
      <c r="L430">
        <v>-0.57999999999999996</v>
      </c>
      <c r="M430">
        <v>54.37</v>
      </c>
      <c r="O430">
        <v>12.56</v>
      </c>
      <c r="P430">
        <v>6.1</v>
      </c>
      <c r="Q430">
        <v>0</v>
      </c>
      <c r="R430">
        <v>0</v>
      </c>
    </row>
    <row r="431" spans="1:18" x14ac:dyDescent="0.25">
      <c r="A431">
        <v>140</v>
      </c>
      <c r="B431">
        <v>89.67</v>
      </c>
      <c r="C431">
        <f>ROUNDDOWN(4.07590909090909,0)</f>
        <v>4</v>
      </c>
      <c r="D431">
        <v>1.22</v>
      </c>
      <c r="F431">
        <v>-0.41</v>
      </c>
      <c r="G431">
        <v>-0.17</v>
      </c>
      <c r="H431">
        <v>0.13</v>
      </c>
      <c r="I431">
        <v>35.44</v>
      </c>
      <c r="J431">
        <v>1.97</v>
      </c>
      <c r="K431">
        <v>-1.08</v>
      </c>
      <c r="L431">
        <v>-0.94</v>
      </c>
      <c r="M431">
        <v>54.37</v>
      </c>
      <c r="O431">
        <v>12.63</v>
      </c>
      <c r="P431">
        <v>6.11</v>
      </c>
      <c r="Q431">
        <v>0</v>
      </c>
      <c r="R431">
        <v>0</v>
      </c>
    </row>
    <row r="432" spans="1:18" x14ac:dyDescent="0.25">
      <c r="A432">
        <v>140</v>
      </c>
      <c r="B432">
        <v>89.88</v>
      </c>
      <c r="C432">
        <f>ROUNDDOWN(4.08545454545455,0)</f>
        <v>4</v>
      </c>
      <c r="D432">
        <v>1.01</v>
      </c>
      <c r="F432">
        <v>-0.41</v>
      </c>
      <c r="G432">
        <v>-0.19</v>
      </c>
      <c r="H432">
        <v>-0.06</v>
      </c>
      <c r="I432">
        <v>35.36</v>
      </c>
      <c r="J432">
        <v>1.83</v>
      </c>
      <c r="K432">
        <v>-1.18</v>
      </c>
      <c r="L432">
        <v>-1.24</v>
      </c>
      <c r="M432">
        <v>54.37</v>
      </c>
      <c r="O432">
        <v>12.71</v>
      </c>
      <c r="P432">
        <v>6.12</v>
      </c>
      <c r="Q432">
        <v>0</v>
      </c>
      <c r="R432">
        <v>0</v>
      </c>
    </row>
    <row r="433" spans="1:18" x14ac:dyDescent="0.25">
      <c r="A433">
        <v>140</v>
      </c>
      <c r="B433">
        <v>90.09</v>
      </c>
      <c r="C433">
        <f>ROUNDDOWN(4.095,0)</f>
        <v>4</v>
      </c>
      <c r="D433">
        <v>0.94</v>
      </c>
      <c r="F433">
        <v>-0.5</v>
      </c>
      <c r="G433">
        <v>-0.31</v>
      </c>
      <c r="H433">
        <v>-0.31</v>
      </c>
      <c r="I433">
        <v>35.33</v>
      </c>
      <c r="J433">
        <v>1.71</v>
      </c>
      <c r="K433">
        <v>-1.35</v>
      </c>
      <c r="L433">
        <v>-1.55</v>
      </c>
      <c r="M433">
        <v>54.37</v>
      </c>
      <c r="O433">
        <v>12.79</v>
      </c>
      <c r="P433">
        <v>6.12</v>
      </c>
      <c r="Q433">
        <v>0</v>
      </c>
      <c r="R433">
        <v>0</v>
      </c>
    </row>
    <row r="434" spans="1:18" x14ac:dyDescent="0.25">
      <c r="A434">
        <v>140</v>
      </c>
      <c r="B434">
        <v>90.3</v>
      </c>
      <c r="C434">
        <f>ROUNDDOWN(4.10454545454545,0)</f>
        <v>4</v>
      </c>
      <c r="D434">
        <v>0.91</v>
      </c>
      <c r="F434">
        <v>-0.68</v>
      </c>
      <c r="G434">
        <v>-0.53</v>
      </c>
      <c r="H434">
        <v>-0.5</v>
      </c>
      <c r="I434">
        <v>35.26</v>
      </c>
      <c r="J434">
        <v>1.62</v>
      </c>
      <c r="K434">
        <v>-1.44</v>
      </c>
      <c r="L434">
        <v>-1.81</v>
      </c>
      <c r="M434">
        <v>54.37</v>
      </c>
      <c r="O434">
        <v>12.86</v>
      </c>
      <c r="P434">
        <v>6.13</v>
      </c>
      <c r="Q434">
        <v>0</v>
      </c>
      <c r="R434">
        <v>0</v>
      </c>
    </row>
    <row r="435" spans="1:18" x14ac:dyDescent="0.25">
      <c r="A435">
        <v>140</v>
      </c>
      <c r="B435">
        <v>90.509999999999991</v>
      </c>
      <c r="C435">
        <f>ROUNDDOWN(4.11409090909091,0)</f>
        <v>4</v>
      </c>
      <c r="D435">
        <v>0.75</v>
      </c>
      <c r="F435">
        <v>-0.81</v>
      </c>
      <c r="G435">
        <v>-0.71</v>
      </c>
      <c r="H435">
        <v>-0.59</v>
      </c>
      <c r="I435">
        <v>35.049999999999997</v>
      </c>
      <c r="J435">
        <v>1.55</v>
      </c>
      <c r="K435">
        <v>-1.36</v>
      </c>
      <c r="L435">
        <v>-2.0299999999999998</v>
      </c>
      <c r="M435">
        <v>54.37</v>
      </c>
      <c r="O435">
        <v>12.94</v>
      </c>
      <c r="P435">
        <v>6.14</v>
      </c>
      <c r="Q435">
        <v>0</v>
      </c>
      <c r="R435">
        <v>0</v>
      </c>
    </row>
    <row r="436" spans="1:18" x14ac:dyDescent="0.25">
      <c r="A436">
        <v>140</v>
      </c>
      <c r="B436">
        <v>90.72</v>
      </c>
      <c r="C436">
        <f>ROUNDDOWN(4.12363636363636,0)</f>
        <v>4</v>
      </c>
      <c r="D436">
        <v>0.5</v>
      </c>
      <c r="F436">
        <v>-0.85</v>
      </c>
      <c r="G436">
        <v>-0.8</v>
      </c>
      <c r="H436">
        <v>-0.59</v>
      </c>
      <c r="I436">
        <v>34.770000000000003</v>
      </c>
      <c r="J436">
        <v>1.52</v>
      </c>
      <c r="K436">
        <v>-1.17</v>
      </c>
      <c r="L436">
        <v>-2.16</v>
      </c>
      <c r="M436">
        <v>54.37</v>
      </c>
      <c r="O436">
        <v>13.02</v>
      </c>
      <c r="P436">
        <v>6.14</v>
      </c>
      <c r="Q436">
        <v>0</v>
      </c>
      <c r="R436">
        <v>0</v>
      </c>
    </row>
    <row r="437" spans="1:18" x14ac:dyDescent="0.25">
      <c r="A437">
        <v>140</v>
      </c>
      <c r="B437">
        <v>90.929999999999993</v>
      </c>
      <c r="C437">
        <f>ROUNDDOWN(4.13318181818182,0)</f>
        <v>4</v>
      </c>
      <c r="D437">
        <v>0.13</v>
      </c>
      <c r="F437">
        <v>-0.79</v>
      </c>
      <c r="G437">
        <v>-0.78</v>
      </c>
      <c r="H437">
        <v>-0.67</v>
      </c>
      <c r="I437">
        <v>34.450000000000003</v>
      </c>
      <c r="J437">
        <v>1.52</v>
      </c>
      <c r="K437">
        <v>-1.05</v>
      </c>
      <c r="L437">
        <v>-2.38</v>
      </c>
      <c r="M437">
        <v>54.37</v>
      </c>
      <c r="O437">
        <v>13.09</v>
      </c>
      <c r="P437">
        <v>6.15</v>
      </c>
      <c r="Q437">
        <v>0</v>
      </c>
      <c r="R437">
        <v>0</v>
      </c>
    </row>
    <row r="438" spans="1:18" x14ac:dyDescent="0.25">
      <c r="A438">
        <v>140</v>
      </c>
      <c r="B438">
        <v>91.14</v>
      </c>
      <c r="C438">
        <f>ROUNDDOWN(4.14272727272727,0)</f>
        <v>4</v>
      </c>
      <c r="D438">
        <v>-0.36</v>
      </c>
      <c r="F438">
        <v>-0.68</v>
      </c>
      <c r="G438">
        <v>-0.72</v>
      </c>
      <c r="H438">
        <v>-0.86</v>
      </c>
      <c r="I438">
        <v>34.14</v>
      </c>
      <c r="J438">
        <v>1.55</v>
      </c>
      <c r="K438">
        <v>-1.05</v>
      </c>
      <c r="L438">
        <v>-2.67</v>
      </c>
      <c r="M438">
        <v>54.37</v>
      </c>
      <c r="O438">
        <v>13.17</v>
      </c>
      <c r="P438">
        <v>6.16</v>
      </c>
      <c r="Q438">
        <v>0</v>
      </c>
      <c r="R438">
        <v>0</v>
      </c>
    </row>
    <row r="439" spans="1:18" x14ac:dyDescent="0.25">
      <c r="A439">
        <v>140</v>
      </c>
      <c r="B439">
        <v>91.35</v>
      </c>
      <c r="C439">
        <f>ROUNDDOWN(4.15227272727273,0)</f>
        <v>4</v>
      </c>
      <c r="D439">
        <v>-0.95</v>
      </c>
      <c r="F439">
        <v>-0.6</v>
      </c>
      <c r="G439">
        <v>-0.68</v>
      </c>
      <c r="H439">
        <v>-1.1000000000000001</v>
      </c>
      <c r="I439">
        <v>33.83</v>
      </c>
      <c r="J439">
        <v>1.6</v>
      </c>
      <c r="K439">
        <v>-1.1100000000000001</v>
      </c>
      <c r="L439">
        <v>-2.99</v>
      </c>
      <c r="M439">
        <v>54.37</v>
      </c>
      <c r="O439">
        <v>13.25</v>
      </c>
      <c r="P439">
        <v>6.16</v>
      </c>
      <c r="Q439">
        <v>0</v>
      </c>
      <c r="R439">
        <v>0</v>
      </c>
    </row>
    <row r="440" spans="1:18" x14ac:dyDescent="0.25">
      <c r="A440">
        <v>140</v>
      </c>
      <c r="B440">
        <v>91.56</v>
      </c>
      <c r="C440">
        <f>ROUNDDOWN(4.16181818181818,0)</f>
        <v>4</v>
      </c>
      <c r="D440">
        <v>-1.43</v>
      </c>
      <c r="F440">
        <v>-0.56000000000000005</v>
      </c>
      <c r="G440">
        <v>-0.68</v>
      </c>
      <c r="H440">
        <v>-1.34</v>
      </c>
      <c r="I440">
        <v>33.57</v>
      </c>
      <c r="J440">
        <v>1.66</v>
      </c>
      <c r="K440">
        <v>-1.21</v>
      </c>
      <c r="L440">
        <v>-3.27</v>
      </c>
      <c r="M440">
        <v>54.38</v>
      </c>
      <c r="O440">
        <v>13.32</v>
      </c>
      <c r="P440">
        <v>6.17</v>
      </c>
      <c r="Q440">
        <v>0</v>
      </c>
      <c r="R440">
        <v>0</v>
      </c>
    </row>
    <row r="441" spans="1:18" x14ac:dyDescent="0.25">
      <c r="A441">
        <v>140</v>
      </c>
      <c r="B441">
        <v>91.77</v>
      </c>
      <c r="C441">
        <f>ROUNDDOWN(4.17136363636364,0)</f>
        <v>4</v>
      </c>
      <c r="D441">
        <v>-1.83</v>
      </c>
      <c r="F441">
        <v>-0.52</v>
      </c>
      <c r="G441">
        <v>-0.68</v>
      </c>
      <c r="H441">
        <v>-1.75</v>
      </c>
      <c r="I441">
        <v>33.33</v>
      </c>
      <c r="J441">
        <v>1.72</v>
      </c>
      <c r="K441">
        <v>-1.46</v>
      </c>
      <c r="L441">
        <v>-3.67</v>
      </c>
      <c r="M441">
        <v>54.38</v>
      </c>
      <c r="O441">
        <v>13.4</v>
      </c>
      <c r="P441">
        <v>6.17</v>
      </c>
      <c r="Q441">
        <v>0</v>
      </c>
      <c r="R441">
        <v>0</v>
      </c>
    </row>
    <row r="442" spans="1:18" x14ac:dyDescent="0.25">
      <c r="A442">
        <v>140</v>
      </c>
      <c r="B442">
        <v>91.97999999999999</v>
      </c>
      <c r="C442">
        <f>ROUNDDOWN(4.18090909090909,0)</f>
        <v>4</v>
      </c>
      <c r="D442">
        <v>-2.2200000000000002</v>
      </c>
      <c r="F442">
        <v>-0.42</v>
      </c>
      <c r="G442">
        <v>-0.62</v>
      </c>
      <c r="H442">
        <v>-2.3199999999999998</v>
      </c>
      <c r="I442">
        <v>33.08</v>
      </c>
      <c r="J442">
        <v>1.79</v>
      </c>
      <c r="K442">
        <v>-1.88</v>
      </c>
      <c r="L442">
        <v>-4.21</v>
      </c>
      <c r="M442">
        <v>54.38</v>
      </c>
      <c r="O442">
        <v>13.48</v>
      </c>
      <c r="P442">
        <v>6.18</v>
      </c>
      <c r="Q442">
        <v>0</v>
      </c>
      <c r="R442">
        <v>0</v>
      </c>
    </row>
    <row r="443" spans="1:18" x14ac:dyDescent="0.25">
      <c r="A443">
        <v>140</v>
      </c>
      <c r="B443">
        <v>92.19</v>
      </c>
      <c r="C443">
        <f>ROUNDDOWN(4.19045454545455,0)</f>
        <v>4</v>
      </c>
      <c r="D443">
        <v>-2.4900000000000002</v>
      </c>
      <c r="F443">
        <v>-0.34</v>
      </c>
      <c r="G443">
        <v>-0.56999999999999995</v>
      </c>
      <c r="H443">
        <v>-2.91</v>
      </c>
      <c r="I443">
        <v>32.97</v>
      </c>
      <c r="J443">
        <v>1.85</v>
      </c>
      <c r="K443">
        <v>-2.35</v>
      </c>
      <c r="L443">
        <v>-4.66</v>
      </c>
      <c r="M443">
        <v>54.38</v>
      </c>
      <c r="O443">
        <v>13.55</v>
      </c>
      <c r="P443">
        <v>6.18</v>
      </c>
      <c r="Q443">
        <v>0</v>
      </c>
      <c r="R443">
        <v>0</v>
      </c>
    </row>
    <row r="444" spans="1:18" x14ac:dyDescent="0.25">
      <c r="A444">
        <v>140</v>
      </c>
      <c r="B444">
        <v>92.399999999999991</v>
      </c>
      <c r="C444">
        <f>ROUNDDOWN(4.2,0)</f>
        <v>4</v>
      </c>
      <c r="D444">
        <v>-2.52</v>
      </c>
      <c r="F444">
        <v>-0.3</v>
      </c>
      <c r="G444">
        <v>-0.56000000000000005</v>
      </c>
      <c r="H444">
        <v>-3.39</v>
      </c>
      <c r="I444">
        <v>33.07</v>
      </c>
      <c r="J444">
        <v>1.9</v>
      </c>
      <c r="K444">
        <v>-2.81</v>
      </c>
      <c r="L444">
        <v>-4.88</v>
      </c>
      <c r="M444">
        <v>54.38</v>
      </c>
      <c r="O444">
        <v>13.63</v>
      </c>
      <c r="P444">
        <v>6.19</v>
      </c>
      <c r="Q444">
        <v>0</v>
      </c>
      <c r="R444">
        <v>0</v>
      </c>
    </row>
    <row r="445" spans="1:18" x14ac:dyDescent="0.25">
      <c r="A445">
        <v>140</v>
      </c>
      <c r="B445">
        <v>92.61</v>
      </c>
      <c r="C445">
        <f>ROUNDDOWN(4.20954545454545,0)</f>
        <v>4</v>
      </c>
      <c r="D445">
        <v>-2.2200000000000002</v>
      </c>
      <c r="F445">
        <v>-0.33</v>
      </c>
      <c r="G445">
        <v>-0.62</v>
      </c>
      <c r="H445">
        <v>-3.67</v>
      </c>
      <c r="I445">
        <v>33.35</v>
      </c>
      <c r="J445">
        <v>1.93</v>
      </c>
      <c r="K445">
        <v>-3.12</v>
      </c>
      <c r="L445">
        <v>-4.8</v>
      </c>
      <c r="M445">
        <v>54.38</v>
      </c>
      <c r="O445">
        <v>13.71</v>
      </c>
      <c r="P445">
        <v>6.19</v>
      </c>
      <c r="Q445">
        <v>0</v>
      </c>
      <c r="R445">
        <v>0</v>
      </c>
    </row>
    <row r="446" spans="1:18" x14ac:dyDescent="0.25">
      <c r="A446">
        <v>140</v>
      </c>
      <c r="B446">
        <v>92.82</v>
      </c>
      <c r="C446">
        <f>ROUNDDOWN(4.21909090909091,0)</f>
        <v>4</v>
      </c>
      <c r="D446">
        <v>-1.91</v>
      </c>
      <c r="F446">
        <v>-0.37</v>
      </c>
      <c r="G446">
        <v>-0.69</v>
      </c>
      <c r="H446">
        <v>-4.03</v>
      </c>
      <c r="I446">
        <v>33.520000000000003</v>
      </c>
      <c r="J446">
        <v>1.96</v>
      </c>
      <c r="K446">
        <v>-3.43</v>
      </c>
      <c r="L446">
        <v>-4.8499999999999996</v>
      </c>
      <c r="M446">
        <v>54.38</v>
      </c>
      <c r="O446">
        <v>13.79</v>
      </c>
      <c r="P446">
        <v>6.2</v>
      </c>
      <c r="Q446">
        <v>0</v>
      </c>
      <c r="R446">
        <v>0</v>
      </c>
    </row>
    <row r="447" spans="1:18" x14ac:dyDescent="0.25">
      <c r="A447">
        <v>140</v>
      </c>
      <c r="B447">
        <v>93.03</v>
      </c>
      <c r="C447">
        <f>ROUNDDOWN(4.22863636363636,0)</f>
        <v>4</v>
      </c>
      <c r="D447">
        <v>-1.64</v>
      </c>
      <c r="F447">
        <v>-0.4</v>
      </c>
      <c r="G447">
        <v>-0.76</v>
      </c>
      <c r="H447">
        <v>-4.37</v>
      </c>
      <c r="I447">
        <v>33.72</v>
      </c>
      <c r="J447">
        <v>1.96</v>
      </c>
      <c r="K447">
        <v>-3.73</v>
      </c>
      <c r="L447">
        <v>-4.87</v>
      </c>
      <c r="M447">
        <v>54.38</v>
      </c>
      <c r="O447">
        <v>13.86</v>
      </c>
      <c r="P447">
        <v>6.21</v>
      </c>
      <c r="Q447">
        <v>0</v>
      </c>
      <c r="R447">
        <v>0</v>
      </c>
    </row>
    <row r="448" spans="1:18" x14ac:dyDescent="0.25">
      <c r="A448">
        <v>140</v>
      </c>
      <c r="B448">
        <v>93.24</v>
      </c>
      <c r="C448">
        <f>ROUNDDOWN(4.23818181818182,0)</f>
        <v>4</v>
      </c>
      <c r="D448">
        <v>-1.25</v>
      </c>
      <c r="F448">
        <v>-0.47</v>
      </c>
      <c r="G448">
        <v>-0.86</v>
      </c>
      <c r="H448">
        <v>-4.59</v>
      </c>
      <c r="I448">
        <v>34.08</v>
      </c>
      <c r="J448">
        <v>1.94</v>
      </c>
      <c r="K448">
        <v>-3.95</v>
      </c>
      <c r="L448">
        <v>-4.6900000000000004</v>
      </c>
      <c r="M448">
        <v>54.38</v>
      </c>
      <c r="O448">
        <v>13.94</v>
      </c>
      <c r="P448">
        <v>6.21</v>
      </c>
      <c r="Q448">
        <v>0</v>
      </c>
      <c r="R448">
        <v>0</v>
      </c>
    </row>
    <row r="449" spans="1:18" x14ac:dyDescent="0.25">
      <c r="A449">
        <v>140</v>
      </c>
      <c r="B449">
        <v>93.45</v>
      </c>
      <c r="C449">
        <f>ROUNDDOWN(4.24772727272727,0)</f>
        <v>4</v>
      </c>
      <c r="D449">
        <v>-0.76</v>
      </c>
      <c r="F449">
        <v>-0.5</v>
      </c>
      <c r="G449">
        <v>-0.93</v>
      </c>
      <c r="H449">
        <v>-4.54</v>
      </c>
      <c r="I449">
        <v>34.51</v>
      </c>
      <c r="J449">
        <v>1.89</v>
      </c>
      <c r="K449">
        <v>-3.92</v>
      </c>
      <c r="L449">
        <v>-4.2300000000000004</v>
      </c>
      <c r="M449">
        <v>54.38</v>
      </c>
      <c r="O449">
        <v>14.02</v>
      </c>
      <c r="P449">
        <v>6.22</v>
      </c>
      <c r="Q449">
        <v>0</v>
      </c>
      <c r="R449">
        <v>0</v>
      </c>
    </row>
    <row r="450" spans="1:18" x14ac:dyDescent="0.25">
      <c r="A450">
        <v>140</v>
      </c>
      <c r="B450">
        <v>93.66</v>
      </c>
      <c r="C450">
        <f>ROUNDDOWN(4.25727272727273,0)</f>
        <v>4</v>
      </c>
      <c r="D450">
        <v>-0.27</v>
      </c>
      <c r="F450">
        <v>-0.48</v>
      </c>
      <c r="G450">
        <v>-0.96</v>
      </c>
      <c r="H450">
        <v>-4.3899999999999997</v>
      </c>
      <c r="I450">
        <v>34.78</v>
      </c>
      <c r="J450">
        <v>1.82</v>
      </c>
      <c r="K450">
        <v>-3.71</v>
      </c>
      <c r="L450">
        <v>-3.77</v>
      </c>
      <c r="M450">
        <v>54.38</v>
      </c>
      <c r="O450">
        <v>14.1</v>
      </c>
      <c r="P450">
        <v>6.23</v>
      </c>
      <c r="Q450">
        <v>0</v>
      </c>
      <c r="R450">
        <v>0</v>
      </c>
    </row>
    <row r="451" spans="1:18" x14ac:dyDescent="0.25">
      <c r="A451">
        <v>140</v>
      </c>
      <c r="B451">
        <v>93.86999999999999</v>
      </c>
      <c r="C451">
        <f>ROUNDDOWN(4.26681818181818,0)</f>
        <v>4</v>
      </c>
      <c r="D451">
        <v>0.04</v>
      </c>
      <c r="F451">
        <v>-0.44</v>
      </c>
      <c r="G451">
        <v>-0.95</v>
      </c>
      <c r="H451">
        <v>-4.24</v>
      </c>
      <c r="I451">
        <v>34.81</v>
      </c>
      <c r="J451">
        <v>1.73</v>
      </c>
      <c r="K451">
        <v>-3.38</v>
      </c>
      <c r="L451">
        <v>-3.44</v>
      </c>
      <c r="M451">
        <v>54.38</v>
      </c>
      <c r="O451">
        <v>14.18</v>
      </c>
      <c r="P451">
        <v>6.24</v>
      </c>
      <c r="Q451">
        <v>0</v>
      </c>
      <c r="R451">
        <v>0</v>
      </c>
    </row>
    <row r="452" spans="1:18" x14ac:dyDescent="0.25">
      <c r="A452">
        <v>140</v>
      </c>
      <c r="B452">
        <v>94.08</v>
      </c>
      <c r="C452">
        <f>ROUNDDOWN(4.27636363636364,0)</f>
        <v>4</v>
      </c>
      <c r="D452">
        <v>0.4</v>
      </c>
      <c r="F452">
        <v>-0.38</v>
      </c>
      <c r="G452">
        <v>-0.93</v>
      </c>
      <c r="H452">
        <v>-4.12</v>
      </c>
      <c r="I452">
        <v>34.85</v>
      </c>
      <c r="J452">
        <v>1.62</v>
      </c>
      <c r="K452">
        <v>-3.09</v>
      </c>
      <c r="L452">
        <v>-3.15</v>
      </c>
      <c r="M452">
        <v>54.38</v>
      </c>
      <c r="O452">
        <v>14.25</v>
      </c>
      <c r="P452">
        <v>6.25</v>
      </c>
      <c r="Q452">
        <v>0</v>
      </c>
      <c r="R452">
        <v>0</v>
      </c>
    </row>
    <row r="453" spans="1:18" x14ac:dyDescent="0.25">
      <c r="A453">
        <v>140</v>
      </c>
      <c r="B453">
        <v>94.289999999999992</v>
      </c>
      <c r="C453">
        <f>ROUNDDOWN(4.28590909090909,0)</f>
        <v>4</v>
      </c>
      <c r="D453">
        <v>0.88</v>
      </c>
      <c r="F453">
        <v>-0.3</v>
      </c>
      <c r="G453">
        <v>-0.89</v>
      </c>
      <c r="H453">
        <v>-3.81</v>
      </c>
      <c r="I453">
        <v>35.01</v>
      </c>
      <c r="J453">
        <v>1.49</v>
      </c>
      <c r="K453">
        <v>-2.7</v>
      </c>
      <c r="L453">
        <v>-2.62</v>
      </c>
      <c r="M453">
        <v>54.38</v>
      </c>
      <c r="O453">
        <v>14.33</v>
      </c>
      <c r="P453">
        <v>6.26</v>
      </c>
      <c r="Q453">
        <v>0</v>
      </c>
      <c r="R453">
        <v>0</v>
      </c>
    </row>
    <row r="454" spans="1:18" x14ac:dyDescent="0.25">
      <c r="A454">
        <v>140</v>
      </c>
      <c r="B454">
        <v>94.5</v>
      </c>
      <c r="C454">
        <f>ROUNDDOWN(4.29545454545455,0)</f>
        <v>4</v>
      </c>
      <c r="D454">
        <v>1.36</v>
      </c>
      <c r="F454">
        <v>-0.16</v>
      </c>
      <c r="G454">
        <v>-0.78</v>
      </c>
      <c r="H454">
        <v>-3.44</v>
      </c>
      <c r="I454">
        <v>35.19</v>
      </c>
      <c r="J454">
        <v>1.35</v>
      </c>
      <c r="K454">
        <v>-2.25</v>
      </c>
      <c r="L454">
        <v>-2.0499999999999998</v>
      </c>
      <c r="M454">
        <v>54.38</v>
      </c>
      <c r="O454">
        <v>14.41</v>
      </c>
      <c r="P454">
        <v>6.26</v>
      </c>
      <c r="Q454">
        <v>0</v>
      </c>
      <c r="R454">
        <v>0</v>
      </c>
    </row>
    <row r="455" spans="1:18" x14ac:dyDescent="0.25">
      <c r="A455">
        <v>140</v>
      </c>
      <c r="B455">
        <v>94.71</v>
      </c>
      <c r="C455">
        <f>ROUNDDOWN(4.305,0)</f>
        <v>4</v>
      </c>
      <c r="D455">
        <v>1.63</v>
      </c>
      <c r="F455">
        <v>0.01</v>
      </c>
      <c r="G455">
        <v>-0.63</v>
      </c>
      <c r="H455">
        <v>-3.16</v>
      </c>
      <c r="I455">
        <v>35.200000000000003</v>
      </c>
      <c r="J455">
        <v>1.23</v>
      </c>
      <c r="K455">
        <v>-1.83</v>
      </c>
      <c r="L455">
        <v>-1.67</v>
      </c>
      <c r="M455">
        <v>54.38</v>
      </c>
      <c r="O455">
        <v>14.49</v>
      </c>
      <c r="P455">
        <v>6.27</v>
      </c>
      <c r="Q455">
        <v>0</v>
      </c>
      <c r="R455">
        <v>0</v>
      </c>
    </row>
    <row r="456" spans="1:18" x14ac:dyDescent="0.25">
      <c r="A456">
        <v>140</v>
      </c>
      <c r="B456">
        <v>94.92</v>
      </c>
      <c r="C456">
        <f>ROUNDDOWN(4.31454545454545,0)</f>
        <v>4</v>
      </c>
      <c r="D456">
        <v>1.82</v>
      </c>
      <c r="F456">
        <v>0.17</v>
      </c>
      <c r="G456">
        <v>-0.49</v>
      </c>
      <c r="H456">
        <v>-2.74</v>
      </c>
      <c r="I456">
        <v>35.15</v>
      </c>
      <c r="J456">
        <v>1.1299999999999999</v>
      </c>
      <c r="K456">
        <v>-1.27</v>
      </c>
      <c r="L456">
        <v>-1.21</v>
      </c>
      <c r="M456">
        <v>54.38</v>
      </c>
      <c r="O456">
        <v>14.57</v>
      </c>
      <c r="P456">
        <v>6.28</v>
      </c>
      <c r="Q456">
        <v>0</v>
      </c>
      <c r="R456">
        <v>0</v>
      </c>
    </row>
    <row r="457" spans="1:18" x14ac:dyDescent="0.25">
      <c r="A457">
        <v>140</v>
      </c>
      <c r="B457">
        <v>95.13</v>
      </c>
      <c r="C457">
        <f>ROUNDDOWN(4.32409090909091,0)</f>
        <v>4</v>
      </c>
      <c r="D457">
        <v>2.19</v>
      </c>
      <c r="F457">
        <v>0.26</v>
      </c>
      <c r="G457">
        <v>-0.4</v>
      </c>
      <c r="H457">
        <v>-2.2799999999999998</v>
      </c>
      <c r="I457">
        <v>35.270000000000003</v>
      </c>
      <c r="J457">
        <v>1.04</v>
      </c>
      <c r="K457">
        <v>-0.77</v>
      </c>
      <c r="L457">
        <v>-0.64</v>
      </c>
      <c r="M457">
        <v>54.39</v>
      </c>
      <c r="O457">
        <v>14.65</v>
      </c>
      <c r="P457">
        <v>6.29</v>
      </c>
      <c r="Q457">
        <v>0</v>
      </c>
      <c r="R457">
        <v>0</v>
      </c>
    </row>
    <row r="458" spans="1:18" x14ac:dyDescent="0.25">
      <c r="A458">
        <v>140</v>
      </c>
      <c r="B458">
        <v>95.34</v>
      </c>
      <c r="C458">
        <f>ROUNDDOWN(4.33363636363636,0)</f>
        <v>4</v>
      </c>
      <c r="D458">
        <v>2.67</v>
      </c>
      <c r="F458">
        <v>0.32</v>
      </c>
      <c r="G458">
        <v>-0.35</v>
      </c>
      <c r="H458">
        <v>-1.66</v>
      </c>
      <c r="I458">
        <v>35.64</v>
      </c>
      <c r="J458">
        <v>0.98</v>
      </c>
      <c r="K458">
        <v>-0.26</v>
      </c>
      <c r="L458">
        <v>0.19</v>
      </c>
      <c r="M458">
        <v>54.39</v>
      </c>
      <c r="O458">
        <v>14.72</v>
      </c>
      <c r="P458">
        <v>6.3</v>
      </c>
      <c r="Q458">
        <v>0</v>
      </c>
      <c r="R458">
        <v>0</v>
      </c>
    </row>
    <row r="459" spans="1:18" x14ac:dyDescent="0.25">
      <c r="A459">
        <v>140</v>
      </c>
      <c r="B459">
        <v>95.55</v>
      </c>
      <c r="C459">
        <f>ROUNDDOWN(4.34318181818182,0)</f>
        <v>4</v>
      </c>
      <c r="D459">
        <v>2.87</v>
      </c>
      <c r="F459">
        <v>0.33</v>
      </c>
      <c r="G459">
        <v>-0.34</v>
      </c>
      <c r="H459">
        <v>-1.1299999999999999</v>
      </c>
      <c r="I459">
        <v>35.93</v>
      </c>
      <c r="J459">
        <v>0.94</v>
      </c>
      <c r="K459">
        <v>0.19</v>
      </c>
      <c r="L459">
        <v>0.84</v>
      </c>
      <c r="M459">
        <v>54.39</v>
      </c>
      <c r="O459">
        <v>14.8</v>
      </c>
      <c r="P459">
        <v>6.31</v>
      </c>
      <c r="Q459">
        <v>0</v>
      </c>
      <c r="R459">
        <v>0</v>
      </c>
    </row>
    <row r="460" spans="1:18" x14ac:dyDescent="0.25">
      <c r="A460">
        <v>140</v>
      </c>
      <c r="B460">
        <v>95.759999999999991</v>
      </c>
      <c r="C460">
        <f>ROUNDDOWN(4.35272727272727,0)</f>
        <v>4</v>
      </c>
      <c r="D460">
        <v>2.68</v>
      </c>
      <c r="F460">
        <v>0.28999999999999998</v>
      </c>
      <c r="G460">
        <v>-0.39</v>
      </c>
      <c r="H460">
        <v>-0.61</v>
      </c>
      <c r="I460">
        <v>36.04</v>
      </c>
      <c r="J460">
        <v>0.9</v>
      </c>
      <c r="K460">
        <v>0.7</v>
      </c>
      <c r="L460">
        <v>1.35</v>
      </c>
      <c r="M460">
        <v>54.39</v>
      </c>
      <c r="O460">
        <v>14.88</v>
      </c>
      <c r="P460">
        <v>6.31</v>
      </c>
      <c r="Q460">
        <v>0</v>
      </c>
      <c r="R460">
        <v>0</v>
      </c>
    </row>
    <row r="461" spans="1:18" x14ac:dyDescent="0.25">
      <c r="A461">
        <v>140</v>
      </c>
      <c r="B461">
        <v>95.97</v>
      </c>
      <c r="C461">
        <f>ROUNDDOWN(4.36227272727273,0)</f>
        <v>4</v>
      </c>
      <c r="D461">
        <v>2.58</v>
      </c>
      <c r="F461">
        <v>0.15</v>
      </c>
      <c r="G461">
        <v>-0.53</v>
      </c>
      <c r="H461">
        <v>-0.03</v>
      </c>
      <c r="I461">
        <v>36.11</v>
      </c>
      <c r="J461">
        <v>0.86</v>
      </c>
      <c r="K461">
        <v>1.27</v>
      </c>
      <c r="L461">
        <v>1.89</v>
      </c>
      <c r="M461">
        <v>54.39</v>
      </c>
      <c r="O461">
        <v>14.96</v>
      </c>
      <c r="P461">
        <v>6.32</v>
      </c>
      <c r="Q461">
        <v>0</v>
      </c>
      <c r="R461">
        <v>0</v>
      </c>
    </row>
    <row r="462" spans="1:18" x14ac:dyDescent="0.25">
      <c r="A462">
        <v>140</v>
      </c>
      <c r="B462">
        <v>96.179999999999993</v>
      </c>
      <c r="C462">
        <f>ROUNDDOWN(4.37181818181818,0)</f>
        <v>4</v>
      </c>
      <c r="D462">
        <v>2.4500000000000002</v>
      </c>
      <c r="F462">
        <v>0.04</v>
      </c>
      <c r="G462">
        <v>-0.65</v>
      </c>
      <c r="H462">
        <v>0.5</v>
      </c>
      <c r="I462">
        <v>36.17</v>
      </c>
      <c r="J462">
        <v>0.81</v>
      </c>
      <c r="K462">
        <v>1.77</v>
      </c>
      <c r="L462">
        <v>2.35</v>
      </c>
      <c r="M462">
        <v>54.39</v>
      </c>
      <c r="O462">
        <v>15.04</v>
      </c>
      <c r="P462">
        <v>6.33</v>
      </c>
      <c r="Q462">
        <v>0</v>
      </c>
      <c r="R462">
        <v>0</v>
      </c>
    </row>
    <row r="463" spans="1:18" x14ac:dyDescent="0.25">
      <c r="A463">
        <v>140</v>
      </c>
      <c r="B463">
        <v>96.39</v>
      </c>
      <c r="C463">
        <f>ROUNDDOWN(4.38136363636364,0)</f>
        <v>4</v>
      </c>
      <c r="D463">
        <v>2.15</v>
      </c>
      <c r="F463">
        <v>0</v>
      </c>
      <c r="G463">
        <v>-0.71</v>
      </c>
      <c r="H463">
        <v>1</v>
      </c>
      <c r="I463">
        <v>36.229999999999997</v>
      </c>
      <c r="J463">
        <v>0.76</v>
      </c>
      <c r="K463">
        <v>2.2000000000000002</v>
      </c>
      <c r="L463">
        <v>2.74</v>
      </c>
      <c r="M463">
        <v>54.39</v>
      </c>
      <c r="O463">
        <v>15.12</v>
      </c>
      <c r="P463">
        <v>6.34</v>
      </c>
      <c r="Q463">
        <v>0</v>
      </c>
      <c r="R463">
        <v>0</v>
      </c>
    </row>
    <row r="464" spans="1:18" x14ac:dyDescent="0.25">
      <c r="A464">
        <v>140</v>
      </c>
      <c r="B464">
        <v>96.6</v>
      </c>
      <c r="C464">
        <f>ROUNDDOWN(4.39090909090909,0)</f>
        <v>4</v>
      </c>
      <c r="D464">
        <v>1.76</v>
      </c>
      <c r="F464">
        <v>-0.06</v>
      </c>
      <c r="G464">
        <v>-0.79</v>
      </c>
      <c r="H464">
        <v>1.51</v>
      </c>
      <c r="I464">
        <v>36.270000000000003</v>
      </c>
      <c r="J464">
        <v>0.71</v>
      </c>
      <c r="K464">
        <v>2.64</v>
      </c>
      <c r="L464">
        <v>3.13</v>
      </c>
      <c r="M464">
        <v>54.39</v>
      </c>
      <c r="O464">
        <v>15.2</v>
      </c>
      <c r="P464">
        <v>6.34</v>
      </c>
      <c r="Q464">
        <v>0</v>
      </c>
      <c r="R464">
        <v>0</v>
      </c>
    </row>
    <row r="465" spans="1:18" x14ac:dyDescent="0.25">
      <c r="A465">
        <v>140</v>
      </c>
      <c r="B465">
        <v>96.81</v>
      </c>
      <c r="C465">
        <f>ROUNDDOWN(4.40045454545455,0)</f>
        <v>4</v>
      </c>
      <c r="D465">
        <v>1.59</v>
      </c>
      <c r="F465">
        <v>-0.16</v>
      </c>
      <c r="G465">
        <v>-0.91</v>
      </c>
      <c r="H465">
        <v>2.1</v>
      </c>
      <c r="I465">
        <v>36.369999999999997</v>
      </c>
      <c r="J465">
        <v>0.67</v>
      </c>
      <c r="K465">
        <v>3.11</v>
      </c>
      <c r="L465">
        <v>3.6</v>
      </c>
      <c r="M465">
        <v>54.39</v>
      </c>
      <c r="O465">
        <v>15.28</v>
      </c>
      <c r="P465">
        <v>6.35</v>
      </c>
      <c r="Q465">
        <v>0</v>
      </c>
      <c r="R465">
        <v>0</v>
      </c>
    </row>
    <row r="466" spans="1:18" x14ac:dyDescent="0.25">
      <c r="A466">
        <v>140</v>
      </c>
      <c r="B466">
        <v>97.02</v>
      </c>
      <c r="C466">
        <f>ROUNDDOWN(4.41,0)</f>
        <v>4</v>
      </c>
      <c r="D466">
        <v>1.64</v>
      </c>
      <c r="F466">
        <v>-0.26</v>
      </c>
      <c r="G466">
        <v>-1.04</v>
      </c>
      <c r="H466">
        <v>2.61</v>
      </c>
      <c r="I466">
        <v>36.450000000000003</v>
      </c>
      <c r="J466">
        <v>0.64</v>
      </c>
      <c r="K466">
        <v>3.48</v>
      </c>
      <c r="L466">
        <v>3.94</v>
      </c>
      <c r="M466">
        <v>54.39</v>
      </c>
      <c r="O466">
        <v>15.36</v>
      </c>
      <c r="P466">
        <v>6.36</v>
      </c>
      <c r="Q466">
        <v>0</v>
      </c>
      <c r="R466">
        <v>0</v>
      </c>
    </row>
    <row r="467" spans="1:18" x14ac:dyDescent="0.25">
      <c r="A467">
        <v>140</v>
      </c>
      <c r="B467">
        <v>97.22999999999999</v>
      </c>
      <c r="C467">
        <f>ROUNDDOWN(4.41954545454545,0)</f>
        <v>4</v>
      </c>
      <c r="D467">
        <v>1.59</v>
      </c>
      <c r="F467">
        <v>-0.31</v>
      </c>
      <c r="G467">
        <v>-1.1100000000000001</v>
      </c>
      <c r="H467">
        <v>3.12</v>
      </c>
      <c r="I467">
        <v>36.43</v>
      </c>
      <c r="J467">
        <v>0.61</v>
      </c>
      <c r="K467">
        <v>3.88</v>
      </c>
      <c r="L467">
        <v>4.24</v>
      </c>
      <c r="M467">
        <v>54.39</v>
      </c>
      <c r="O467">
        <v>15.43</v>
      </c>
      <c r="P467">
        <v>6.37</v>
      </c>
      <c r="Q467">
        <v>0</v>
      </c>
      <c r="R467">
        <v>0</v>
      </c>
    </row>
    <row r="468" spans="1:18" x14ac:dyDescent="0.25">
      <c r="A468">
        <v>140</v>
      </c>
      <c r="B468">
        <v>97.44</v>
      </c>
      <c r="C468">
        <f>ROUNDDOWN(4.42909090909091,0)</f>
        <v>4</v>
      </c>
      <c r="D468">
        <v>1.42</v>
      </c>
      <c r="F468">
        <v>-0.3</v>
      </c>
      <c r="G468">
        <v>-1.1399999999999999</v>
      </c>
      <c r="H468">
        <v>3.58</v>
      </c>
      <c r="I468">
        <v>36.43</v>
      </c>
      <c r="J468">
        <v>0.59</v>
      </c>
      <c r="K468">
        <v>4.2</v>
      </c>
      <c r="L468">
        <v>4.47</v>
      </c>
      <c r="M468">
        <v>54.39</v>
      </c>
      <c r="O468">
        <v>15.51</v>
      </c>
      <c r="P468">
        <v>6.38</v>
      </c>
      <c r="Q468">
        <v>0</v>
      </c>
      <c r="R468">
        <v>0</v>
      </c>
    </row>
    <row r="469" spans="1:18" x14ac:dyDescent="0.25">
      <c r="A469">
        <v>140</v>
      </c>
      <c r="B469">
        <v>97.649999999999991</v>
      </c>
      <c r="C469">
        <f>ROUNDDOWN(4.43863636363636,0)</f>
        <v>4</v>
      </c>
      <c r="D469">
        <v>1.38</v>
      </c>
      <c r="F469">
        <v>-0.23</v>
      </c>
      <c r="G469">
        <v>-1.1000000000000001</v>
      </c>
      <c r="H469">
        <v>4.13</v>
      </c>
      <c r="I469">
        <v>36.57</v>
      </c>
      <c r="J469">
        <v>0.56999999999999995</v>
      </c>
      <c r="K469">
        <v>4.5199999999999996</v>
      </c>
      <c r="L469">
        <v>4.84</v>
      </c>
      <c r="M469">
        <v>54.39</v>
      </c>
      <c r="O469">
        <v>15.59</v>
      </c>
      <c r="P469">
        <v>6.39</v>
      </c>
      <c r="Q469">
        <v>0</v>
      </c>
      <c r="R469">
        <v>0</v>
      </c>
    </row>
    <row r="470" spans="1:18" x14ac:dyDescent="0.25">
      <c r="A470">
        <v>140</v>
      </c>
      <c r="B470">
        <v>97.86</v>
      </c>
      <c r="C470">
        <f>ROUNDDOWN(4.44818181818182,0)</f>
        <v>4</v>
      </c>
      <c r="D470">
        <v>1.56</v>
      </c>
      <c r="F470">
        <v>-0.15</v>
      </c>
      <c r="G470">
        <v>-1.04</v>
      </c>
      <c r="H470">
        <v>4.5599999999999996</v>
      </c>
      <c r="I470">
        <v>36.76</v>
      </c>
      <c r="J470">
        <v>0.55000000000000004</v>
      </c>
      <c r="K470">
        <v>4.67</v>
      </c>
      <c r="L470">
        <v>5.09</v>
      </c>
      <c r="M470">
        <v>54.39</v>
      </c>
      <c r="O470">
        <v>15.67</v>
      </c>
      <c r="P470">
        <v>6.4</v>
      </c>
      <c r="Q470">
        <v>0</v>
      </c>
      <c r="R470">
        <v>0</v>
      </c>
    </row>
    <row r="471" spans="1:18" x14ac:dyDescent="0.25">
      <c r="A471">
        <v>140</v>
      </c>
      <c r="B471">
        <v>98.07</v>
      </c>
      <c r="C471">
        <f>ROUNDDOWN(4.45772727272727,0)</f>
        <v>4</v>
      </c>
      <c r="D471">
        <v>1.73</v>
      </c>
      <c r="F471">
        <v>-7.0000000000000007E-2</v>
      </c>
      <c r="G471">
        <v>-0.98</v>
      </c>
      <c r="H471">
        <v>4.88</v>
      </c>
      <c r="I471">
        <v>36.880000000000003</v>
      </c>
      <c r="J471">
        <v>0.51</v>
      </c>
      <c r="K471">
        <v>4.75</v>
      </c>
      <c r="L471">
        <v>5.19</v>
      </c>
      <c r="M471">
        <v>54.39</v>
      </c>
      <c r="O471">
        <v>15.75</v>
      </c>
      <c r="P471">
        <v>6.41</v>
      </c>
      <c r="Q471">
        <v>0</v>
      </c>
      <c r="R471">
        <v>0</v>
      </c>
    </row>
    <row r="472" spans="1:18" x14ac:dyDescent="0.25">
      <c r="A472">
        <v>140</v>
      </c>
      <c r="B472">
        <v>98.28</v>
      </c>
      <c r="C472">
        <f>ROUNDDOWN(4.46727272727273,0)</f>
        <v>4</v>
      </c>
      <c r="D472">
        <v>1.75</v>
      </c>
      <c r="F472">
        <v>-0.04</v>
      </c>
      <c r="G472">
        <v>-0.97</v>
      </c>
      <c r="H472">
        <v>5.04</v>
      </c>
      <c r="I472">
        <v>37.020000000000003</v>
      </c>
      <c r="J472">
        <v>0.45</v>
      </c>
      <c r="K472">
        <v>4.66</v>
      </c>
      <c r="L472">
        <v>5.13</v>
      </c>
      <c r="M472">
        <v>54.39</v>
      </c>
      <c r="O472">
        <v>15.83</v>
      </c>
      <c r="P472">
        <v>6.42</v>
      </c>
      <c r="Q472">
        <v>0</v>
      </c>
      <c r="R472">
        <v>0</v>
      </c>
    </row>
    <row r="473" spans="1:18" x14ac:dyDescent="0.25">
      <c r="A473">
        <v>140</v>
      </c>
      <c r="B473">
        <v>98.49</v>
      </c>
      <c r="C473">
        <f>ROUNDDOWN(4.47681818181818,0)</f>
        <v>4</v>
      </c>
      <c r="D473">
        <v>1.56</v>
      </c>
      <c r="F473">
        <v>-0.01</v>
      </c>
      <c r="G473">
        <v>-0.97</v>
      </c>
      <c r="H473">
        <v>5.21</v>
      </c>
      <c r="I473">
        <v>37.200000000000003</v>
      </c>
      <c r="J473">
        <v>0.38</v>
      </c>
      <c r="K473">
        <v>4.55</v>
      </c>
      <c r="L473">
        <v>5.09</v>
      </c>
      <c r="M473">
        <v>54.39</v>
      </c>
      <c r="O473">
        <v>15.91</v>
      </c>
      <c r="P473">
        <v>6.44</v>
      </c>
      <c r="Q473">
        <v>0</v>
      </c>
      <c r="R473">
        <v>0</v>
      </c>
    </row>
    <row r="474" spans="1:18" x14ac:dyDescent="0.25">
      <c r="A474">
        <v>140</v>
      </c>
      <c r="B474">
        <v>98.7</v>
      </c>
      <c r="C474">
        <f>ROUNDDOWN(4.48636363636364,0)</f>
        <v>4</v>
      </c>
      <c r="D474">
        <v>1.45</v>
      </c>
      <c r="F474">
        <v>0.02</v>
      </c>
      <c r="G474">
        <v>-0.95</v>
      </c>
      <c r="H474">
        <v>5.28</v>
      </c>
      <c r="I474">
        <v>37.380000000000003</v>
      </c>
      <c r="J474">
        <v>0.28000000000000003</v>
      </c>
      <c r="K474">
        <v>4.3499999999999996</v>
      </c>
      <c r="L474">
        <v>4.95</v>
      </c>
      <c r="M474">
        <v>54.39</v>
      </c>
      <c r="O474">
        <v>15.99</v>
      </c>
      <c r="P474">
        <v>6.45</v>
      </c>
      <c r="Q474">
        <v>0</v>
      </c>
      <c r="R474">
        <v>0</v>
      </c>
    </row>
    <row r="475" spans="1:18" x14ac:dyDescent="0.25">
      <c r="A475">
        <v>140</v>
      </c>
      <c r="B475">
        <v>98.91</v>
      </c>
      <c r="C475">
        <f>ROUNDDOWN(4.49590909090909,0)</f>
        <v>4</v>
      </c>
      <c r="D475">
        <v>1.52</v>
      </c>
      <c r="F475">
        <v>0.05</v>
      </c>
      <c r="G475">
        <v>-0.94</v>
      </c>
      <c r="H475">
        <v>5.24</v>
      </c>
      <c r="I475">
        <v>37.56</v>
      </c>
      <c r="J475">
        <v>0.17</v>
      </c>
      <c r="K475">
        <v>4.05</v>
      </c>
      <c r="L475">
        <v>4.7</v>
      </c>
      <c r="M475">
        <v>54.39</v>
      </c>
      <c r="O475">
        <v>16.07</v>
      </c>
      <c r="P475">
        <v>6.46</v>
      </c>
      <c r="Q475">
        <v>0</v>
      </c>
      <c r="R475">
        <v>0</v>
      </c>
    </row>
    <row r="476" spans="1:18" x14ac:dyDescent="0.25">
      <c r="A476">
        <v>140</v>
      </c>
      <c r="B476">
        <v>99.11999999999999</v>
      </c>
      <c r="C476">
        <f>ROUNDDOWN(4.50545454545454,0)</f>
        <v>4</v>
      </c>
      <c r="D476">
        <v>1.74</v>
      </c>
      <c r="F476">
        <v>0.03</v>
      </c>
      <c r="G476">
        <v>-0.98</v>
      </c>
      <c r="H476">
        <v>5.1100000000000003</v>
      </c>
      <c r="I476">
        <v>37.85</v>
      </c>
      <c r="J476">
        <v>0.05</v>
      </c>
      <c r="K476">
        <v>3.62</v>
      </c>
      <c r="L476">
        <v>4.41</v>
      </c>
      <c r="M476">
        <v>54.4</v>
      </c>
      <c r="O476">
        <v>16.149999999999999</v>
      </c>
      <c r="P476">
        <v>6.47</v>
      </c>
      <c r="Q476">
        <v>0</v>
      </c>
      <c r="R476">
        <v>0</v>
      </c>
    </row>
    <row r="477" spans="1:18" x14ac:dyDescent="0.25">
      <c r="A477">
        <v>140</v>
      </c>
      <c r="B477">
        <v>99.33</v>
      </c>
      <c r="C477">
        <f>ROUNDDOWN(4.515,0)</f>
        <v>4</v>
      </c>
      <c r="D477">
        <v>2.0099999999999998</v>
      </c>
      <c r="F477">
        <v>-0.02</v>
      </c>
      <c r="G477">
        <v>-1.04</v>
      </c>
      <c r="H477">
        <v>4.8600000000000003</v>
      </c>
      <c r="I477">
        <v>38.18</v>
      </c>
      <c r="J477">
        <v>-0.08</v>
      </c>
      <c r="K477">
        <v>3.08</v>
      </c>
      <c r="L477">
        <v>4.03</v>
      </c>
      <c r="M477">
        <v>54.4</v>
      </c>
      <c r="O477">
        <v>16.22</v>
      </c>
      <c r="P477">
        <v>6.48</v>
      </c>
      <c r="Q477">
        <v>0</v>
      </c>
      <c r="R477">
        <v>0</v>
      </c>
    </row>
    <row r="478" spans="1:18" x14ac:dyDescent="0.25">
      <c r="A478">
        <v>140</v>
      </c>
      <c r="B478">
        <v>99.539999999999992</v>
      </c>
      <c r="C478">
        <f>ROUNDDOWN(4.52454545454545,0)</f>
        <v>4</v>
      </c>
      <c r="D478">
        <v>2.08</v>
      </c>
      <c r="F478">
        <v>-0.06</v>
      </c>
      <c r="G478">
        <v>-1.1000000000000001</v>
      </c>
      <c r="H478">
        <v>4.6399999999999997</v>
      </c>
      <c r="I478">
        <v>38.299999999999997</v>
      </c>
      <c r="J478">
        <v>-0.21</v>
      </c>
      <c r="K478">
        <v>2.69</v>
      </c>
      <c r="L478">
        <v>3.6</v>
      </c>
      <c r="M478">
        <v>54.4</v>
      </c>
      <c r="O478">
        <v>16.3</v>
      </c>
      <c r="P478">
        <v>6.49</v>
      </c>
      <c r="Q478">
        <v>0</v>
      </c>
      <c r="R478">
        <v>0</v>
      </c>
    </row>
    <row r="479" spans="1:18" x14ac:dyDescent="0.25">
      <c r="A479">
        <v>140</v>
      </c>
      <c r="B479">
        <v>99.75</v>
      </c>
      <c r="C479">
        <f>ROUNDDOWN(4.53409090909091,0)</f>
        <v>4</v>
      </c>
      <c r="D479">
        <v>1.92</v>
      </c>
      <c r="F479">
        <v>-0.11</v>
      </c>
      <c r="G479">
        <v>-1.17</v>
      </c>
      <c r="H479">
        <v>4.33</v>
      </c>
      <c r="I479">
        <v>38.19</v>
      </c>
      <c r="J479">
        <v>-0.34</v>
      </c>
      <c r="K479">
        <v>2.34</v>
      </c>
      <c r="L479">
        <v>2.98</v>
      </c>
      <c r="M479">
        <v>54.4</v>
      </c>
      <c r="O479">
        <v>16.38</v>
      </c>
      <c r="P479">
        <v>6.49</v>
      </c>
      <c r="Q479">
        <v>0</v>
      </c>
      <c r="R479">
        <v>0</v>
      </c>
    </row>
    <row r="480" spans="1:18" x14ac:dyDescent="0.25">
      <c r="A480">
        <v>140</v>
      </c>
      <c r="B480">
        <v>99.96</v>
      </c>
      <c r="C480">
        <f>ROUNDDOWN(4.54363636363636,0)</f>
        <v>4</v>
      </c>
      <c r="D480">
        <v>1.57</v>
      </c>
      <c r="F480">
        <v>-0.16</v>
      </c>
      <c r="G480">
        <v>-1.23</v>
      </c>
      <c r="H480">
        <v>4.0199999999999996</v>
      </c>
      <c r="I480">
        <v>37.94</v>
      </c>
      <c r="J480">
        <v>-0.45</v>
      </c>
      <c r="K480">
        <v>2.0699999999999998</v>
      </c>
      <c r="L480">
        <v>2.3199999999999998</v>
      </c>
      <c r="M480">
        <v>54.4</v>
      </c>
      <c r="O480">
        <v>16.46</v>
      </c>
      <c r="P480">
        <v>6.5</v>
      </c>
      <c r="Q480">
        <v>0</v>
      </c>
      <c r="R480">
        <v>0</v>
      </c>
    </row>
    <row r="481" spans="1:18" x14ac:dyDescent="0.25">
      <c r="A481">
        <v>140</v>
      </c>
      <c r="B481">
        <v>100.17</v>
      </c>
      <c r="C481">
        <f>ROUNDDOWN(4.55318181818182,0)</f>
        <v>4</v>
      </c>
      <c r="D481">
        <v>1.31</v>
      </c>
      <c r="F481">
        <v>-0.16</v>
      </c>
      <c r="G481">
        <v>-1.27</v>
      </c>
      <c r="H481">
        <v>3.62</v>
      </c>
      <c r="I481">
        <v>37.75</v>
      </c>
      <c r="J481">
        <v>-0.53</v>
      </c>
      <c r="K481">
        <v>1.68</v>
      </c>
      <c r="L481">
        <v>1.64</v>
      </c>
      <c r="M481">
        <v>54.4</v>
      </c>
      <c r="O481">
        <v>16.54</v>
      </c>
      <c r="P481">
        <v>6.51</v>
      </c>
      <c r="Q481">
        <v>0</v>
      </c>
      <c r="R481">
        <v>0</v>
      </c>
    </row>
    <row r="482" spans="1:18" x14ac:dyDescent="0.25">
      <c r="A482">
        <v>140</v>
      </c>
      <c r="B482">
        <v>100.38</v>
      </c>
      <c r="C482">
        <f>ROUNDDOWN(4.56272727272727,0)</f>
        <v>4</v>
      </c>
      <c r="D482">
        <v>1.23</v>
      </c>
      <c r="F482">
        <v>-0.17</v>
      </c>
      <c r="G482">
        <v>-1.29</v>
      </c>
      <c r="H482">
        <v>3.17</v>
      </c>
      <c r="I482">
        <v>37.659999999999997</v>
      </c>
      <c r="J482">
        <v>-0.6</v>
      </c>
      <c r="K482">
        <v>1.21</v>
      </c>
      <c r="L482">
        <v>0.99</v>
      </c>
      <c r="M482">
        <v>54.4</v>
      </c>
      <c r="O482">
        <v>16.62</v>
      </c>
      <c r="P482">
        <v>6.52</v>
      </c>
      <c r="Q482">
        <v>0</v>
      </c>
      <c r="R482">
        <v>0</v>
      </c>
    </row>
    <row r="483" spans="1:18" x14ac:dyDescent="0.25">
      <c r="A483">
        <v>140</v>
      </c>
      <c r="B483">
        <v>100.58999999999999</v>
      </c>
      <c r="C483">
        <f>ROUNDDOWN(4.57227272727273,0)</f>
        <v>4</v>
      </c>
      <c r="D483">
        <v>1.1499999999999999</v>
      </c>
      <c r="F483">
        <v>-0.17</v>
      </c>
      <c r="G483">
        <v>-1.31</v>
      </c>
      <c r="H483">
        <v>2.76</v>
      </c>
      <c r="I483">
        <v>37.58</v>
      </c>
      <c r="J483">
        <v>-0.65</v>
      </c>
      <c r="K483">
        <v>0.79</v>
      </c>
      <c r="L483">
        <v>0.42</v>
      </c>
      <c r="M483">
        <v>54.4</v>
      </c>
      <c r="O483">
        <v>16.7</v>
      </c>
      <c r="P483">
        <v>6.53</v>
      </c>
      <c r="Q483">
        <v>0</v>
      </c>
      <c r="R483">
        <v>0</v>
      </c>
    </row>
    <row r="484" spans="1:18" x14ac:dyDescent="0.25">
      <c r="A484">
        <v>140</v>
      </c>
      <c r="B484">
        <v>100.8</v>
      </c>
      <c r="C484">
        <f>ROUNDDOWN(4.58181818181818,0)</f>
        <v>4</v>
      </c>
      <c r="D484">
        <v>0.83</v>
      </c>
      <c r="F484">
        <v>-0.13</v>
      </c>
      <c r="G484">
        <v>-1.3</v>
      </c>
      <c r="H484">
        <v>2.46</v>
      </c>
      <c r="I484">
        <v>37.4</v>
      </c>
      <c r="J484">
        <v>-0.68</v>
      </c>
      <c r="K484">
        <v>0.54</v>
      </c>
      <c r="L484">
        <v>-0.06</v>
      </c>
      <c r="M484">
        <v>54.4</v>
      </c>
      <c r="O484">
        <v>16.77</v>
      </c>
      <c r="P484">
        <v>6.53</v>
      </c>
      <c r="Q484">
        <v>0</v>
      </c>
      <c r="R484">
        <v>0</v>
      </c>
    </row>
    <row r="485" spans="1:18" x14ac:dyDescent="0.25">
      <c r="A485">
        <v>140</v>
      </c>
      <c r="B485">
        <v>101.00999999999999</v>
      </c>
      <c r="C485">
        <f>ROUNDDOWN(4.59136363636364,0)</f>
        <v>4</v>
      </c>
      <c r="D485">
        <v>0.26</v>
      </c>
      <c r="F485">
        <v>-0.1</v>
      </c>
      <c r="G485">
        <v>-1.29</v>
      </c>
      <c r="H485">
        <v>2.16</v>
      </c>
      <c r="I485">
        <v>37.03</v>
      </c>
      <c r="J485">
        <v>-0.69</v>
      </c>
      <c r="K485">
        <v>0.38</v>
      </c>
      <c r="L485">
        <v>-0.61</v>
      </c>
      <c r="M485">
        <v>54.4</v>
      </c>
      <c r="O485">
        <v>16.850000000000001</v>
      </c>
      <c r="P485">
        <v>6.54</v>
      </c>
      <c r="Q485">
        <v>0</v>
      </c>
      <c r="R485">
        <v>0</v>
      </c>
    </row>
    <row r="486" spans="1:18" x14ac:dyDescent="0.25">
      <c r="A486">
        <v>140</v>
      </c>
      <c r="B486">
        <v>101.22</v>
      </c>
      <c r="C486">
        <f>ROUNDDOWN(4.60090909090909,0)</f>
        <v>4</v>
      </c>
      <c r="D486">
        <v>-0.11</v>
      </c>
      <c r="F486">
        <v>-0.11</v>
      </c>
      <c r="G486">
        <v>-1.32</v>
      </c>
      <c r="H486">
        <v>1.8</v>
      </c>
      <c r="I486">
        <v>36.770000000000003</v>
      </c>
      <c r="J486">
        <v>-0.67</v>
      </c>
      <c r="K486">
        <v>0.11</v>
      </c>
      <c r="L486">
        <v>-1.1200000000000001</v>
      </c>
      <c r="M486">
        <v>54.4</v>
      </c>
      <c r="O486">
        <v>16.93</v>
      </c>
      <c r="P486">
        <v>6.55</v>
      </c>
      <c r="Q486">
        <v>0</v>
      </c>
      <c r="R486">
        <v>0</v>
      </c>
    </row>
    <row r="487" spans="1:18" x14ac:dyDescent="0.25">
      <c r="A487">
        <v>140</v>
      </c>
      <c r="B487">
        <v>101.42999999999999</v>
      </c>
      <c r="C487">
        <f>ROUNDDOWN(4.61045454545455,0)</f>
        <v>4</v>
      </c>
      <c r="D487">
        <v>-0.21</v>
      </c>
      <c r="F487">
        <v>-0.12</v>
      </c>
      <c r="G487">
        <v>-1.35</v>
      </c>
      <c r="H487">
        <v>1.44</v>
      </c>
      <c r="I487">
        <v>36.81</v>
      </c>
      <c r="J487">
        <v>-0.65</v>
      </c>
      <c r="K487">
        <v>-0.28999999999999998</v>
      </c>
      <c r="L487">
        <v>-1.46</v>
      </c>
      <c r="M487">
        <v>54.4</v>
      </c>
      <c r="O487">
        <v>17.010000000000002</v>
      </c>
      <c r="P487">
        <v>6.56</v>
      </c>
      <c r="Q487">
        <v>0</v>
      </c>
      <c r="R487">
        <v>0</v>
      </c>
    </row>
    <row r="488" spans="1:18" x14ac:dyDescent="0.25">
      <c r="A488">
        <v>140</v>
      </c>
      <c r="B488">
        <v>101.64</v>
      </c>
      <c r="C488">
        <f>ROUNDDOWN(4.62,0)</f>
        <v>4</v>
      </c>
      <c r="D488">
        <v>-0.27</v>
      </c>
      <c r="F488">
        <v>-0.09</v>
      </c>
      <c r="G488">
        <v>-1.34</v>
      </c>
      <c r="H488">
        <v>1.1599999999999999</v>
      </c>
      <c r="I488">
        <v>36.93</v>
      </c>
      <c r="J488">
        <v>-0.61</v>
      </c>
      <c r="K488">
        <v>-0.65</v>
      </c>
      <c r="L488">
        <v>-1.68</v>
      </c>
      <c r="M488">
        <v>54.4</v>
      </c>
      <c r="O488">
        <v>17.09</v>
      </c>
      <c r="P488">
        <v>6.58</v>
      </c>
      <c r="Q488">
        <v>0</v>
      </c>
      <c r="R488">
        <v>0</v>
      </c>
    </row>
    <row r="489" spans="1:18" x14ac:dyDescent="0.25">
      <c r="A489">
        <v>140</v>
      </c>
      <c r="B489">
        <v>101.85</v>
      </c>
      <c r="C489">
        <f>ROUNDDOWN(4.62954545454545,0)</f>
        <v>4</v>
      </c>
      <c r="D489">
        <v>-0.52</v>
      </c>
      <c r="F489">
        <v>-0.03</v>
      </c>
      <c r="G489">
        <v>-1.3</v>
      </c>
      <c r="H489">
        <v>0.9</v>
      </c>
      <c r="I489">
        <v>36.86</v>
      </c>
      <c r="J489">
        <v>-0.56999999999999995</v>
      </c>
      <c r="K489">
        <v>-0.87</v>
      </c>
      <c r="L489">
        <v>-1.93</v>
      </c>
      <c r="M489">
        <v>54.4</v>
      </c>
      <c r="O489">
        <v>17.16</v>
      </c>
      <c r="P489">
        <v>6.59</v>
      </c>
      <c r="Q489">
        <v>0</v>
      </c>
      <c r="R489">
        <v>0</v>
      </c>
    </row>
    <row r="490" spans="1:18" x14ac:dyDescent="0.25">
      <c r="A490">
        <v>140</v>
      </c>
      <c r="B490">
        <v>102.06</v>
      </c>
      <c r="C490">
        <f>ROUNDDOWN(4.63909090909091,0)</f>
        <v>4</v>
      </c>
      <c r="D490">
        <v>-0.89</v>
      </c>
      <c r="F490">
        <v>0.04</v>
      </c>
      <c r="G490">
        <v>-1.24</v>
      </c>
      <c r="H490">
        <v>0.64</v>
      </c>
      <c r="I490">
        <v>36.68</v>
      </c>
      <c r="J490">
        <v>-0.52</v>
      </c>
      <c r="K490">
        <v>-1.02</v>
      </c>
      <c r="L490">
        <v>-2.2400000000000002</v>
      </c>
      <c r="M490">
        <v>54.4</v>
      </c>
      <c r="O490">
        <v>17.239999999999998</v>
      </c>
      <c r="P490">
        <v>6.6</v>
      </c>
      <c r="Q490">
        <v>0</v>
      </c>
      <c r="R490">
        <v>0</v>
      </c>
    </row>
    <row r="491" spans="1:18" x14ac:dyDescent="0.25">
      <c r="A491">
        <v>140</v>
      </c>
      <c r="B491">
        <v>102.27</v>
      </c>
      <c r="C491">
        <f>ROUNDDOWN(4.64863636363636,0)</f>
        <v>4</v>
      </c>
      <c r="D491">
        <v>-1.28</v>
      </c>
      <c r="F491">
        <v>0.14000000000000001</v>
      </c>
      <c r="G491">
        <v>-1.1599999999999999</v>
      </c>
      <c r="H491">
        <v>0.52</v>
      </c>
      <c r="I491">
        <v>36.58</v>
      </c>
      <c r="J491">
        <v>-0.48</v>
      </c>
      <c r="K491">
        <v>-1.08</v>
      </c>
      <c r="L491">
        <v>-2.35</v>
      </c>
      <c r="M491">
        <v>54.4</v>
      </c>
      <c r="O491">
        <v>17.32</v>
      </c>
      <c r="P491">
        <v>6.61</v>
      </c>
      <c r="Q491">
        <v>0</v>
      </c>
      <c r="R491">
        <v>0</v>
      </c>
    </row>
    <row r="492" spans="1:18" x14ac:dyDescent="0.25">
      <c r="A492">
        <v>140</v>
      </c>
      <c r="B492">
        <v>102.47999999999999</v>
      </c>
      <c r="C492">
        <f>ROUNDDOWN(4.65818181818182,0)</f>
        <v>4</v>
      </c>
      <c r="D492">
        <v>-1.54</v>
      </c>
      <c r="F492">
        <v>0.33</v>
      </c>
      <c r="G492">
        <v>-0.96</v>
      </c>
      <c r="H492">
        <v>0.34</v>
      </c>
      <c r="I492">
        <v>36.630000000000003</v>
      </c>
      <c r="J492">
        <v>-0.44</v>
      </c>
      <c r="K492">
        <v>-1.27</v>
      </c>
      <c r="L492">
        <v>-2.4300000000000002</v>
      </c>
      <c r="M492">
        <v>54.4</v>
      </c>
      <c r="O492">
        <v>17.399999999999999</v>
      </c>
      <c r="P492">
        <v>6.63</v>
      </c>
      <c r="Q492">
        <v>0</v>
      </c>
      <c r="R492">
        <v>0</v>
      </c>
    </row>
    <row r="493" spans="1:18" x14ac:dyDescent="0.25">
      <c r="A493">
        <v>140</v>
      </c>
      <c r="B493">
        <v>102.69</v>
      </c>
      <c r="C493">
        <f>ROUNDDOWN(4.66772727272727,0)</f>
        <v>4</v>
      </c>
      <c r="D493">
        <v>-1.53</v>
      </c>
      <c r="F493">
        <v>0.52</v>
      </c>
      <c r="G493">
        <v>-0.77</v>
      </c>
      <c r="H493">
        <v>0.1</v>
      </c>
      <c r="I493">
        <v>36.770000000000003</v>
      </c>
      <c r="J493">
        <v>-0.42</v>
      </c>
      <c r="K493">
        <v>-1.54</v>
      </c>
      <c r="L493">
        <v>-2.52</v>
      </c>
      <c r="M493">
        <v>54.4</v>
      </c>
      <c r="O493">
        <v>17.47</v>
      </c>
      <c r="P493">
        <v>6.64</v>
      </c>
      <c r="Q493">
        <v>0</v>
      </c>
      <c r="R493">
        <v>0</v>
      </c>
    </row>
    <row r="494" spans="1:18" x14ac:dyDescent="0.25">
      <c r="A494">
        <v>140</v>
      </c>
      <c r="B494">
        <v>102.89999999999999</v>
      </c>
      <c r="C494">
        <f>ROUNDDOWN(4.67727272727273,0)</f>
        <v>4</v>
      </c>
      <c r="D494">
        <v>-1.27</v>
      </c>
      <c r="F494">
        <v>0.65</v>
      </c>
      <c r="G494">
        <v>-0.63</v>
      </c>
      <c r="H494">
        <v>-0.06</v>
      </c>
      <c r="I494">
        <v>36.92</v>
      </c>
      <c r="J494">
        <v>-0.41</v>
      </c>
      <c r="K494">
        <v>-1.72</v>
      </c>
      <c r="L494">
        <v>-2.52</v>
      </c>
      <c r="M494">
        <v>54.4</v>
      </c>
      <c r="O494">
        <v>17.55</v>
      </c>
      <c r="P494">
        <v>6.65</v>
      </c>
      <c r="Q494">
        <v>0</v>
      </c>
      <c r="R494">
        <v>0</v>
      </c>
    </row>
    <row r="495" spans="1:18" x14ac:dyDescent="0.25">
      <c r="A495">
        <v>140</v>
      </c>
      <c r="B495">
        <v>103.11</v>
      </c>
      <c r="C495">
        <f>ROUNDDOWN(4.68681818181818,0)</f>
        <v>4</v>
      </c>
      <c r="D495">
        <v>-0.85</v>
      </c>
      <c r="F495">
        <v>0.7</v>
      </c>
      <c r="G495">
        <v>-0.55000000000000004</v>
      </c>
      <c r="H495">
        <v>-0.06</v>
      </c>
      <c r="I495">
        <v>37.090000000000003</v>
      </c>
      <c r="J495">
        <v>-0.43</v>
      </c>
      <c r="K495">
        <v>-1.75</v>
      </c>
      <c r="L495">
        <v>-2.37</v>
      </c>
      <c r="M495">
        <v>54.41</v>
      </c>
      <c r="O495">
        <v>17.63</v>
      </c>
      <c r="P495">
        <v>6.67</v>
      </c>
      <c r="Q495">
        <v>0</v>
      </c>
      <c r="R495">
        <v>0</v>
      </c>
    </row>
    <row r="496" spans="1:18" x14ac:dyDescent="0.25">
      <c r="A496">
        <v>140</v>
      </c>
      <c r="B496">
        <v>103.32</v>
      </c>
      <c r="C496">
        <f>ROUNDDOWN(4.69636363636364,0)</f>
        <v>4</v>
      </c>
      <c r="D496">
        <v>-0.56000000000000005</v>
      </c>
      <c r="F496">
        <v>0.78</v>
      </c>
      <c r="G496">
        <v>-0.45</v>
      </c>
      <c r="H496">
        <v>-0.04</v>
      </c>
      <c r="I496">
        <v>37.19</v>
      </c>
      <c r="J496">
        <v>-0.47</v>
      </c>
      <c r="K496">
        <v>-1.72</v>
      </c>
      <c r="L496">
        <v>-2.23</v>
      </c>
      <c r="M496">
        <v>54.41</v>
      </c>
      <c r="O496">
        <v>17.7</v>
      </c>
      <c r="P496">
        <v>6.69</v>
      </c>
      <c r="Q496">
        <v>0</v>
      </c>
      <c r="R496">
        <v>0</v>
      </c>
    </row>
    <row r="497" spans="1:18" x14ac:dyDescent="0.25">
      <c r="A497">
        <v>140</v>
      </c>
      <c r="B497">
        <v>103.53</v>
      </c>
      <c r="C497">
        <f>ROUNDDOWN(4.70590909090909,0)</f>
        <v>4</v>
      </c>
      <c r="D497">
        <v>-0.34</v>
      </c>
      <c r="F497">
        <v>0.86</v>
      </c>
      <c r="G497">
        <v>-0.34</v>
      </c>
      <c r="H497">
        <v>-0.13</v>
      </c>
      <c r="I497">
        <v>37.32</v>
      </c>
      <c r="J497">
        <v>-0.52</v>
      </c>
      <c r="K497">
        <v>-1.8</v>
      </c>
      <c r="L497">
        <v>-2.1800000000000002</v>
      </c>
      <c r="M497">
        <v>54.41</v>
      </c>
      <c r="O497">
        <v>17.78</v>
      </c>
      <c r="P497">
        <v>6.7</v>
      </c>
      <c r="Q497">
        <v>0</v>
      </c>
      <c r="R497">
        <v>0</v>
      </c>
    </row>
    <row r="498" spans="1:18" x14ac:dyDescent="0.25">
      <c r="A498">
        <v>140</v>
      </c>
      <c r="B498">
        <v>103.74</v>
      </c>
      <c r="C498">
        <f>ROUNDDOWN(4.71545454545454,0)</f>
        <v>4</v>
      </c>
      <c r="D498">
        <v>-0.02</v>
      </c>
      <c r="F498">
        <v>0.87</v>
      </c>
      <c r="G498">
        <v>-0.3</v>
      </c>
      <c r="H498">
        <v>-0.12</v>
      </c>
      <c r="I498">
        <v>37.56</v>
      </c>
      <c r="J498">
        <v>-0.57999999999999996</v>
      </c>
      <c r="K498">
        <v>-1.83</v>
      </c>
      <c r="L498">
        <v>-1.99</v>
      </c>
      <c r="M498">
        <v>54.41</v>
      </c>
      <c r="O498">
        <v>17.850000000000001</v>
      </c>
      <c r="P498">
        <v>6.72</v>
      </c>
      <c r="Q498">
        <v>0</v>
      </c>
      <c r="R498">
        <v>0</v>
      </c>
    </row>
    <row r="499" spans="1:18" x14ac:dyDescent="0.25">
      <c r="A499">
        <v>140</v>
      </c>
      <c r="B499">
        <v>103.95</v>
      </c>
      <c r="C499">
        <f>ROUNDDOWN(4.725,0)</f>
        <v>4</v>
      </c>
      <c r="D499">
        <v>0.49</v>
      </c>
      <c r="F499">
        <v>0.86</v>
      </c>
      <c r="G499">
        <v>-0.27</v>
      </c>
      <c r="H499">
        <v>0.02</v>
      </c>
      <c r="I499">
        <v>37.880000000000003</v>
      </c>
      <c r="J499">
        <v>-0.65</v>
      </c>
      <c r="K499">
        <v>-1.77</v>
      </c>
      <c r="L499">
        <v>-1.64</v>
      </c>
      <c r="M499">
        <v>54.41</v>
      </c>
      <c r="O499">
        <v>17.93</v>
      </c>
      <c r="P499">
        <v>6.73</v>
      </c>
      <c r="Q499">
        <v>0</v>
      </c>
      <c r="R499">
        <v>0</v>
      </c>
    </row>
    <row r="500" spans="1:18" x14ac:dyDescent="0.25">
      <c r="A500">
        <v>140</v>
      </c>
      <c r="B500">
        <v>104.16</v>
      </c>
      <c r="C500">
        <f>ROUNDDOWN(4.73454545454545,0)</f>
        <v>4</v>
      </c>
      <c r="D500">
        <v>1.0900000000000001</v>
      </c>
      <c r="F500">
        <v>0.87</v>
      </c>
      <c r="G500">
        <v>-0.23</v>
      </c>
      <c r="H500">
        <v>0.16</v>
      </c>
      <c r="I500">
        <v>38.11</v>
      </c>
      <c r="J500">
        <v>-0.73</v>
      </c>
      <c r="K500">
        <v>-1.65</v>
      </c>
      <c r="L500">
        <v>-1.36</v>
      </c>
      <c r="M500">
        <v>54.41</v>
      </c>
      <c r="O500">
        <v>18.010000000000002</v>
      </c>
      <c r="P500">
        <v>6.75</v>
      </c>
      <c r="Q500">
        <v>0</v>
      </c>
      <c r="R500">
        <v>0</v>
      </c>
    </row>
    <row r="501" spans="1:18" x14ac:dyDescent="0.25">
      <c r="A501">
        <v>140</v>
      </c>
      <c r="B501">
        <v>104.36999999999999</v>
      </c>
      <c r="C501">
        <f>ROUNDDOWN(4.74409090909091,0)</f>
        <v>4</v>
      </c>
      <c r="D501">
        <v>1.47</v>
      </c>
      <c r="F501">
        <v>0.91</v>
      </c>
      <c r="G501">
        <v>-0.15</v>
      </c>
      <c r="H501">
        <v>0.11</v>
      </c>
      <c r="I501">
        <v>38.25</v>
      </c>
      <c r="J501">
        <v>-0.8</v>
      </c>
      <c r="K501">
        <v>-1.68</v>
      </c>
      <c r="L501">
        <v>-1.32</v>
      </c>
      <c r="M501">
        <v>54.41</v>
      </c>
      <c r="O501">
        <v>18.079999999999998</v>
      </c>
      <c r="P501">
        <v>6.77</v>
      </c>
      <c r="Q501">
        <v>0</v>
      </c>
      <c r="R501">
        <v>0</v>
      </c>
    </row>
    <row r="502" spans="1:18" x14ac:dyDescent="0.25">
      <c r="A502">
        <v>140</v>
      </c>
      <c r="B502">
        <v>104.58</v>
      </c>
      <c r="C502">
        <f>ROUNDDOWN(4.75363636363636,0)</f>
        <v>4</v>
      </c>
      <c r="D502">
        <v>1.6</v>
      </c>
      <c r="F502">
        <v>0.89</v>
      </c>
      <c r="G502">
        <v>-0.13</v>
      </c>
      <c r="H502">
        <v>0.13</v>
      </c>
      <c r="I502">
        <v>38.409999999999997</v>
      </c>
      <c r="J502">
        <v>-0.87</v>
      </c>
      <c r="K502">
        <v>-1.64</v>
      </c>
      <c r="L502">
        <v>-1.2</v>
      </c>
      <c r="M502">
        <v>54.41</v>
      </c>
      <c r="O502">
        <v>18.16</v>
      </c>
      <c r="P502">
        <v>6.79</v>
      </c>
      <c r="Q502">
        <v>0</v>
      </c>
      <c r="R502">
        <v>0</v>
      </c>
    </row>
    <row r="503" spans="1:18" x14ac:dyDescent="0.25">
      <c r="A503">
        <v>140</v>
      </c>
      <c r="B503">
        <v>104.78999999999999</v>
      </c>
      <c r="C503">
        <f>ROUNDDOWN(4.76318181818182,0)</f>
        <v>4</v>
      </c>
      <c r="D503">
        <v>1.73</v>
      </c>
      <c r="F503">
        <v>0.84</v>
      </c>
      <c r="G503">
        <v>-0.14000000000000001</v>
      </c>
      <c r="H503">
        <v>0.27</v>
      </c>
      <c r="I503">
        <v>38.659999999999997</v>
      </c>
      <c r="J503">
        <v>-0.93</v>
      </c>
      <c r="K503">
        <v>-1.53</v>
      </c>
      <c r="L503">
        <v>-0.93</v>
      </c>
      <c r="M503">
        <v>54.41</v>
      </c>
      <c r="O503">
        <v>18.23</v>
      </c>
      <c r="P503">
        <v>6.8</v>
      </c>
      <c r="Q503">
        <v>0</v>
      </c>
      <c r="R503">
        <v>0</v>
      </c>
    </row>
    <row r="504" spans="1:18" x14ac:dyDescent="0.25">
      <c r="A504">
        <v>140</v>
      </c>
      <c r="B504">
        <v>105</v>
      </c>
      <c r="C504">
        <f>ROUNDDOWN(4.77272727272727,0)</f>
        <v>4</v>
      </c>
      <c r="D504">
        <v>2.02</v>
      </c>
      <c r="F504">
        <v>0.82</v>
      </c>
      <c r="G504">
        <v>-0.13</v>
      </c>
      <c r="H504">
        <v>0.42</v>
      </c>
      <c r="I504">
        <v>38.89</v>
      </c>
      <c r="J504">
        <v>-0.98</v>
      </c>
      <c r="K504">
        <v>-1.4</v>
      </c>
      <c r="L504">
        <v>-0.68</v>
      </c>
      <c r="M504">
        <v>54.41</v>
      </c>
      <c r="O504">
        <v>18.3</v>
      </c>
      <c r="P504">
        <v>6.82</v>
      </c>
      <c r="Q504">
        <v>0</v>
      </c>
      <c r="R504">
        <v>0</v>
      </c>
    </row>
    <row r="505" spans="1:18" x14ac:dyDescent="0.25">
      <c r="A505">
        <v>140</v>
      </c>
      <c r="B505">
        <v>105.21</v>
      </c>
      <c r="C505">
        <f>ROUNDDOWN(4.78227272727273,0)</f>
        <v>4</v>
      </c>
      <c r="D505">
        <v>2.4</v>
      </c>
      <c r="F505">
        <v>0.86</v>
      </c>
      <c r="G505">
        <v>-0.04</v>
      </c>
      <c r="H505">
        <v>0.42</v>
      </c>
      <c r="I505">
        <v>39.07</v>
      </c>
      <c r="J505">
        <v>-1.02</v>
      </c>
      <c r="K505">
        <v>-1.39</v>
      </c>
      <c r="L505">
        <v>-0.61</v>
      </c>
      <c r="M505">
        <v>54.41</v>
      </c>
      <c r="O505">
        <v>18.38</v>
      </c>
      <c r="P505">
        <v>6.84</v>
      </c>
      <c r="Q505">
        <v>0</v>
      </c>
      <c r="R505">
        <v>0</v>
      </c>
    </row>
    <row r="506" spans="1:18" x14ac:dyDescent="0.25">
      <c r="A506">
        <v>140</v>
      </c>
      <c r="B506">
        <v>105.42</v>
      </c>
      <c r="C506">
        <f>ROUNDDOWN(4.79181818181818,0)</f>
        <v>4</v>
      </c>
      <c r="D506">
        <v>2.73</v>
      </c>
      <c r="F506">
        <v>0.89</v>
      </c>
      <c r="G506">
        <v>0.02</v>
      </c>
      <c r="H506">
        <v>0.39</v>
      </c>
      <c r="I506">
        <v>39.31</v>
      </c>
      <c r="J506">
        <v>-1.04</v>
      </c>
      <c r="K506">
        <v>-1.43</v>
      </c>
      <c r="L506">
        <v>-0.54</v>
      </c>
      <c r="M506">
        <v>54.41</v>
      </c>
      <c r="O506">
        <v>18.45</v>
      </c>
      <c r="P506">
        <v>6.86</v>
      </c>
      <c r="Q506">
        <v>0</v>
      </c>
      <c r="R506">
        <v>0</v>
      </c>
    </row>
    <row r="507" spans="1:18" x14ac:dyDescent="0.25">
      <c r="A507">
        <v>140</v>
      </c>
      <c r="B507">
        <v>105.63</v>
      </c>
      <c r="C507">
        <f>ROUNDDOWN(4.80136363636364,0)</f>
        <v>4</v>
      </c>
      <c r="D507">
        <v>3.01</v>
      </c>
      <c r="F507">
        <v>0.88</v>
      </c>
      <c r="G507">
        <v>0.06</v>
      </c>
      <c r="H507">
        <v>0.48</v>
      </c>
      <c r="I507">
        <v>39.64</v>
      </c>
      <c r="J507">
        <v>-1.04</v>
      </c>
      <c r="K507">
        <v>-1.39</v>
      </c>
      <c r="L507">
        <v>-0.32</v>
      </c>
      <c r="M507">
        <v>54.41</v>
      </c>
      <c r="O507">
        <v>18.53</v>
      </c>
      <c r="P507">
        <v>6.87</v>
      </c>
      <c r="Q507">
        <v>0</v>
      </c>
      <c r="R507">
        <v>0</v>
      </c>
    </row>
    <row r="508" spans="1:18" x14ac:dyDescent="0.25">
      <c r="A508">
        <v>140</v>
      </c>
      <c r="B508">
        <v>105.83999999999999</v>
      </c>
      <c r="C508">
        <f>ROUNDDOWN(4.81090909090909,0)</f>
        <v>4</v>
      </c>
      <c r="D508">
        <v>3.19</v>
      </c>
      <c r="F508">
        <v>0.86</v>
      </c>
      <c r="G508">
        <v>0.08</v>
      </c>
      <c r="H508">
        <v>0.67</v>
      </c>
      <c r="I508">
        <v>39.96</v>
      </c>
      <c r="J508">
        <v>-1.01</v>
      </c>
      <c r="K508">
        <v>-1.25</v>
      </c>
      <c r="L508">
        <v>-0.02</v>
      </c>
      <c r="M508">
        <v>54.41</v>
      </c>
      <c r="O508">
        <v>18.600000000000001</v>
      </c>
      <c r="P508">
        <v>6.89</v>
      </c>
      <c r="Q508">
        <v>0</v>
      </c>
      <c r="R508">
        <v>0</v>
      </c>
    </row>
    <row r="509" spans="1:18" x14ac:dyDescent="0.25">
      <c r="A509">
        <v>140</v>
      </c>
      <c r="B509">
        <v>106.05</v>
      </c>
      <c r="C509">
        <f>ROUNDDOWN(4.82045454545455,0)</f>
        <v>4</v>
      </c>
      <c r="D509">
        <v>3.23</v>
      </c>
      <c r="F509">
        <v>0.84</v>
      </c>
      <c r="G509">
        <v>0.11</v>
      </c>
      <c r="H509">
        <v>0.8</v>
      </c>
      <c r="I509">
        <v>40.15</v>
      </c>
      <c r="J509">
        <v>-0.96</v>
      </c>
      <c r="K509">
        <v>-1.1100000000000001</v>
      </c>
      <c r="L509">
        <v>0.14000000000000001</v>
      </c>
      <c r="M509">
        <v>54.41</v>
      </c>
      <c r="O509">
        <v>18.670000000000002</v>
      </c>
      <c r="P509">
        <v>6.91</v>
      </c>
      <c r="Q509">
        <v>0</v>
      </c>
      <c r="R509">
        <v>0</v>
      </c>
    </row>
    <row r="510" spans="1:18" x14ac:dyDescent="0.25">
      <c r="A510">
        <v>140</v>
      </c>
      <c r="B510">
        <v>106.25999999999999</v>
      </c>
      <c r="C510">
        <f>ROUNDDOWN(4.83,0)</f>
        <v>4</v>
      </c>
      <c r="D510">
        <v>3.21</v>
      </c>
      <c r="F510">
        <v>0.8</v>
      </c>
      <c r="G510">
        <v>0.11</v>
      </c>
      <c r="H510">
        <v>0.92</v>
      </c>
      <c r="I510">
        <v>40.299999999999997</v>
      </c>
      <c r="J510">
        <v>-0.88</v>
      </c>
      <c r="K510">
        <v>-0.94</v>
      </c>
      <c r="L510">
        <v>0.25</v>
      </c>
      <c r="M510">
        <v>54.41</v>
      </c>
      <c r="O510">
        <v>18.75</v>
      </c>
      <c r="P510">
        <v>6.93</v>
      </c>
      <c r="Q510">
        <v>0</v>
      </c>
      <c r="R510">
        <v>0</v>
      </c>
    </row>
    <row r="511" spans="1:18" x14ac:dyDescent="0.25">
      <c r="A511">
        <v>140</v>
      </c>
      <c r="B511">
        <v>106.47</v>
      </c>
      <c r="C511">
        <f>ROUNDDOWN(4.83954545454545,0)</f>
        <v>4</v>
      </c>
      <c r="D511">
        <v>3.31</v>
      </c>
      <c r="F511">
        <v>0.75</v>
      </c>
      <c r="G511">
        <v>0.11</v>
      </c>
      <c r="H511">
        <v>1.1399999999999999</v>
      </c>
      <c r="I511">
        <v>40.5</v>
      </c>
      <c r="J511">
        <v>-0.78</v>
      </c>
      <c r="K511">
        <v>-0.71</v>
      </c>
      <c r="L511">
        <v>0.5</v>
      </c>
      <c r="M511">
        <v>54.41</v>
      </c>
      <c r="O511">
        <v>18.82</v>
      </c>
      <c r="P511">
        <v>6.95</v>
      </c>
      <c r="Q511">
        <v>0</v>
      </c>
      <c r="R511">
        <v>0</v>
      </c>
    </row>
    <row r="512" spans="1:18" x14ac:dyDescent="0.25">
      <c r="A512">
        <v>140</v>
      </c>
      <c r="B512">
        <v>106.67999999999999</v>
      </c>
      <c r="C512">
        <f>ROUNDDOWN(4.84909090909091,0)</f>
        <v>4</v>
      </c>
      <c r="D512">
        <v>3.56</v>
      </c>
      <c r="F512">
        <v>0.72</v>
      </c>
      <c r="G512">
        <v>0.12</v>
      </c>
      <c r="H512">
        <v>1.39</v>
      </c>
      <c r="I512">
        <v>40.880000000000003</v>
      </c>
      <c r="J512">
        <v>-0.66</v>
      </c>
      <c r="K512">
        <v>-0.55000000000000004</v>
      </c>
      <c r="L512">
        <v>0.83</v>
      </c>
      <c r="M512">
        <v>54.41</v>
      </c>
      <c r="O512">
        <v>18.89</v>
      </c>
      <c r="P512">
        <v>6.97</v>
      </c>
      <c r="Q512">
        <v>0</v>
      </c>
      <c r="R512">
        <v>0</v>
      </c>
    </row>
    <row r="513" spans="1:18" x14ac:dyDescent="0.25">
      <c r="A513">
        <v>140</v>
      </c>
      <c r="B513">
        <v>106.89</v>
      </c>
      <c r="C513">
        <f>ROUNDDOWN(4.85863636363636,0)</f>
        <v>4</v>
      </c>
      <c r="D513">
        <v>3.71</v>
      </c>
      <c r="F513">
        <v>0.71</v>
      </c>
      <c r="G513">
        <v>0.16</v>
      </c>
      <c r="H513">
        <v>1.59</v>
      </c>
      <c r="I513">
        <v>41.27</v>
      </c>
      <c r="J513">
        <v>-0.53</v>
      </c>
      <c r="K513">
        <v>-0.44</v>
      </c>
      <c r="L513">
        <v>1.1100000000000001</v>
      </c>
      <c r="M513">
        <v>54.42</v>
      </c>
      <c r="O513">
        <v>18.97</v>
      </c>
      <c r="P513">
        <v>7</v>
      </c>
      <c r="Q513">
        <v>0</v>
      </c>
      <c r="R513">
        <v>0</v>
      </c>
    </row>
    <row r="514" spans="1:18" x14ac:dyDescent="0.25">
      <c r="A514">
        <v>140</v>
      </c>
      <c r="B514">
        <v>107.1</v>
      </c>
      <c r="C514">
        <f>ROUNDDOWN(4.86818181818182,0)</f>
        <v>4</v>
      </c>
      <c r="D514">
        <v>3.73</v>
      </c>
      <c r="F514">
        <v>0.7</v>
      </c>
      <c r="G514">
        <v>0.19</v>
      </c>
      <c r="H514">
        <v>1.77</v>
      </c>
      <c r="I514">
        <v>41.62</v>
      </c>
      <c r="J514">
        <v>-0.38</v>
      </c>
      <c r="K514">
        <v>-0.34</v>
      </c>
      <c r="L514">
        <v>1.31</v>
      </c>
      <c r="M514">
        <v>54.42</v>
      </c>
      <c r="O514">
        <v>19.04</v>
      </c>
      <c r="P514">
        <v>7.02</v>
      </c>
      <c r="Q514">
        <v>0</v>
      </c>
      <c r="R514">
        <v>0</v>
      </c>
    </row>
    <row r="515" spans="1:18" x14ac:dyDescent="0.25">
      <c r="A515">
        <v>140</v>
      </c>
      <c r="B515">
        <v>107.31</v>
      </c>
      <c r="C515">
        <f>ROUNDDOWN(4.87772727272727,0)</f>
        <v>4</v>
      </c>
      <c r="D515">
        <v>3.74</v>
      </c>
      <c r="F515">
        <v>0.65</v>
      </c>
      <c r="G515">
        <v>0.19</v>
      </c>
      <c r="H515">
        <v>2.0699999999999998</v>
      </c>
      <c r="I515">
        <v>41.85</v>
      </c>
      <c r="J515">
        <v>-0.22</v>
      </c>
      <c r="K515">
        <v>-0.04</v>
      </c>
      <c r="L515">
        <v>1.58</v>
      </c>
      <c r="M515">
        <v>54.42</v>
      </c>
      <c r="O515">
        <v>19.11</v>
      </c>
      <c r="P515">
        <v>7.04</v>
      </c>
      <c r="Q515">
        <v>0</v>
      </c>
      <c r="R515">
        <v>0</v>
      </c>
    </row>
    <row r="516" spans="1:18" x14ac:dyDescent="0.25">
      <c r="A516">
        <v>140</v>
      </c>
      <c r="B516">
        <v>107.52</v>
      </c>
      <c r="C516">
        <f>ROUNDDOWN(4.88727272727273,0)</f>
        <v>4</v>
      </c>
      <c r="D516">
        <v>3.8</v>
      </c>
      <c r="F516">
        <v>0.63</v>
      </c>
      <c r="G516">
        <v>0.21</v>
      </c>
      <c r="H516">
        <v>2.4300000000000002</v>
      </c>
      <c r="I516">
        <v>42.05</v>
      </c>
      <c r="J516">
        <v>-0.06</v>
      </c>
      <c r="K516">
        <v>0.3</v>
      </c>
      <c r="L516">
        <v>1.86</v>
      </c>
      <c r="M516">
        <v>54.42</v>
      </c>
      <c r="O516">
        <v>19.18</v>
      </c>
      <c r="P516">
        <v>7.06</v>
      </c>
      <c r="Q516">
        <v>0</v>
      </c>
      <c r="R516">
        <v>0</v>
      </c>
    </row>
    <row r="517" spans="1:18" x14ac:dyDescent="0.25">
      <c r="A517">
        <v>140</v>
      </c>
      <c r="B517">
        <v>107.72999999999999</v>
      </c>
      <c r="C517">
        <f>ROUNDDOWN(4.89681818181818,0)</f>
        <v>4</v>
      </c>
      <c r="D517">
        <v>3.81</v>
      </c>
      <c r="F517">
        <v>0.69</v>
      </c>
      <c r="G517">
        <v>0.32</v>
      </c>
      <c r="H517">
        <v>2.72</v>
      </c>
      <c r="I517">
        <v>42.22</v>
      </c>
      <c r="J517">
        <v>0.1</v>
      </c>
      <c r="K517">
        <v>0.59</v>
      </c>
      <c r="L517">
        <v>2.0499999999999998</v>
      </c>
      <c r="M517">
        <v>54.42</v>
      </c>
      <c r="O517">
        <v>19.25</v>
      </c>
      <c r="P517">
        <v>7.08</v>
      </c>
      <c r="Q517">
        <v>0</v>
      </c>
      <c r="R517">
        <v>0</v>
      </c>
    </row>
    <row r="518" spans="1:18" x14ac:dyDescent="0.25">
      <c r="A518">
        <v>140</v>
      </c>
      <c r="B518">
        <v>107.94</v>
      </c>
      <c r="C518">
        <f>ROUNDDOWN(4.90636363636364,0)</f>
        <v>4</v>
      </c>
      <c r="D518">
        <v>3.68</v>
      </c>
      <c r="F518">
        <v>0.83</v>
      </c>
      <c r="G518">
        <v>0.51</v>
      </c>
      <c r="H518">
        <v>2.94</v>
      </c>
      <c r="I518">
        <v>42.34</v>
      </c>
      <c r="J518">
        <v>0.25</v>
      </c>
      <c r="K518">
        <v>0.81</v>
      </c>
      <c r="L518">
        <v>2.14</v>
      </c>
      <c r="M518">
        <v>54.42</v>
      </c>
      <c r="O518">
        <v>19.32</v>
      </c>
      <c r="P518">
        <v>7.1</v>
      </c>
      <c r="Q518">
        <v>0</v>
      </c>
      <c r="R518">
        <v>0</v>
      </c>
    </row>
    <row r="519" spans="1:18" x14ac:dyDescent="0.25">
      <c r="A519">
        <v>140</v>
      </c>
      <c r="B519">
        <v>108.14999999999999</v>
      </c>
      <c r="C519">
        <f>ROUNDDOWN(4.91590909090909,0)</f>
        <v>4</v>
      </c>
      <c r="D519">
        <v>3.55</v>
      </c>
      <c r="F519">
        <v>0.95</v>
      </c>
      <c r="G519">
        <v>0.68</v>
      </c>
      <c r="H519">
        <v>3.2</v>
      </c>
      <c r="I519">
        <v>42.44</v>
      </c>
      <c r="J519">
        <v>0.39</v>
      </c>
      <c r="K519">
        <v>1.07</v>
      </c>
      <c r="L519">
        <v>2.2400000000000002</v>
      </c>
      <c r="M519">
        <v>54.42</v>
      </c>
      <c r="O519">
        <v>19.399999999999999</v>
      </c>
      <c r="P519">
        <v>7.12</v>
      </c>
      <c r="Q519">
        <v>0</v>
      </c>
      <c r="R519">
        <v>0</v>
      </c>
    </row>
    <row r="520" spans="1:18" x14ac:dyDescent="0.25">
      <c r="A520">
        <v>140</v>
      </c>
      <c r="B520">
        <v>108.36</v>
      </c>
      <c r="C520">
        <f>ROUNDDOWN(4.92545454545455,0)</f>
        <v>4</v>
      </c>
      <c r="D520">
        <v>3.52</v>
      </c>
      <c r="F520">
        <v>1.01</v>
      </c>
      <c r="G520">
        <v>0.81</v>
      </c>
      <c r="H520">
        <v>3.47</v>
      </c>
      <c r="I520">
        <v>42.59</v>
      </c>
      <c r="J520">
        <v>0.5</v>
      </c>
      <c r="K520">
        <v>1.31</v>
      </c>
      <c r="L520">
        <v>2.38</v>
      </c>
      <c r="M520">
        <v>54.42</v>
      </c>
      <c r="O520">
        <v>19.47</v>
      </c>
      <c r="P520">
        <v>7.14</v>
      </c>
      <c r="Q520">
        <v>0</v>
      </c>
      <c r="R520">
        <v>0</v>
      </c>
    </row>
    <row r="521" spans="1:18" x14ac:dyDescent="0.25">
      <c r="A521">
        <v>140</v>
      </c>
      <c r="B521">
        <v>108.57</v>
      </c>
      <c r="C521">
        <f>ROUNDDOWN(4.935,0)</f>
        <v>4</v>
      </c>
      <c r="D521">
        <v>3.48</v>
      </c>
      <c r="F521">
        <v>1.02</v>
      </c>
      <c r="G521">
        <v>0.89</v>
      </c>
      <c r="H521">
        <v>3.67</v>
      </c>
      <c r="I521">
        <v>42.79</v>
      </c>
      <c r="J521">
        <v>0.57999999999999996</v>
      </c>
      <c r="K521">
        <v>1.44</v>
      </c>
      <c r="L521">
        <v>2.46</v>
      </c>
      <c r="M521">
        <v>54.42</v>
      </c>
      <c r="O521">
        <v>19.54</v>
      </c>
      <c r="P521">
        <v>7.16</v>
      </c>
      <c r="Q521">
        <v>0</v>
      </c>
      <c r="R521">
        <v>0</v>
      </c>
    </row>
    <row r="522" spans="1:18" x14ac:dyDescent="0.25">
      <c r="A522">
        <v>140</v>
      </c>
      <c r="B522">
        <v>108.78</v>
      </c>
      <c r="C522">
        <f>ROUNDDOWN(4.94454545454545,0)</f>
        <v>4</v>
      </c>
      <c r="D522">
        <v>3.33</v>
      </c>
      <c r="F522">
        <v>0.99</v>
      </c>
      <c r="G522">
        <v>0.92</v>
      </c>
      <c r="H522">
        <v>3.77</v>
      </c>
      <c r="I522">
        <v>42.97</v>
      </c>
      <c r="J522">
        <v>0.63</v>
      </c>
      <c r="K522">
        <v>1.47</v>
      </c>
      <c r="L522">
        <v>2.41</v>
      </c>
      <c r="M522">
        <v>54.42</v>
      </c>
      <c r="O522">
        <v>19.61</v>
      </c>
      <c r="P522">
        <v>7.18</v>
      </c>
      <c r="Q522">
        <v>0</v>
      </c>
      <c r="R522">
        <v>0</v>
      </c>
    </row>
    <row r="523" spans="1:18" x14ac:dyDescent="0.25">
      <c r="A523">
        <v>140</v>
      </c>
      <c r="B523">
        <v>108.99</v>
      </c>
      <c r="C523">
        <f>ROUNDDOWN(4.95409090909091,0)</f>
        <v>4</v>
      </c>
      <c r="D523">
        <v>3.09</v>
      </c>
      <c r="F523">
        <v>0.9</v>
      </c>
      <c r="G523">
        <v>0.9</v>
      </c>
      <c r="H523">
        <v>3.86</v>
      </c>
      <c r="I523">
        <v>43.05</v>
      </c>
      <c r="J523">
        <v>0.64</v>
      </c>
      <c r="K523">
        <v>1.55</v>
      </c>
      <c r="L523">
        <v>2.33</v>
      </c>
      <c r="M523">
        <v>54.42</v>
      </c>
      <c r="O523">
        <v>19.68</v>
      </c>
      <c r="P523">
        <v>7.21</v>
      </c>
      <c r="Q523">
        <v>0</v>
      </c>
      <c r="R523">
        <v>0</v>
      </c>
    </row>
    <row r="524" spans="1:18" x14ac:dyDescent="0.25">
      <c r="A524">
        <v>140</v>
      </c>
      <c r="B524">
        <v>109.2</v>
      </c>
      <c r="C524">
        <f>ROUNDDOWN(4.96363636363636,0)</f>
        <v>4</v>
      </c>
      <c r="D524">
        <v>2.84</v>
      </c>
      <c r="F524">
        <v>0.79</v>
      </c>
      <c r="G524">
        <v>0.86</v>
      </c>
      <c r="H524">
        <v>3.93</v>
      </c>
      <c r="I524">
        <v>43</v>
      </c>
      <c r="J524">
        <v>0.63</v>
      </c>
      <c r="K524">
        <v>1.66</v>
      </c>
      <c r="L524">
        <v>2.15</v>
      </c>
      <c r="M524">
        <v>54.42</v>
      </c>
      <c r="O524">
        <v>19.75</v>
      </c>
      <c r="P524">
        <v>7.23</v>
      </c>
      <c r="Q524">
        <v>0</v>
      </c>
      <c r="R524">
        <v>0</v>
      </c>
    </row>
    <row r="525" spans="1:18" x14ac:dyDescent="0.25">
      <c r="A525">
        <v>140</v>
      </c>
      <c r="B525">
        <v>109.41</v>
      </c>
      <c r="C525">
        <f>ROUNDDOWN(4.97318181818182,0)</f>
        <v>4</v>
      </c>
      <c r="D525">
        <v>2.62</v>
      </c>
      <c r="F525">
        <v>0.71</v>
      </c>
      <c r="G525">
        <v>0.84</v>
      </c>
      <c r="H525">
        <v>3.94</v>
      </c>
      <c r="I525">
        <v>42.92</v>
      </c>
      <c r="J525">
        <v>0.59</v>
      </c>
      <c r="K525">
        <v>1.72</v>
      </c>
      <c r="L525">
        <v>1.92</v>
      </c>
      <c r="M525">
        <v>54.42</v>
      </c>
      <c r="O525">
        <v>19.82</v>
      </c>
      <c r="P525">
        <v>7.25</v>
      </c>
      <c r="Q525">
        <v>0</v>
      </c>
      <c r="R525">
        <v>0</v>
      </c>
    </row>
    <row r="526" spans="1:18" x14ac:dyDescent="0.25">
      <c r="A526">
        <v>140</v>
      </c>
      <c r="B526">
        <v>109.61999999999999</v>
      </c>
      <c r="C526">
        <f>ROUNDDOWN(4.98272727272727,0)</f>
        <v>4</v>
      </c>
      <c r="D526">
        <v>2.34</v>
      </c>
      <c r="F526">
        <v>0.65</v>
      </c>
      <c r="G526">
        <v>0.83</v>
      </c>
      <c r="H526">
        <v>3.87</v>
      </c>
      <c r="I526">
        <v>42.84</v>
      </c>
      <c r="J526">
        <v>0.54</v>
      </c>
      <c r="K526">
        <v>1.69</v>
      </c>
      <c r="L526">
        <v>1.62</v>
      </c>
      <c r="M526">
        <v>54.42</v>
      </c>
      <c r="O526">
        <v>19.89</v>
      </c>
      <c r="P526">
        <v>7.27</v>
      </c>
      <c r="Q526">
        <v>0</v>
      </c>
      <c r="R526">
        <v>0</v>
      </c>
    </row>
    <row r="527" spans="1:18" x14ac:dyDescent="0.25">
      <c r="A527">
        <v>140</v>
      </c>
      <c r="B527">
        <v>109.83</v>
      </c>
      <c r="C527">
        <f>ROUNDDOWN(4.99227272727273,0)</f>
        <v>4</v>
      </c>
      <c r="D527">
        <v>1.9</v>
      </c>
      <c r="F527">
        <v>0.56999999999999995</v>
      </c>
      <c r="G527">
        <v>0.8</v>
      </c>
      <c r="H527">
        <v>3.79</v>
      </c>
      <c r="I527">
        <v>42.77</v>
      </c>
      <c r="J527">
        <v>0.48</v>
      </c>
      <c r="K527">
        <v>1.64</v>
      </c>
      <c r="L527">
        <v>1.34</v>
      </c>
      <c r="M527">
        <v>54.42</v>
      </c>
      <c r="O527">
        <v>19.96</v>
      </c>
      <c r="P527">
        <v>7.29</v>
      </c>
      <c r="Q527">
        <v>0</v>
      </c>
      <c r="R527">
        <v>0</v>
      </c>
    </row>
    <row r="528" spans="1:18" x14ac:dyDescent="0.25">
      <c r="A528">
        <v>140</v>
      </c>
      <c r="B528">
        <v>110.03999999999999</v>
      </c>
      <c r="C528">
        <f>ROUNDDOWN(5.00181818181818,0)</f>
        <v>5</v>
      </c>
      <c r="D528">
        <v>1.32</v>
      </c>
      <c r="F528">
        <v>0.48</v>
      </c>
      <c r="G528">
        <v>0.77</v>
      </c>
      <c r="H528">
        <v>3.7</v>
      </c>
      <c r="I528">
        <v>42.59</v>
      </c>
      <c r="J528">
        <v>0.41</v>
      </c>
      <c r="K528">
        <v>1.62</v>
      </c>
      <c r="L528">
        <v>1</v>
      </c>
      <c r="M528">
        <v>54.42</v>
      </c>
      <c r="O528">
        <v>20.03</v>
      </c>
      <c r="P528">
        <v>7.31</v>
      </c>
      <c r="Q528">
        <v>0</v>
      </c>
      <c r="R528">
        <v>0</v>
      </c>
    </row>
    <row r="529" spans="1:18" x14ac:dyDescent="0.25">
      <c r="A529">
        <v>140</v>
      </c>
      <c r="B529">
        <v>110.25</v>
      </c>
      <c r="C529">
        <f>ROUNDDOWN(5.01136363636364,0)</f>
        <v>5</v>
      </c>
      <c r="D529">
        <v>0.67</v>
      </c>
      <c r="F529">
        <v>0.45</v>
      </c>
      <c r="G529">
        <v>0.79</v>
      </c>
      <c r="H529">
        <v>3.54</v>
      </c>
      <c r="I529">
        <v>42.29</v>
      </c>
      <c r="J529">
        <v>0.35</v>
      </c>
      <c r="K529">
        <v>1.6</v>
      </c>
      <c r="L529">
        <v>0.56000000000000005</v>
      </c>
      <c r="M529">
        <v>54.42</v>
      </c>
      <c r="O529">
        <v>20.100000000000001</v>
      </c>
      <c r="P529">
        <v>7.33</v>
      </c>
      <c r="Q529">
        <v>0</v>
      </c>
      <c r="R529">
        <v>0</v>
      </c>
    </row>
    <row r="530" spans="1:18" x14ac:dyDescent="0.25">
      <c r="A530">
        <v>140</v>
      </c>
      <c r="B530">
        <v>110.46</v>
      </c>
      <c r="C530">
        <f>ROUNDDOWN(5.02090909090909,0)</f>
        <v>5</v>
      </c>
      <c r="D530">
        <v>0.06</v>
      </c>
      <c r="F530">
        <v>0.42</v>
      </c>
      <c r="G530">
        <v>0.81</v>
      </c>
      <c r="H530">
        <v>3.33</v>
      </c>
      <c r="I530">
        <v>41.91</v>
      </c>
      <c r="J530">
        <v>0.28000000000000003</v>
      </c>
      <c r="K530">
        <v>1.54</v>
      </c>
      <c r="L530">
        <v>7.0000000000000007E-2</v>
      </c>
      <c r="M530">
        <v>54.42</v>
      </c>
      <c r="O530">
        <v>20.16</v>
      </c>
      <c r="P530">
        <v>7.35</v>
      </c>
      <c r="Q530">
        <v>0</v>
      </c>
      <c r="R530">
        <v>0</v>
      </c>
    </row>
    <row r="531" spans="1:18" x14ac:dyDescent="0.25">
      <c r="A531">
        <v>140</v>
      </c>
      <c r="B531">
        <v>110.67</v>
      </c>
      <c r="C531">
        <f>ROUNDDOWN(5.03045454545455,0)</f>
        <v>5</v>
      </c>
      <c r="D531">
        <v>-0.33</v>
      </c>
      <c r="F531">
        <v>0.38</v>
      </c>
      <c r="G531">
        <v>0.81</v>
      </c>
      <c r="H531">
        <v>3.13</v>
      </c>
      <c r="I531">
        <v>41.71</v>
      </c>
      <c r="J531">
        <v>0.23</v>
      </c>
      <c r="K531">
        <v>1.41</v>
      </c>
      <c r="L531">
        <v>-0.3</v>
      </c>
      <c r="M531">
        <v>54.42</v>
      </c>
      <c r="O531">
        <v>20.23</v>
      </c>
      <c r="P531">
        <v>7.37</v>
      </c>
      <c r="Q531">
        <v>0</v>
      </c>
      <c r="R531">
        <v>0</v>
      </c>
    </row>
    <row r="532" spans="1:18" x14ac:dyDescent="0.25">
      <c r="A532">
        <v>140</v>
      </c>
      <c r="B532">
        <v>110.88</v>
      </c>
      <c r="C532">
        <f>ROUNDDOWN(5.04,0)</f>
        <v>5</v>
      </c>
      <c r="D532">
        <v>-0.55000000000000004</v>
      </c>
      <c r="F532">
        <v>0.34</v>
      </c>
      <c r="G532">
        <v>0.82</v>
      </c>
      <c r="H532">
        <v>2.89</v>
      </c>
      <c r="I532">
        <v>41.67</v>
      </c>
      <c r="J532">
        <v>0.18</v>
      </c>
      <c r="K532">
        <v>1.1499999999999999</v>
      </c>
      <c r="L532">
        <v>-0.6</v>
      </c>
      <c r="M532">
        <v>54.43</v>
      </c>
      <c r="O532">
        <v>20.3</v>
      </c>
      <c r="P532">
        <v>7.39</v>
      </c>
      <c r="Q532">
        <v>0</v>
      </c>
      <c r="R532">
        <v>0</v>
      </c>
    </row>
    <row r="533" spans="1:18" x14ac:dyDescent="0.25">
      <c r="A533">
        <v>140</v>
      </c>
      <c r="B533">
        <v>111.08999999999999</v>
      </c>
      <c r="C533">
        <f>ROUNDDOWN(5.04954545454545,0)</f>
        <v>5</v>
      </c>
      <c r="D533">
        <v>-0.64</v>
      </c>
      <c r="F533">
        <v>0.31</v>
      </c>
      <c r="G533">
        <v>0.83</v>
      </c>
      <c r="H533">
        <v>2.58</v>
      </c>
      <c r="I533">
        <v>41.7</v>
      </c>
      <c r="J533">
        <v>0.14000000000000001</v>
      </c>
      <c r="K533">
        <v>0.81</v>
      </c>
      <c r="L533">
        <v>-0.92</v>
      </c>
      <c r="M533">
        <v>54.43</v>
      </c>
      <c r="O533">
        <v>20.37</v>
      </c>
      <c r="P533">
        <v>7.41</v>
      </c>
      <c r="Q533">
        <v>0</v>
      </c>
      <c r="R533">
        <v>0</v>
      </c>
    </row>
    <row r="534" spans="1:18" x14ac:dyDescent="0.25">
      <c r="A534">
        <v>140</v>
      </c>
      <c r="B534">
        <v>111.3</v>
      </c>
      <c r="C534">
        <f>ROUNDDOWN(5.05909090909091,0)</f>
        <v>5</v>
      </c>
      <c r="D534">
        <v>-0.67</v>
      </c>
      <c r="F534">
        <v>0.26</v>
      </c>
      <c r="G534">
        <v>0.83</v>
      </c>
      <c r="H534">
        <v>2.2799999999999998</v>
      </c>
      <c r="I534">
        <v>41.77</v>
      </c>
      <c r="J534">
        <v>0.11</v>
      </c>
      <c r="K534">
        <v>0.47</v>
      </c>
      <c r="L534">
        <v>-1.19</v>
      </c>
      <c r="M534">
        <v>54.43</v>
      </c>
      <c r="O534">
        <v>20.43</v>
      </c>
      <c r="P534">
        <v>7.43</v>
      </c>
      <c r="Q534">
        <v>0</v>
      </c>
      <c r="R534">
        <v>0</v>
      </c>
    </row>
    <row r="535" spans="1:18" x14ac:dyDescent="0.25">
      <c r="A535">
        <v>140</v>
      </c>
      <c r="B535">
        <v>111.50999999999999</v>
      </c>
      <c r="C535">
        <f>ROUNDDOWN(5.06863636363636,0)</f>
        <v>5</v>
      </c>
      <c r="D535">
        <v>-0.7</v>
      </c>
      <c r="F535">
        <v>0.18</v>
      </c>
      <c r="G535">
        <v>0.79</v>
      </c>
      <c r="H535">
        <v>2.0499999999999998</v>
      </c>
      <c r="I535">
        <v>41.89</v>
      </c>
      <c r="J535">
        <v>0.08</v>
      </c>
      <c r="K535">
        <v>0.19</v>
      </c>
      <c r="L535">
        <v>-1.37</v>
      </c>
      <c r="M535">
        <v>54.43</v>
      </c>
      <c r="O535">
        <v>20.5</v>
      </c>
      <c r="P535">
        <v>7.45</v>
      </c>
      <c r="Q535">
        <v>0</v>
      </c>
      <c r="R535">
        <v>0</v>
      </c>
    </row>
    <row r="536" spans="1:18" x14ac:dyDescent="0.25">
      <c r="A536">
        <v>140</v>
      </c>
      <c r="B536">
        <v>111.72</v>
      </c>
      <c r="C536">
        <f>ROUNDDOWN(5.07818181818182,0)</f>
        <v>5</v>
      </c>
      <c r="D536">
        <v>-0.75</v>
      </c>
      <c r="F536">
        <v>0.08</v>
      </c>
      <c r="G536">
        <v>0.73</v>
      </c>
      <c r="H536">
        <v>1.88</v>
      </c>
      <c r="I536">
        <v>42.04</v>
      </c>
      <c r="J536">
        <v>0.05</v>
      </c>
      <c r="K536">
        <v>-0.03</v>
      </c>
      <c r="L536">
        <v>-1.46</v>
      </c>
      <c r="M536">
        <v>54.43</v>
      </c>
      <c r="O536">
        <v>20.57</v>
      </c>
      <c r="P536">
        <v>7.47</v>
      </c>
      <c r="Q536">
        <v>0</v>
      </c>
      <c r="R536">
        <v>0</v>
      </c>
    </row>
    <row r="537" spans="1:18" x14ac:dyDescent="0.25">
      <c r="A537">
        <v>140</v>
      </c>
      <c r="B537">
        <v>111.92999999999999</v>
      </c>
      <c r="C537">
        <f>ROUNDDOWN(5.08772727272727,0)</f>
        <v>5</v>
      </c>
      <c r="D537">
        <v>-0.83</v>
      </c>
      <c r="F537">
        <v>-0.02</v>
      </c>
      <c r="G537">
        <v>0.65</v>
      </c>
      <c r="H537">
        <v>1.75</v>
      </c>
      <c r="I537">
        <v>42.14</v>
      </c>
      <c r="J537">
        <v>0.02</v>
      </c>
      <c r="K537">
        <v>-0.18</v>
      </c>
      <c r="L537">
        <v>-1.52</v>
      </c>
      <c r="M537">
        <v>54.43</v>
      </c>
      <c r="O537">
        <v>20.63</v>
      </c>
      <c r="P537">
        <v>7.49</v>
      </c>
      <c r="Q537">
        <v>0</v>
      </c>
      <c r="R537">
        <v>0</v>
      </c>
    </row>
    <row r="538" spans="1:18" x14ac:dyDescent="0.25">
      <c r="A538">
        <v>140</v>
      </c>
      <c r="B538">
        <v>112.14</v>
      </c>
      <c r="C538">
        <f>ROUNDDOWN(5.09727272727273,0)</f>
        <v>5</v>
      </c>
      <c r="D538">
        <v>-0.92</v>
      </c>
      <c r="F538">
        <v>-0.1</v>
      </c>
      <c r="G538">
        <v>0.6</v>
      </c>
      <c r="H538">
        <v>1.65</v>
      </c>
      <c r="I538">
        <v>42.13</v>
      </c>
      <c r="J538">
        <v>0</v>
      </c>
      <c r="K538">
        <v>-0.24</v>
      </c>
      <c r="L538">
        <v>-1.61</v>
      </c>
      <c r="M538">
        <v>54.43</v>
      </c>
      <c r="O538">
        <v>20.7</v>
      </c>
      <c r="P538">
        <v>7.51</v>
      </c>
      <c r="Q538">
        <v>0</v>
      </c>
      <c r="R538">
        <v>0</v>
      </c>
    </row>
    <row r="539" spans="1:18" x14ac:dyDescent="0.25">
      <c r="A539">
        <v>140</v>
      </c>
      <c r="B539">
        <v>112.35</v>
      </c>
      <c r="C539">
        <f>ROUNDDOWN(5.10681818181818,0)</f>
        <v>5</v>
      </c>
      <c r="D539">
        <v>-0.96</v>
      </c>
      <c r="F539">
        <v>-0.17</v>
      </c>
      <c r="G539">
        <v>0.56000000000000005</v>
      </c>
      <c r="H539">
        <v>1.62</v>
      </c>
      <c r="I539">
        <v>42.04</v>
      </c>
      <c r="J539">
        <v>-0.03</v>
      </c>
      <c r="K539">
        <v>-0.19</v>
      </c>
      <c r="L539">
        <v>-1.66</v>
      </c>
      <c r="M539">
        <v>54.43</v>
      </c>
      <c r="O539">
        <v>20.77</v>
      </c>
      <c r="P539">
        <v>7.52</v>
      </c>
      <c r="Q539">
        <v>0</v>
      </c>
      <c r="R539">
        <v>0</v>
      </c>
    </row>
    <row r="540" spans="1:18" x14ac:dyDescent="0.25">
      <c r="A540">
        <v>140</v>
      </c>
      <c r="B540">
        <v>112.56</v>
      </c>
      <c r="C540">
        <f>ROUNDDOWN(5.11636363636364,0)</f>
        <v>5</v>
      </c>
      <c r="D540">
        <v>-0.95</v>
      </c>
      <c r="F540">
        <v>-0.21</v>
      </c>
      <c r="G540">
        <v>0.54</v>
      </c>
      <c r="H540">
        <v>1.65</v>
      </c>
      <c r="I540">
        <v>41.97</v>
      </c>
      <c r="J540">
        <v>-0.06</v>
      </c>
      <c r="K540">
        <v>-0.09</v>
      </c>
      <c r="L540">
        <v>-1.63</v>
      </c>
      <c r="M540">
        <v>54.43</v>
      </c>
      <c r="O540">
        <v>20.83</v>
      </c>
      <c r="P540">
        <v>7.54</v>
      </c>
      <c r="Q540">
        <v>0</v>
      </c>
      <c r="R540">
        <v>0</v>
      </c>
    </row>
    <row r="541" spans="1:18" x14ac:dyDescent="0.25">
      <c r="A541">
        <v>140</v>
      </c>
      <c r="B541">
        <v>112.77</v>
      </c>
      <c r="C541">
        <f>ROUNDDOWN(5.12590909090909,0)</f>
        <v>5</v>
      </c>
      <c r="D541">
        <v>-0.85</v>
      </c>
      <c r="F541">
        <v>-0.25</v>
      </c>
      <c r="G541">
        <v>0.52</v>
      </c>
      <c r="H541">
        <v>1.69</v>
      </c>
      <c r="I541">
        <v>41.99</v>
      </c>
      <c r="J541">
        <v>-0.09</v>
      </c>
      <c r="K541">
        <v>-0.05</v>
      </c>
      <c r="L541">
        <v>-1.55</v>
      </c>
      <c r="M541">
        <v>54.43</v>
      </c>
      <c r="O541">
        <v>20.9</v>
      </c>
      <c r="P541">
        <v>7.56</v>
      </c>
      <c r="Q541">
        <v>0</v>
      </c>
      <c r="R541">
        <v>0</v>
      </c>
    </row>
    <row r="542" spans="1:18" x14ac:dyDescent="0.25">
      <c r="A542">
        <v>140</v>
      </c>
      <c r="B542">
        <v>112.97999999999999</v>
      </c>
      <c r="C542">
        <f>ROUNDDOWN(5.13545454545454,0)</f>
        <v>5</v>
      </c>
      <c r="D542">
        <v>-0.63</v>
      </c>
      <c r="F542">
        <v>-0.32</v>
      </c>
      <c r="G542">
        <v>0.47</v>
      </c>
      <c r="H542">
        <v>1.71</v>
      </c>
      <c r="I542">
        <v>42.14</v>
      </c>
      <c r="J542">
        <v>-0.11</v>
      </c>
      <c r="K542">
        <v>-7.0000000000000007E-2</v>
      </c>
      <c r="L542">
        <v>-1.42</v>
      </c>
      <c r="M542">
        <v>54.43</v>
      </c>
      <c r="O542">
        <v>20.96</v>
      </c>
      <c r="P542">
        <v>7.58</v>
      </c>
      <c r="Q542">
        <v>0</v>
      </c>
      <c r="R542">
        <v>0</v>
      </c>
    </row>
    <row r="543" spans="1:18" x14ac:dyDescent="0.25">
      <c r="A543">
        <v>140</v>
      </c>
      <c r="B543">
        <v>113.19</v>
      </c>
      <c r="C543">
        <f>ROUNDDOWN(5.145,0)</f>
        <v>5</v>
      </c>
      <c r="D543">
        <v>-0.32</v>
      </c>
      <c r="F543">
        <v>-0.39</v>
      </c>
      <c r="G543">
        <v>0.41</v>
      </c>
      <c r="H543">
        <v>1.8</v>
      </c>
      <c r="I543">
        <v>42.26</v>
      </c>
      <c r="J543">
        <v>-0.15</v>
      </c>
      <c r="K543">
        <v>-0.02</v>
      </c>
      <c r="L543">
        <v>-1.24</v>
      </c>
      <c r="M543">
        <v>54.43</v>
      </c>
      <c r="O543">
        <v>21.03</v>
      </c>
      <c r="P543">
        <v>7.6</v>
      </c>
      <c r="Q543">
        <v>0</v>
      </c>
      <c r="R543">
        <v>0</v>
      </c>
    </row>
    <row r="544" spans="1:18" x14ac:dyDescent="0.25">
      <c r="A544">
        <v>140</v>
      </c>
      <c r="B544">
        <v>113.39999999999999</v>
      </c>
      <c r="C544">
        <f>ROUNDDOWN(5.15454545454545,0)</f>
        <v>5</v>
      </c>
      <c r="D544">
        <v>-0.04</v>
      </c>
      <c r="F544">
        <v>-0.48</v>
      </c>
      <c r="G544">
        <v>0.33</v>
      </c>
      <c r="H544">
        <v>1.87</v>
      </c>
      <c r="I544">
        <v>42.25</v>
      </c>
      <c r="J544">
        <v>-0.2</v>
      </c>
      <c r="K544">
        <v>0.08</v>
      </c>
      <c r="L544">
        <v>-1.1599999999999999</v>
      </c>
      <c r="M544">
        <v>54.43</v>
      </c>
      <c r="O544">
        <v>21.09</v>
      </c>
      <c r="P544">
        <v>7.61</v>
      </c>
      <c r="Q544">
        <v>0</v>
      </c>
      <c r="R544">
        <v>0</v>
      </c>
    </row>
    <row r="545" spans="1:18" x14ac:dyDescent="0.25">
      <c r="A545">
        <v>140</v>
      </c>
      <c r="B545">
        <v>113.61</v>
      </c>
      <c r="C545">
        <f>ROUNDDOWN(5.16409090909091,0)</f>
        <v>5</v>
      </c>
      <c r="D545">
        <v>0.21</v>
      </c>
      <c r="F545">
        <v>-0.55000000000000004</v>
      </c>
      <c r="G545">
        <v>0.26</v>
      </c>
      <c r="H545">
        <v>1.86</v>
      </c>
      <c r="I545">
        <v>42.12</v>
      </c>
      <c r="J545">
        <v>-0.26</v>
      </c>
      <c r="K545">
        <v>0.14000000000000001</v>
      </c>
      <c r="L545">
        <v>-1.2</v>
      </c>
      <c r="M545">
        <v>54.43</v>
      </c>
      <c r="O545">
        <v>21.15</v>
      </c>
      <c r="P545">
        <v>7.63</v>
      </c>
      <c r="Q545">
        <v>0</v>
      </c>
      <c r="R545">
        <v>0</v>
      </c>
    </row>
    <row r="546" spans="1:18" x14ac:dyDescent="0.25">
      <c r="A546">
        <v>140</v>
      </c>
      <c r="B546">
        <v>113.82</v>
      </c>
      <c r="C546">
        <f>ROUNDDOWN(5.17363636363636,0)</f>
        <v>5</v>
      </c>
      <c r="D546">
        <v>0.4</v>
      </c>
      <c r="F546">
        <v>-0.68</v>
      </c>
      <c r="G546">
        <v>0.14000000000000001</v>
      </c>
      <c r="H546">
        <v>1.88</v>
      </c>
      <c r="I546">
        <v>42.12</v>
      </c>
      <c r="J546">
        <v>-0.32</v>
      </c>
      <c r="K546">
        <v>0.17</v>
      </c>
      <c r="L546">
        <v>-1.1599999999999999</v>
      </c>
      <c r="M546">
        <v>54.43</v>
      </c>
      <c r="O546">
        <v>21.22</v>
      </c>
      <c r="P546">
        <v>7.64</v>
      </c>
      <c r="Q546">
        <v>0</v>
      </c>
      <c r="R546">
        <v>0</v>
      </c>
    </row>
    <row r="547" spans="1:18" x14ac:dyDescent="0.25">
      <c r="A547">
        <v>140</v>
      </c>
      <c r="B547">
        <v>114.03</v>
      </c>
      <c r="C547">
        <f>ROUNDDOWN(5.18318181818182,0)</f>
        <v>5</v>
      </c>
      <c r="D547">
        <v>0.61</v>
      </c>
      <c r="F547">
        <v>-0.78</v>
      </c>
      <c r="G547">
        <v>0.03</v>
      </c>
      <c r="H547">
        <v>1.96</v>
      </c>
      <c r="I547">
        <v>42.28</v>
      </c>
      <c r="J547">
        <v>-0.38</v>
      </c>
      <c r="K547">
        <v>0.18</v>
      </c>
      <c r="L547">
        <v>-0.97</v>
      </c>
      <c r="M547">
        <v>54.43</v>
      </c>
      <c r="O547">
        <v>21.28</v>
      </c>
      <c r="P547">
        <v>7.66</v>
      </c>
      <c r="Q547">
        <v>0</v>
      </c>
      <c r="R547">
        <v>0</v>
      </c>
    </row>
    <row r="548" spans="1:18" x14ac:dyDescent="0.25">
      <c r="A548">
        <v>140</v>
      </c>
      <c r="B548">
        <v>114.24</v>
      </c>
      <c r="C548">
        <f>ROUNDDOWN(5.19272727272727,0)</f>
        <v>5</v>
      </c>
      <c r="D548">
        <v>0.8</v>
      </c>
      <c r="F548">
        <v>-0.87</v>
      </c>
      <c r="G548">
        <v>-7.0000000000000007E-2</v>
      </c>
      <c r="H548">
        <v>2.06</v>
      </c>
      <c r="I548">
        <v>42.49</v>
      </c>
      <c r="J548">
        <v>-0.45</v>
      </c>
      <c r="K548">
        <v>0.18</v>
      </c>
      <c r="L548">
        <v>-0.75</v>
      </c>
      <c r="M548">
        <v>54.43</v>
      </c>
      <c r="O548">
        <v>21.34</v>
      </c>
      <c r="P548">
        <v>7.67</v>
      </c>
      <c r="Q548">
        <v>0</v>
      </c>
      <c r="R548">
        <v>0</v>
      </c>
    </row>
    <row r="549" spans="1:18" x14ac:dyDescent="0.25">
      <c r="A549">
        <v>140</v>
      </c>
      <c r="B549">
        <v>114.45</v>
      </c>
      <c r="C549">
        <f>ROUNDDOWN(5.20227272727273,0)</f>
        <v>5</v>
      </c>
      <c r="D549">
        <v>0.94</v>
      </c>
      <c r="F549">
        <v>-0.9</v>
      </c>
      <c r="G549">
        <v>-0.13</v>
      </c>
      <c r="H549">
        <v>1.99</v>
      </c>
      <c r="I549">
        <v>42.72</v>
      </c>
      <c r="J549">
        <v>-0.53</v>
      </c>
      <c r="K549">
        <v>0.03</v>
      </c>
      <c r="L549">
        <v>-0.69</v>
      </c>
      <c r="M549">
        <v>54.43</v>
      </c>
      <c r="O549">
        <v>21.4</v>
      </c>
      <c r="P549">
        <v>7.69</v>
      </c>
      <c r="Q549">
        <v>0</v>
      </c>
      <c r="R549">
        <v>0</v>
      </c>
    </row>
    <row r="550" spans="1:18" x14ac:dyDescent="0.25">
      <c r="A550">
        <v>140</v>
      </c>
      <c r="B550">
        <v>114.66</v>
      </c>
      <c r="C550">
        <f>ROUNDDOWN(5.21181818181818,0)</f>
        <v>5</v>
      </c>
      <c r="D550">
        <v>1.07</v>
      </c>
      <c r="F550">
        <v>-0.93</v>
      </c>
      <c r="G550">
        <v>-0.17</v>
      </c>
      <c r="H550">
        <v>1.88</v>
      </c>
      <c r="I550">
        <v>42.96</v>
      </c>
      <c r="J550">
        <v>-0.6</v>
      </c>
      <c r="K550">
        <v>-0.18</v>
      </c>
      <c r="L550">
        <v>-0.68</v>
      </c>
      <c r="M550">
        <v>54.43</v>
      </c>
      <c r="O550">
        <v>21.46</v>
      </c>
      <c r="P550">
        <v>7.7</v>
      </c>
      <c r="Q550">
        <v>0</v>
      </c>
      <c r="R550">
        <v>0</v>
      </c>
    </row>
    <row r="551" spans="1:18" x14ac:dyDescent="0.25">
      <c r="A551">
        <v>140</v>
      </c>
      <c r="B551">
        <v>114.86999999999999</v>
      </c>
      <c r="C551">
        <f>ROUNDDOWN(5.22136363636364,0)</f>
        <v>5</v>
      </c>
      <c r="D551">
        <v>1.24</v>
      </c>
      <c r="F551">
        <v>-0.97</v>
      </c>
      <c r="G551">
        <v>-0.23</v>
      </c>
      <c r="H551">
        <v>1.77</v>
      </c>
      <c r="I551">
        <v>43.28</v>
      </c>
      <c r="J551">
        <v>-0.66</v>
      </c>
      <c r="K551">
        <v>-0.41</v>
      </c>
      <c r="L551">
        <v>-0.64</v>
      </c>
      <c r="M551">
        <v>54.44</v>
      </c>
      <c r="O551">
        <v>21.53</v>
      </c>
      <c r="P551">
        <v>7.72</v>
      </c>
      <c r="Q551">
        <v>0</v>
      </c>
      <c r="R551">
        <v>0</v>
      </c>
    </row>
    <row r="552" spans="1:18" x14ac:dyDescent="0.25">
      <c r="A552">
        <v>140</v>
      </c>
      <c r="B552">
        <v>115.08</v>
      </c>
      <c r="C552">
        <f>ROUNDDOWN(5.23090909090909,0)</f>
        <v>5</v>
      </c>
      <c r="D552">
        <v>1.53</v>
      </c>
      <c r="F552">
        <v>-0.97</v>
      </c>
      <c r="G552">
        <v>-0.26</v>
      </c>
      <c r="H552">
        <v>1.67</v>
      </c>
      <c r="I552">
        <v>43.67</v>
      </c>
      <c r="J552">
        <v>-0.72</v>
      </c>
      <c r="K552">
        <v>-0.63</v>
      </c>
      <c r="L552">
        <v>-0.55000000000000004</v>
      </c>
      <c r="M552">
        <v>54.44</v>
      </c>
      <c r="O552">
        <v>21.59</v>
      </c>
      <c r="P552">
        <v>7.73</v>
      </c>
      <c r="Q552">
        <v>0</v>
      </c>
      <c r="R552">
        <v>0</v>
      </c>
    </row>
    <row r="553" spans="1:18" x14ac:dyDescent="0.25">
      <c r="A553">
        <v>140</v>
      </c>
      <c r="B553">
        <v>115.28999999999999</v>
      </c>
      <c r="C553">
        <f>ROUNDDOWN(5.24045454545455,0)</f>
        <v>5</v>
      </c>
      <c r="D553">
        <v>2</v>
      </c>
      <c r="F553">
        <v>-0.96</v>
      </c>
      <c r="G553">
        <v>-0.27</v>
      </c>
      <c r="H553">
        <v>1.52</v>
      </c>
      <c r="I553">
        <v>44.13</v>
      </c>
      <c r="J553">
        <v>-0.77</v>
      </c>
      <c r="K553">
        <v>-0.93</v>
      </c>
      <c r="L553">
        <v>-0.49</v>
      </c>
      <c r="M553">
        <v>54.44</v>
      </c>
      <c r="O553">
        <v>21.65</v>
      </c>
      <c r="P553">
        <v>7.75</v>
      </c>
      <c r="Q553">
        <v>0</v>
      </c>
      <c r="R553">
        <v>0</v>
      </c>
    </row>
    <row r="554" spans="1:18" x14ac:dyDescent="0.25">
      <c r="A554">
        <v>140</v>
      </c>
      <c r="B554">
        <v>115.5</v>
      </c>
      <c r="C554">
        <f>ROUNDDOWN(5.25,0)</f>
        <v>5</v>
      </c>
      <c r="D554">
        <v>2.5299999999999998</v>
      </c>
      <c r="F554">
        <v>-0.88</v>
      </c>
      <c r="G554">
        <v>-0.21</v>
      </c>
      <c r="H554">
        <v>1.39</v>
      </c>
      <c r="I554">
        <v>44.56</v>
      </c>
      <c r="J554">
        <v>-0.81</v>
      </c>
      <c r="K554">
        <v>-1.1599999999999999</v>
      </c>
      <c r="L554">
        <v>-0.43</v>
      </c>
      <c r="M554">
        <v>54.44</v>
      </c>
      <c r="O554">
        <v>21.71</v>
      </c>
      <c r="P554">
        <v>7.76</v>
      </c>
      <c r="Q554">
        <v>0</v>
      </c>
      <c r="R554">
        <v>0</v>
      </c>
    </row>
    <row r="555" spans="1:18" x14ac:dyDescent="0.25">
      <c r="A555">
        <v>140</v>
      </c>
      <c r="B555">
        <v>115.71</v>
      </c>
      <c r="C555">
        <f>ROUNDDOWN(5.25954545454545,0)</f>
        <v>5</v>
      </c>
      <c r="D555">
        <v>3.01</v>
      </c>
      <c r="F555">
        <v>-0.8</v>
      </c>
      <c r="G555">
        <v>-0.16</v>
      </c>
      <c r="H555">
        <v>1.32</v>
      </c>
      <c r="I555">
        <v>44.98</v>
      </c>
      <c r="J555">
        <v>-0.84</v>
      </c>
      <c r="K555">
        <v>-1.32</v>
      </c>
      <c r="L555">
        <v>-0.34</v>
      </c>
      <c r="M555">
        <v>54.44</v>
      </c>
      <c r="O555">
        <v>21.77</v>
      </c>
      <c r="P555">
        <v>7.78</v>
      </c>
      <c r="Q555">
        <v>0</v>
      </c>
      <c r="R555">
        <v>0</v>
      </c>
    </row>
    <row r="556" spans="1:18" x14ac:dyDescent="0.25">
      <c r="A556">
        <v>140</v>
      </c>
      <c r="B556">
        <v>115.92</v>
      </c>
      <c r="C556">
        <f>ROUNDDOWN(5.26909090909091,0)</f>
        <v>5</v>
      </c>
      <c r="D556">
        <v>3.38</v>
      </c>
      <c r="F556">
        <v>-0.75</v>
      </c>
      <c r="G556">
        <v>-0.12</v>
      </c>
      <c r="H556">
        <v>1.26</v>
      </c>
      <c r="I556">
        <v>45.37</v>
      </c>
      <c r="J556">
        <v>-0.85</v>
      </c>
      <c r="K556">
        <v>-1.43</v>
      </c>
      <c r="L556">
        <v>-0.25</v>
      </c>
      <c r="M556">
        <v>54.44</v>
      </c>
      <c r="O556">
        <v>21.83</v>
      </c>
      <c r="P556">
        <v>7.79</v>
      </c>
      <c r="Q556">
        <v>0</v>
      </c>
      <c r="R556">
        <v>0</v>
      </c>
    </row>
    <row r="557" spans="1:18" x14ac:dyDescent="0.25">
      <c r="A557">
        <v>140</v>
      </c>
      <c r="B557">
        <v>116.13</v>
      </c>
      <c r="C557">
        <f>ROUNDDOWN(5.27863636363636,0)</f>
        <v>5</v>
      </c>
      <c r="D557">
        <v>3.59</v>
      </c>
      <c r="F557">
        <v>-0.75</v>
      </c>
      <c r="G557">
        <v>-0.15</v>
      </c>
      <c r="H557">
        <v>1.21</v>
      </c>
      <c r="I557">
        <v>45.73</v>
      </c>
      <c r="J557">
        <v>-0.84</v>
      </c>
      <c r="K557">
        <v>-1.51</v>
      </c>
      <c r="L557">
        <v>-0.18</v>
      </c>
      <c r="M557">
        <v>54.44</v>
      </c>
      <c r="O557">
        <v>21.89</v>
      </c>
      <c r="P557">
        <v>7.81</v>
      </c>
      <c r="Q557">
        <v>0</v>
      </c>
      <c r="R557">
        <v>0</v>
      </c>
    </row>
    <row r="558" spans="1:18" x14ac:dyDescent="0.25">
      <c r="A558">
        <v>140</v>
      </c>
      <c r="B558">
        <v>116.33999999999999</v>
      </c>
      <c r="C558">
        <f>ROUNDDOWN(5.28818181818182,0)</f>
        <v>5</v>
      </c>
      <c r="D558">
        <v>3.82</v>
      </c>
      <c r="F558">
        <v>-0.76</v>
      </c>
      <c r="G558">
        <v>-0.18</v>
      </c>
      <c r="H558">
        <v>1.1299999999999999</v>
      </c>
      <c r="I558">
        <v>46.08</v>
      </c>
      <c r="J558">
        <v>-0.82</v>
      </c>
      <c r="K558">
        <v>-1.59</v>
      </c>
      <c r="L558">
        <v>-0.14000000000000001</v>
      </c>
      <c r="M558">
        <v>54.44</v>
      </c>
      <c r="O558">
        <v>21.95</v>
      </c>
      <c r="P558">
        <v>7.82</v>
      </c>
      <c r="Q558">
        <v>0</v>
      </c>
      <c r="R558">
        <v>0</v>
      </c>
    </row>
    <row r="559" spans="1:18" x14ac:dyDescent="0.25">
      <c r="A559">
        <v>140</v>
      </c>
      <c r="B559">
        <v>116.55</v>
      </c>
      <c r="C559">
        <f>ROUNDDOWN(5.29772727272727,0)</f>
        <v>5</v>
      </c>
      <c r="D559">
        <v>4.0999999999999996</v>
      </c>
      <c r="F559">
        <v>-0.75</v>
      </c>
      <c r="G559">
        <v>-0.18</v>
      </c>
      <c r="H559">
        <v>1.1000000000000001</v>
      </c>
      <c r="I559">
        <v>46.34</v>
      </c>
      <c r="J559">
        <v>-0.8</v>
      </c>
      <c r="K559">
        <v>-1.59</v>
      </c>
      <c r="L559">
        <v>-0.12</v>
      </c>
      <c r="M559">
        <v>54.44</v>
      </c>
      <c r="O559">
        <v>22</v>
      </c>
      <c r="P559">
        <v>7.84</v>
      </c>
      <c r="Q559">
        <v>0</v>
      </c>
      <c r="R559">
        <v>0</v>
      </c>
    </row>
    <row r="560" spans="1:18" x14ac:dyDescent="0.25">
      <c r="A560">
        <v>140</v>
      </c>
      <c r="B560">
        <v>116.75999999999999</v>
      </c>
      <c r="C560">
        <f>ROUNDDOWN(5.30727272727273,0)</f>
        <v>5</v>
      </c>
      <c r="D560">
        <v>4.4400000000000004</v>
      </c>
      <c r="F560">
        <v>-0.71</v>
      </c>
      <c r="G560">
        <v>-0.17</v>
      </c>
      <c r="H560">
        <v>1.01</v>
      </c>
      <c r="I560">
        <v>46.56</v>
      </c>
      <c r="J560">
        <v>-0.77</v>
      </c>
      <c r="K560">
        <v>-1.61</v>
      </c>
      <c r="L560">
        <v>-0.17</v>
      </c>
      <c r="M560">
        <v>54.44</v>
      </c>
      <c r="O560">
        <v>22.06</v>
      </c>
      <c r="P560">
        <v>7.86</v>
      </c>
      <c r="Q560">
        <v>0</v>
      </c>
      <c r="R560">
        <v>0</v>
      </c>
    </row>
    <row r="561" spans="1:18" x14ac:dyDescent="0.25">
      <c r="A561">
        <v>140</v>
      </c>
      <c r="B561">
        <v>116.97</v>
      </c>
      <c r="C561">
        <f>ROUNDDOWN(5.31681818181818,0)</f>
        <v>5</v>
      </c>
      <c r="D561">
        <v>4.6500000000000004</v>
      </c>
      <c r="F561">
        <v>-0.71</v>
      </c>
      <c r="G561">
        <v>-0.19</v>
      </c>
      <c r="H561">
        <v>0.87</v>
      </c>
      <c r="I561">
        <v>46.76</v>
      </c>
      <c r="J561">
        <v>-0.74</v>
      </c>
      <c r="K561">
        <v>-1.67</v>
      </c>
      <c r="L561">
        <v>-0.28000000000000003</v>
      </c>
      <c r="M561">
        <v>54.44</v>
      </c>
      <c r="O561">
        <v>22.12</v>
      </c>
      <c r="P561">
        <v>7.87</v>
      </c>
      <c r="Q561">
        <v>0</v>
      </c>
      <c r="R561">
        <v>0</v>
      </c>
    </row>
    <row r="562" spans="1:18" x14ac:dyDescent="0.25">
      <c r="A562">
        <v>140</v>
      </c>
      <c r="B562">
        <v>117.17999999999999</v>
      </c>
      <c r="C562">
        <f>ROUNDDOWN(5.32636363636364,0)</f>
        <v>5</v>
      </c>
      <c r="D562">
        <v>4.68</v>
      </c>
      <c r="F562">
        <v>-0.7</v>
      </c>
      <c r="G562">
        <v>-0.2</v>
      </c>
      <c r="H562">
        <v>0.72</v>
      </c>
      <c r="I562">
        <v>46.96</v>
      </c>
      <c r="J562">
        <v>-0.69</v>
      </c>
      <c r="K562">
        <v>-1.73</v>
      </c>
      <c r="L562">
        <v>-0.39</v>
      </c>
      <c r="M562">
        <v>54.44</v>
      </c>
      <c r="O562">
        <v>22.18</v>
      </c>
      <c r="P562">
        <v>7.89</v>
      </c>
      <c r="Q562">
        <v>0</v>
      </c>
      <c r="R562">
        <v>0</v>
      </c>
    </row>
    <row r="563" spans="1:18" x14ac:dyDescent="0.25">
      <c r="A563">
        <v>140</v>
      </c>
      <c r="B563">
        <v>117.39</v>
      </c>
      <c r="C563">
        <f>ROUNDDOWN(5.33590909090909,0)</f>
        <v>5</v>
      </c>
      <c r="D563">
        <v>4.6100000000000003</v>
      </c>
      <c r="F563">
        <v>-0.69</v>
      </c>
      <c r="G563">
        <v>-0.22</v>
      </c>
      <c r="H563">
        <v>0.61</v>
      </c>
      <c r="I563">
        <v>47.1</v>
      </c>
      <c r="J563">
        <v>-0.64</v>
      </c>
      <c r="K563">
        <v>-1.71</v>
      </c>
      <c r="L563">
        <v>-0.49</v>
      </c>
      <c r="M563">
        <v>54.44</v>
      </c>
      <c r="O563">
        <v>22.23</v>
      </c>
      <c r="P563">
        <v>7.9</v>
      </c>
      <c r="Q563">
        <v>0</v>
      </c>
      <c r="R563">
        <v>0</v>
      </c>
    </row>
    <row r="564" spans="1:18" x14ac:dyDescent="0.25">
      <c r="A564">
        <v>140</v>
      </c>
      <c r="B564">
        <v>117.6</v>
      </c>
      <c r="C564">
        <f>ROUNDDOWN(5.34545454545454,0)</f>
        <v>5</v>
      </c>
      <c r="D564">
        <v>4.45</v>
      </c>
      <c r="F564">
        <v>-0.65</v>
      </c>
      <c r="G564">
        <v>-0.2</v>
      </c>
      <c r="H564">
        <v>0.54</v>
      </c>
      <c r="I564">
        <v>47.16</v>
      </c>
      <c r="J564">
        <v>-0.57999999999999996</v>
      </c>
      <c r="K564">
        <v>-1.62</v>
      </c>
      <c r="L564">
        <v>-0.59</v>
      </c>
      <c r="M564">
        <v>54.44</v>
      </c>
      <c r="O564">
        <v>22.29</v>
      </c>
      <c r="P564">
        <v>7.92</v>
      </c>
      <c r="Q564">
        <v>0</v>
      </c>
      <c r="R564">
        <v>0</v>
      </c>
    </row>
    <row r="565" spans="1:18" x14ac:dyDescent="0.25">
      <c r="A565">
        <v>140</v>
      </c>
      <c r="B565">
        <v>117.81</v>
      </c>
      <c r="C565">
        <f>ROUNDDOWN(5.355,0)</f>
        <v>5</v>
      </c>
      <c r="D565">
        <v>4.22</v>
      </c>
      <c r="F565">
        <v>-0.62</v>
      </c>
      <c r="G565">
        <v>-0.19</v>
      </c>
      <c r="H565">
        <v>0.46</v>
      </c>
      <c r="I565">
        <v>47.18</v>
      </c>
      <c r="J565">
        <v>-0.51</v>
      </c>
      <c r="K565">
        <v>-1.53</v>
      </c>
      <c r="L565">
        <v>-0.71</v>
      </c>
      <c r="M565">
        <v>54.44</v>
      </c>
      <c r="O565">
        <v>22.35</v>
      </c>
      <c r="P565">
        <v>7.93</v>
      </c>
      <c r="Q565">
        <v>0</v>
      </c>
      <c r="R565">
        <v>0</v>
      </c>
    </row>
    <row r="566" spans="1:18" x14ac:dyDescent="0.25">
      <c r="A566">
        <v>140</v>
      </c>
      <c r="B566">
        <v>118.02</v>
      </c>
      <c r="C566">
        <f>ROUNDDOWN(5.36454545454545,0)</f>
        <v>5</v>
      </c>
      <c r="D566">
        <v>3.97</v>
      </c>
      <c r="F566">
        <v>-0.63</v>
      </c>
      <c r="G566">
        <v>-0.22</v>
      </c>
      <c r="H566">
        <v>0.36</v>
      </c>
      <c r="I566">
        <v>47.26</v>
      </c>
      <c r="J566">
        <v>-0.43</v>
      </c>
      <c r="K566">
        <v>-1.48</v>
      </c>
      <c r="L566">
        <v>-0.8</v>
      </c>
      <c r="M566">
        <v>54.44</v>
      </c>
      <c r="O566">
        <v>22.4</v>
      </c>
      <c r="P566">
        <v>7.94</v>
      </c>
      <c r="Q566">
        <v>0</v>
      </c>
      <c r="R566">
        <v>0</v>
      </c>
    </row>
    <row r="567" spans="1:18" x14ac:dyDescent="0.25">
      <c r="A567">
        <v>140</v>
      </c>
      <c r="B567">
        <v>118.22999999999999</v>
      </c>
      <c r="C567">
        <f>ROUNDDOWN(5.37409090909091,0)</f>
        <v>5</v>
      </c>
      <c r="D567">
        <v>3.73</v>
      </c>
      <c r="F567">
        <v>-0.64</v>
      </c>
      <c r="G567">
        <v>-0.25</v>
      </c>
      <c r="H567">
        <v>0.3</v>
      </c>
      <c r="I567">
        <v>47.4</v>
      </c>
      <c r="J567">
        <v>-0.34</v>
      </c>
      <c r="K567">
        <v>-1.42</v>
      </c>
      <c r="L567">
        <v>-0.81</v>
      </c>
      <c r="M567">
        <v>54.44</v>
      </c>
      <c r="O567">
        <v>22.46</v>
      </c>
      <c r="P567">
        <v>7.96</v>
      </c>
      <c r="Q567">
        <v>0</v>
      </c>
      <c r="R567">
        <v>0</v>
      </c>
    </row>
    <row r="568" spans="1:18" x14ac:dyDescent="0.25">
      <c r="A568">
        <v>140</v>
      </c>
      <c r="B568">
        <v>118.44</v>
      </c>
      <c r="C568">
        <f>ROUNDDOWN(5.38363636363636,0)</f>
        <v>5</v>
      </c>
      <c r="D568">
        <v>3.49</v>
      </c>
      <c r="F568">
        <v>-0.63</v>
      </c>
      <c r="G568">
        <v>-0.27</v>
      </c>
      <c r="H568">
        <v>0.27</v>
      </c>
      <c r="I568">
        <v>47.62</v>
      </c>
      <c r="J568">
        <v>-0.23</v>
      </c>
      <c r="K568">
        <v>-1.38</v>
      </c>
      <c r="L568">
        <v>-0.77</v>
      </c>
      <c r="M568">
        <v>54.44</v>
      </c>
      <c r="O568">
        <v>22.51</v>
      </c>
      <c r="P568">
        <v>7.97</v>
      </c>
      <c r="Q568">
        <v>0</v>
      </c>
      <c r="R568">
        <v>0</v>
      </c>
    </row>
    <row r="569" spans="1:18" x14ac:dyDescent="0.25">
      <c r="A569">
        <v>140</v>
      </c>
      <c r="B569">
        <v>118.64999999999999</v>
      </c>
      <c r="C569">
        <f>ROUNDDOWN(5.39318181818182,0)</f>
        <v>5</v>
      </c>
      <c r="D569">
        <v>3.33</v>
      </c>
      <c r="F569">
        <v>-0.64</v>
      </c>
      <c r="G569">
        <v>-0.3</v>
      </c>
      <c r="H569">
        <v>0.24</v>
      </c>
      <c r="I569">
        <v>47.89</v>
      </c>
      <c r="J569">
        <v>-0.13</v>
      </c>
      <c r="K569">
        <v>-1.36</v>
      </c>
      <c r="L569">
        <v>-0.7</v>
      </c>
      <c r="M569">
        <v>54.44</v>
      </c>
      <c r="O569">
        <v>22.57</v>
      </c>
      <c r="P569">
        <v>7.98</v>
      </c>
      <c r="Q569">
        <v>0</v>
      </c>
      <c r="R569">
        <v>0</v>
      </c>
    </row>
    <row r="570" spans="1:18" x14ac:dyDescent="0.25">
      <c r="A570">
        <v>140</v>
      </c>
      <c r="B570">
        <v>118.86</v>
      </c>
      <c r="C570">
        <f>ROUNDDOWN(5.40272727272727,0)</f>
        <v>5</v>
      </c>
      <c r="D570">
        <v>3.21</v>
      </c>
      <c r="F570">
        <v>-0.64</v>
      </c>
      <c r="G570">
        <v>-0.33</v>
      </c>
      <c r="H570">
        <v>0.18</v>
      </c>
      <c r="I570">
        <v>48.19</v>
      </c>
      <c r="J570">
        <v>-0.02</v>
      </c>
      <c r="K570">
        <v>-1.38</v>
      </c>
      <c r="L570">
        <v>-0.65</v>
      </c>
      <c r="M570">
        <v>54.44</v>
      </c>
      <c r="O570">
        <v>22.62</v>
      </c>
      <c r="P570">
        <v>7.99</v>
      </c>
      <c r="Q570">
        <v>0</v>
      </c>
      <c r="R570">
        <v>0</v>
      </c>
    </row>
    <row r="571" spans="1:18" x14ac:dyDescent="0.25">
      <c r="A571">
        <v>140</v>
      </c>
      <c r="B571">
        <v>119.07</v>
      </c>
      <c r="C571">
        <f>ROUNDDOWN(5.41227272727273,0)</f>
        <v>5</v>
      </c>
      <c r="D571">
        <v>3.09</v>
      </c>
      <c r="F571">
        <v>-0.62</v>
      </c>
      <c r="G571">
        <v>-0.34</v>
      </c>
      <c r="H571">
        <v>0.11</v>
      </c>
      <c r="I571">
        <v>48.46</v>
      </c>
      <c r="J571">
        <v>0.1</v>
      </c>
      <c r="K571">
        <v>-1.39</v>
      </c>
      <c r="L571">
        <v>-0.64</v>
      </c>
      <c r="M571">
        <v>54.45</v>
      </c>
      <c r="O571">
        <v>22.68</v>
      </c>
      <c r="P571">
        <v>8</v>
      </c>
      <c r="Q571">
        <v>0</v>
      </c>
      <c r="R571">
        <v>0</v>
      </c>
    </row>
    <row r="572" spans="1:18" x14ac:dyDescent="0.25">
      <c r="A572">
        <v>140</v>
      </c>
      <c r="B572">
        <v>119.28</v>
      </c>
      <c r="C572">
        <f>ROUNDDOWN(5.42181818181818,0)</f>
        <v>5</v>
      </c>
      <c r="D572">
        <v>2.99</v>
      </c>
      <c r="F572">
        <v>-0.6</v>
      </c>
      <c r="G572">
        <v>-0.34</v>
      </c>
      <c r="H572">
        <v>-0.01</v>
      </c>
      <c r="I572">
        <v>48.71</v>
      </c>
      <c r="J572">
        <v>0.21</v>
      </c>
      <c r="K572">
        <v>-1.44</v>
      </c>
      <c r="L572">
        <v>-0.67</v>
      </c>
      <c r="M572">
        <v>54.45</v>
      </c>
      <c r="O572">
        <v>22.73</v>
      </c>
      <c r="P572">
        <v>8.01</v>
      </c>
      <c r="Q572">
        <v>0</v>
      </c>
      <c r="R572">
        <v>0</v>
      </c>
    </row>
    <row r="573" spans="1:18" x14ac:dyDescent="0.25">
      <c r="A573">
        <v>140</v>
      </c>
      <c r="B573">
        <v>119.49</v>
      </c>
      <c r="C573">
        <f>ROUNDDOWN(5.43136363636364,0)</f>
        <v>5</v>
      </c>
      <c r="D573">
        <v>2.84</v>
      </c>
      <c r="F573">
        <v>-0.54</v>
      </c>
      <c r="G573">
        <v>-0.31</v>
      </c>
      <c r="H573">
        <v>-0.16</v>
      </c>
      <c r="I573">
        <v>48.92</v>
      </c>
      <c r="J573">
        <v>0.32</v>
      </c>
      <c r="K573">
        <v>-1.48</v>
      </c>
      <c r="L573">
        <v>-0.76</v>
      </c>
      <c r="M573">
        <v>54.45</v>
      </c>
      <c r="O573">
        <v>22.79</v>
      </c>
      <c r="P573">
        <v>8.01</v>
      </c>
      <c r="Q573">
        <v>0</v>
      </c>
      <c r="R573">
        <v>0</v>
      </c>
    </row>
    <row r="574" spans="1:18" x14ac:dyDescent="0.25">
      <c r="A574">
        <v>140</v>
      </c>
      <c r="B574">
        <v>119.69999999999999</v>
      </c>
      <c r="C574">
        <f>ROUNDDOWN(5.44090909090909,0)</f>
        <v>5</v>
      </c>
      <c r="D574">
        <v>2.63</v>
      </c>
      <c r="F574">
        <v>-0.47</v>
      </c>
      <c r="G574">
        <v>-0.27</v>
      </c>
      <c r="H574">
        <v>-0.34</v>
      </c>
      <c r="I574">
        <v>48.97</v>
      </c>
      <c r="J574">
        <v>0.43</v>
      </c>
      <c r="K574">
        <v>-1.47</v>
      </c>
      <c r="L574">
        <v>-0.95</v>
      </c>
      <c r="M574">
        <v>54.45</v>
      </c>
      <c r="O574">
        <v>22.84</v>
      </c>
      <c r="P574">
        <v>8.02</v>
      </c>
      <c r="Q574">
        <v>0</v>
      </c>
      <c r="R574">
        <v>0</v>
      </c>
    </row>
    <row r="575" spans="1:18" x14ac:dyDescent="0.25">
      <c r="A575">
        <v>140</v>
      </c>
      <c r="B575">
        <v>119.91</v>
      </c>
      <c r="C575">
        <f>ROUNDDOWN(5.45045454545455,0)</f>
        <v>5</v>
      </c>
      <c r="D575">
        <v>2.2999999999999998</v>
      </c>
      <c r="F575">
        <v>-0.36</v>
      </c>
      <c r="G575">
        <v>-0.18</v>
      </c>
      <c r="H575">
        <v>-0.6</v>
      </c>
      <c r="I575">
        <v>48.87</v>
      </c>
      <c r="J575">
        <v>0.54</v>
      </c>
      <c r="K575">
        <v>-1.48</v>
      </c>
      <c r="L575">
        <v>-1.28</v>
      </c>
      <c r="M575">
        <v>54.45</v>
      </c>
      <c r="O575">
        <v>22.89</v>
      </c>
      <c r="P575">
        <v>8.0299999999999994</v>
      </c>
      <c r="Q575">
        <v>0</v>
      </c>
      <c r="R575">
        <v>0</v>
      </c>
    </row>
    <row r="576" spans="1:18" x14ac:dyDescent="0.25">
      <c r="A576">
        <v>140</v>
      </c>
      <c r="B576">
        <v>120.11999999999999</v>
      </c>
      <c r="C576">
        <f>ROUNDDOWN(5.46,0)</f>
        <v>5</v>
      </c>
      <c r="D576">
        <v>1.86</v>
      </c>
      <c r="F576">
        <v>-0.27</v>
      </c>
      <c r="G576">
        <v>-0.1</v>
      </c>
      <c r="H576">
        <v>-0.99</v>
      </c>
      <c r="I576">
        <v>48.62</v>
      </c>
      <c r="J576">
        <v>0.66</v>
      </c>
      <c r="K576">
        <v>-1.54</v>
      </c>
      <c r="L576">
        <v>-1.78</v>
      </c>
      <c r="M576">
        <v>54.45</v>
      </c>
      <c r="O576">
        <v>22.95</v>
      </c>
      <c r="P576">
        <v>8.0399999999999991</v>
      </c>
      <c r="Q576">
        <v>0</v>
      </c>
      <c r="R576">
        <v>0</v>
      </c>
    </row>
    <row r="577" spans="1:18" x14ac:dyDescent="0.25">
      <c r="A577">
        <v>140</v>
      </c>
      <c r="B577">
        <v>120.33</v>
      </c>
      <c r="C577">
        <f>ROUNDDOWN(5.46954545454545,0)</f>
        <v>5</v>
      </c>
      <c r="D577">
        <v>1.47</v>
      </c>
      <c r="F577">
        <v>-0.19</v>
      </c>
      <c r="G577">
        <v>-0.03</v>
      </c>
      <c r="H577">
        <v>-1.39</v>
      </c>
      <c r="I577">
        <v>48.44</v>
      </c>
      <c r="J577">
        <v>0.79</v>
      </c>
      <c r="K577">
        <v>-1.64</v>
      </c>
      <c r="L577">
        <v>-2.2200000000000002</v>
      </c>
      <c r="M577">
        <v>54.45</v>
      </c>
      <c r="O577">
        <v>23</v>
      </c>
      <c r="P577">
        <v>8.0500000000000007</v>
      </c>
      <c r="Q577">
        <v>0</v>
      </c>
      <c r="R577">
        <v>0</v>
      </c>
    </row>
    <row r="578" spans="1:18" x14ac:dyDescent="0.25">
      <c r="A578">
        <v>140</v>
      </c>
      <c r="B578">
        <v>120.53999999999999</v>
      </c>
      <c r="C578">
        <f>ROUNDDOWN(5.47909090909091,0)</f>
        <v>5</v>
      </c>
      <c r="D578">
        <v>1.21</v>
      </c>
      <c r="F578">
        <v>-0.11</v>
      </c>
      <c r="G578">
        <v>0.03</v>
      </c>
      <c r="H578">
        <v>-1.7</v>
      </c>
      <c r="I578">
        <v>48.31</v>
      </c>
      <c r="J578">
        <v>0.93</v>
      </c>
      <c r="K578">
        <v>-1.69</v>
      </c>
      <c r="L578">
        <v>-2.5299999999999998</v>
      </c>
      <c r="M578">
        <v>54.45</v>
      </c>
      <c r="O578">
        <v>23.05</v>
      </c>
      <c r="P578">
        <v>8.06</v>
      </c>
      <c r="Q578">
        <v>0</v>
      </c>
      <c r="R578">
        <v>0</v>
      </c>
    </row>
    <row r="579" spans="1:18" x14ac:dyDescent="0.25">
      <c r="A579">
        <v>140</v>
      </c>
      <c r="B579">
        <v>120.75</v>
      </c>
      <c r="C579">
        <f>ROUNDDOWN(5.48863636363636,0)</f>
        <v>5</v>
      </c>
      <c r="D579">
        <v>1.0900000000000001</v>
      </c>
      <c r="F579">
        <v>-0.06</v>
      </c>
      <c r="G579">
        <v>0.08</v>
      </c>
      <c r="H579">
        <v>-1.95</v>
      </c>
      <c r="I579">
        <v>48.25</v>
      </c>
      <c r="J579">
        <v>1.08</v>
      </c>
      <c r="K579">
        <v>-1.71</v>
      </c>
      <c r="L579">
        <v>-2.72</v>
      </c>
      <c r="M579">
        <v>54.45</v>
      </c>
      <c r="O579">
        <v>23.1</v>
      </c>
      <c r="P579">
        <v>8.07</v>
      </c>
      <c r="Q579">
        <v>0</v>
      </c>
      <c r="R579">
        <v>0</v>
      </c>
    </row>
    <row r="580" spans="1:18" x14ac:dyDescent="0.25">
      <c r="A580">
        <v>140</v>
      </c>
      <c r="B580">
        <v>120.96</v>
      </c>
      <c r="C580">
        <f>ROUNDDOWN(5.49818181818182,0)</f>
        <v>5</v>
      </c>
      <c r="D580">
        <v>1.0900000000000001</v>
      </c>
      <c r="F580">
        <v>-0.03</v>
      </c>
      <c r="G580">
        <v>0.1</v>
      </c>
      <c r="H580">
        <v>-2.1800000000000002</v>
      </c>
      <c r="I580">
        <v>48.27</v>
      </c>
      <c r="J580">
        <v>1.26</v>
      </c>
      <c r="K580">
        <v>-1.75</v>
      </c>
      <c r="L580">
        <v>-2.83</v>
      </c>
      <c r="M580">
        <v>54.45</v>
      </c>
      <c r="O580">
        <v>23.16</v>
      </c>
      <c r="P580">
        <v>8.08</v>
      </c>
      <c r="Q580">
        <v>0</v>
      </c>
      <c r="R580">
        <v>0</v>
      </c>
    </row>
    <row r="581" spans="1:18" x14ac:dyDescent="0.25">
      <c r="A581">
        <v>140</v>
      </c>
      <c r="B581">
        <v>121.17</v>
      </c>
      <c r="C581">
        <f>ROUNDDOWN(5.50772727272727,0)</f>
        <v>5</v>
      </c>
      <c r="D581">
        <v>1.08</v>
      </c>
      <c r="F581">
        <v>-0.02</v>
      </c>
      <c r="G581">
        <v>0.1</v>
      </c>
      <c r="H581">
        <v>-2.4</v>
      </c>
      <c r="I581">
        <v>48.34</v>
      </c>
      <c r="J581">
        <v>1.44</v>
      </c>
      <c r="K581">
        <v>-1.81</v>
      </c>
      <c r="L581">
        <v>-2.9</v>
      </c>
      <c r="M581">
        <v>54.45</v>
      </c>
      <c r="O581">
        <v>23.21</v>
      </c>
      <c r="P581">
        <v>8.08</v>
      </c>
      <c r="Q581">
        <v>0</v>
      </c>
      <c r="R581">
        <v>0</v>
      </c>
    </row>
    <row r="582" spans="1:18" x14ac:dyDescent="0.25">
      <c r="A582">
        <v>140</v>
      </c>
      <c r="B582">
        <v>121.38</v>
      </c>
      <c r="C582">
        <f>ROUNDDOWN(5.51727272727273,0)</f>
        <v>5</v>
      </c>
      <c r="D582">
        <v>1</v>
      </c>
      <c r="F582">
        <v>-0.01</v>
      </c>
      <c r="G582">
        <v>0.11</v>
      </c>
      <c r="H582">
        <v>-2.52</v>
      </c>
      <c r="I582">
        <v>48.4</v>
      </c>
      <c r="J582">
        <v>1.64</v>
      </c>
      <c r="K582">
        <v>-1.76</v>
      </c>
      <c r="L582">
        <v>-2.87</v>
      </c>
      <c r="M582">
        <v>54.45</v>
      </c>
      <c r="O582">
        <v>23.26</v>
      </c>
      <c r="P582">
        <v>8.09</v>
      </c>
      <c r="Q582">
        <v>0</v>
      </c>
      <c r="R582">
        <v>0</v>
      </c>
    </row>
    <row r="583" spans="1:18" x14ac:dyDescent="0.25">
      <c r="A583">
        <v>140</v>
      </c>
      <c r="B583">
        <v>121.58999999999999</v>
      </c>
      <c r="C583">
        <f>ROUNDDOWN(5.52681818181818,0)</f>
        <v>5</v>
      </c>
      <c r="D583">
        <v>0.71</v>
      </c>
      <c r="F583">
        <v>-0.04</v>
      </c>
      <c r="G583">
        <v>0.08</v>
      </c>
      <c r="H583">
        <v>-2.57</v>
      </c>
      <c r="I583">
        <v>48.33</v>
      </c>
      <c r="J583">
        <v>1.85</v>
      </c>
      <c r="K583">
        <v>-1.58</v>
      </c>
      <c r="L583">
        <v>-2.83</v>
      </c>
      <c r="M583">
        <v>54.45</v>
      </c>
      <c r="O583">
        <v>23.31</v>
      </c>
      <c r="P583">
        <v>8.09</v>
      </c>
      <c r="Q583">
        <v>0</v>
      </c>
      <c r="R583">
        <v>0</v>
      </c>
    </row>
    <row r="584" spans="1:18" x14ac:dyDescent="0.25">
      <c r="A584">
        <v>140</v>
      </c>
      <c r="B584">
        <v>121.8</v>
      </c>
      <c r="C584">
        <f>ROUNDDOWN(5.53636363636364,0)</f>
        <v>5</v>
      </c>
      <c r="D584">
        <v>0.28000000000000003</v>
      </c>
      <c r="F584">
        <v>-0.09</v>
      </c>
      <c r="G584">
        <v>0.02</v>
      </c>
      <c r="H584">
        <v>-2.62</v>
      </c>
      <c r="I584">
        <v>48.17</v>
      </c>
      <c r="J584">
        <v>2.06</v>
      </c>
      <c r="K584">
        <v>-1.36</v>
      </c>
      <c r="L584">
        <v>-2.83</v>
      </c>
      <c r="M584">
        <v>54.45</v>
      </c>
      <c r="O584">
        <v>23.36</v>
      </c>
      <c r="P584">
        <v>8.1</v>
      </c>
      <c r="Q584">
        <v>0</v>
      </c>
      <c r="R584">
        <v>0</v>
      </c>
    </row>
    <row r="585" spans="1:18" x14ac:dyDescent="0.25">
      <c r="A585">
        <v>140</v>
      </c>
      <c r="B585">
        <v>122.00999999999999</v>
      </c>
      <c r="C585">
        <f>ROUNDDOWN(5.54590909090909,0)</f>
        <v>5</v>
      </c>
      <c r="D585">
        <v>-0.22</v>
      </c>
      <c r="F585">
        <v>-0.15</v>
      </c>
      <c r="G585">
        <v>-0.06</v>
      </c>
      <c r="H585">
        <v>-2.67</v>
      </c>
      <c r="I585">
        <v>47.97</v>
      </c>
      <c r="J585">
        <v>2.29</v>
      </c>
      <c r="K585">
        <v>-1.1499999999999999</v>
      </c>
      <c r="L585">
        <v>-2.84</v>
      </c>
      <c r="M585">
        <v>54.45</v>
      </c>
      <c r="O585">
        <v>23.41</v>
      </c>
      <c r="P585">
        <v>8.1</v>
      </c>
      <c r="Q585">
        <v>0</v>
      </c>
      <c r="R585">
        <v>0</v>
      </c>
    </row>
    <row r="586" spans="1:18" x14ac:dyDescent="0.25">
      <c r="A586">
        <v>140</v>
      </c>
      <c r="B586">
        <v>122.22</v>
      </c>
      <c r="C586">
        <f>ROUNDDOWN(5.55545454545455,0)</f>
        <v>5</v>
      </c>
      <c r="D586">
        <v>-0.69</v>
      </c>
      <c r="F586">
        <v>-0.21</v>
      </c>
      <c r="G586">
        <v>-0.12</v>
      </c>
      <c r="H586">
        <v>-2.69</v>
      </c>
      <c r="I586">
        <v>47.77</v>
      </c>
      <c r="J586">
        <v>2.5099999999999998</v>
      </c>
      <c r="K586">
        <v>-0.92</v>
      </c>
      <c r="L586">
        <v>-2.8</v>
      </c>
      <c r="M586">
        <v>54.45</v>
      </c>
      <c r="O586">
        <v>23.46</v>
      </c>
      <c r="P586">
        <v>8.11</v>
      </c>
      <c r="Q586">
        <v>0</v>
      </c>
      <c r="R586">
        <v>0</v>
      </c>
    </row>
    <row r="587" spans="1:18" x14ac:dyDescent="0.25">
      <c r="A587">
        <v>140</v>
      </c>
      <c r="B587">
        <v>122.42999999999999</v>
      </c>
      <c r="C587">
        <f>ROUNDDOWN(5.565,0)</f>
        <v>5</v>
      </c>
      <c r="D587">
        <v>-1.23</v>
      </c>
      <c r="F587">
        <v>-0.25</v>
      </c>
      <c r="G587">
        <v>-0.18</v>
      </c>
      <c r="H587">
        <v>-2.75</v>
      </c>
      <c r="I587">
        <v>47.49</v>
      </c>
      <c r="J587">
        <v>2.71</v>
      </c>
      <c r="K587">
        <v>-0.7</v>
      </c>
      <c r="L587">
        <v>-2.84</v>
      </c>
      <c r="M587">
        <v>54.45</v>
      </c>
      <c r="O587">
        <v>23.51</v>
      </c>
      <c r="P587">
        <v>8.11</v>
      </c>
      <c r="Q587">
        <v>0</v>
      </c>
      <c r="R587">
        <v>0</v>
      </c>
    </row>
    <row r="588" spans="1:18" x14ac:dyDescent="0.25">
      <c r="A588">
        <v>140</v>
      </c>
      <c r="B588">
        <v>122.64</v>
      </c>
      <c r="C588">
        <f>ROUNDDOWN(5.57454545454545,0)</f>
        <v>5</v>
      </c>
      <c r="D588">
        <v>-1.73</v>
      </c>
      <c r="F588">
        <v>-0.28999999999999998</v>
      </c>
      <c r="G588">
        <v>-0.25</v>
      </c>
      <c r="H588">
        <v>-2.88</v>
      </c>
      <c r="I588">
        <v>47.19</v>
      </c>
      <c r="J588">
        <v>2.9</v>
      </c>
      <c r="K588">
        <v>-0.56000000000000005</v>
      </c>
      <c r="L588">
        <v>-2.93</v>
      </c>
      <c r="M588">
        <v>54.45</v>
      </c>
      <c r="O588">
        <v>23.56</v>
      </c>
      <c r="P588">
        <v>8.11</v>
      </c>
      <c r="Q588">
        <v>0</v>
      </c>
      <c r="R588">
        <v>0</v>
      </c>
    </row>
    <row r="589" spans="1:18" x14ac:dyDescent="0.25">
      <c r="A589">
        <v>140</v>
      </c>
      <c r="B589">
        <v>122.85</v>
      </c>
      <c r="C589">
        <f>ROUNDDOWN(5.58409090909091,0)</f>
        <v>5</v>
      </c>
      <c r="D589">
        <v>-2.06</v>
      </c>
      <c r="F589">
        <v>-0.34</v>
      </c>
      <c r="G589">
        <v>-0.32</v>
      </c>
      <c r="H589">
        <v>-3.01</v>
      </c>
      <c r="I589">
        <v>46.9</v>
      </c>
      <c r="J589">
        <v>3.06</v>
      </c>
      <c r="K589">
        <v>-0.45</v>
      </c>
      <c r="L589">
        <v>-3.02</v>
      </c>
      <c r="M589">
        <v>54.46</v>
      </c>
      <c r="O589">
        <v>23.61</v>
      </c>
      <c r="P589">
        <v>8.1199999999999992</v>
      </c>
      <c r="Q589">
        <v>0</v>
      </c>
      <c r="R589">
        <v>0</v>
      </c>
    </row>
    <row r="590" spans="1:18" x14ac:dyDescent="0.25">
      <c r="A590">
        <v>140</v>
      </c>
      <c r="B590">
        <v>123.06</v>
      </c>
      <c r="C590">
        <f>ROUNDDOWN(5.59363636363636,0)</f>
        <v>5</v>
      </c>
      <c r="D590">
        <v>-2.11</v>
      </c>
      <c r="F590">
        <v>-0.37</v>
      </c>
      <c r="G590">
        <v>-0.37</v>
      </c>
      <c r="H590">
        <v>-3.13</v>
      </c>
      <c r="I590">
        <v>46.76</v>
      </c>
      <c r="J590">
        <v>3.2</v>
      </c>
      <c r="K590">
        <v>-0.4</v>
      </c>
      <c r="L590">
        <v>-3</v>
      </c>
      <c r="M590">
        <v>54.46</v>
      </c>
      <c r="O590">
        <v>23.66</v>
      </c>
      <c r="P590">
        <v>8.1199999999999992</v>
      </c>
      <c r="Q590">
        <v>0</v>
      </c>
      <c r="R590">
        <v>0</v>
      </c>
    </row>
    <row r="591" spans="1:18" x14ac:dyDescent="0.25">
      <c r="A591">
        <v>140</v>
      </c>
      <c r="B591">
        <v>123.27</v>
      </c>
      <c r="C591">
        <f>ROUNDDOWN(5.60318181818182,0)</f>
        <v>5</v>
      </c>
      <c r="D591">
        <v>-1.73</v>
      </c>
      <c r="F591">
        <v>-0.39</v>
      </c>
      <c r="G591">
        <v>-0.41</v>
      </c>
      <c r="H591">
        <v>-3.35</v>
      </c>
      <c r="I591">
        <v>46.89</v>
      </c>
      <c r="J591">
        <v>3.31</v>
      </c>
      <c r="K591">
        <v>-0.59</v>
      </c>
      <c r="L591">
        <v>-2.94</v>
      </c>
      <c r="M591">
        <v>54.46</v>
      </c>
      <c r="O591">
        <v>23.71</v>
      </c>
      <c r="P591">
        <v>8.1199999999999992</v>
      </c>
      <c r="Q591">
        <v>0</v>
      </c>
      <c r="R591">
        <v>0</v>
      </c>
    </row>
    <row r="592" spans="1:18" x14ac:dyDescent="0.25">
      <c r="A592">
        <v>140</v>
      </c>
      <c r="B592">
        <v>123.47999999999999</v>
      </c>
      <c r="C592">
        <f>ROUNDDOWN(5.61272727272727,0)</f>
        <v>5</v>
      </c>
      <c r="D592">
        <v>-1.1399999999999999</v>
      </c>
      <c r="F592">
        <v>-0.39</v>
      </c>
      <c r="G592">
        <v>-0.44</v>
      </c>
      <c r="H592">
        <v>-3.64</v>
      </c>
      <c r="I592">
        <v>47.29</v>
      </c>
      <c r="J592">
        <v>3.4</v>
      </c>
      <c r="K592">
        <v>-0.97</v>
      </c>
      <c r="L592">
        <v>-2.83</v>
      </c>
      <c r="M592">
        <v>54.46</v>
      </c>
      <c r="O592">
        <v>23.76</v>
      </c>
      <c r="P592">
        <v>8.1199999999999992</v>
      </c>
      <c r="Q592">
        <v>0</v>
      </c>
      <c r="R592">
        <v>0</v>
      </c>
    </row>
    <row r="593" spans="1:18" x14ac:dyDescent="0.25">
      <c r="A593">
        <v>140</v>
      </c>
      <c r="B593">
        <v>123.69</v>
      </c>
      <c r="C593">
        <f>ROUNDDOWN(5.62227272727273,0)</f>
        <v>5</v>
      </c>
      <c r="D593">
        <v>-0.28999999999999998</v>
      </c>
      <c r="F593">
        <v>-0.41</v>
      </c>
      <c r="G593">
        <v>-0.48</v>
      </c>
      <c r="H593">
        <v>-3.88</v>
      </c>
      <c r="I593">
        <v>48.01</v>
      </c>
      <c r="J593">
        <v>3.47</v>
      </c>
      <c r="K593">
        <v>-1.43</v>
      </c>
      <c r="L593">
        <v>-2.52</v>
      </c>
      <c r="M593">
        <v>54.46</v>
      </c>
      <c r="O593">
        <v>23.81</v>
      </c>
      <c r="P593">
        <v>8.1300000000000008</v>
      </c>
      <c r="Q593">
        <v>0</v>
      </c>
      <c r="R593">
        <v>0</v>
      </c>
    </row>
    <row r="594" spans="1:18" x14ac:dyDescent="0.25">
      <c r="A594">
        <v>140</v>
      </c>
      <c r="B594">
        <v>123.89999999999999</v>
      </c>
      <c r="C594">
        <f>ROUNDDOWN(5.63181818181818,0)</f>
        <v>5</v>
      </c>
      <c r="D594">
        <v>0.48</v>
      </c>
      <c r="F594">
        <v>-0.5</v>
      </c>
      <c r="G594">
        <v>-0.61</v>
      </c>
      <c r="H594">
        <v>-3.98</v>
      </c>
      <c r="I594">
        <v>48.73</v>
      </c>
      <c r="J594">
        <v>3.54</v>
      </c>
      <c r="K594">
        <v>-1.7</v>
      </c>
      <c r="L594">
        <v>-2.1</v>
      </c>
      <c r="M594">
        <v>54.46</v>
      </c>
      <c r="O594">
        <v>23.86</v>
      </c>
      <c r="P594">
        <v>8.1300000000000008</v>
      </c>
      <c r="Q594">
        <v>0</v>
      </c>
      <c r="R594">
        <v>0</v>
      </c>
    </row>
    <row r="595" spans="1:18" x14ac:dyDescent="0.25">
      <c r="A595">
        <v>140</v>
      </c>
      <c r="B595">
        <v>124.11</v>
      </c>
      <c r="C595">
        <f>ROUNDDOWN(5.64136363636364,0)</f>
        <v>5</v>
      </c>
      <c r="D595">
        <v>1.0900000000000001</v>
      </c>
      <c r="F595">
        <v>-0.56999999999999995</v>
      </c>
      <c r="G595">
        <v>-0.72</v>
      </c>
      <c r="H595">
        <v>-3.97</v>
      </c>
      <c r="I595">
        <v>49.36</v>
      </c>
      <c r="J595">
        <v>3.6</v>
      </c>
      <c r="K595">
        <v>-1.81</v>
      </c>
      <c r="L595">
        <v>-1.66</v>
      </c>
      <c r="M595">
        <v>54.46</v>
      </c>
      <c r="O595">
        <v>23.91</v>
      </c>
      <c r="P595">
        <v>8.1300000000000008</v>
      </c>
      <c r="Q595">
        <v>0</v>
      </c>
      <c r="R595">
        <v>0</v>
      </c>
    </row>
    <row r="596" spans="1:18" x14ac:dyDescent="0.25">
      <c r="A596">
        <v>140</v>
      </c>
      <c r="B596">
        <v>124.32</v>
      </c>
      <c r="C596">
        <f>ROUNDDOWN(5.65090909090909,0)</f>
        <v>5</v>
      </c>
      <c r="D596">
        <v>1.51</v>
      </c>
      <c r="F596">
        <v>-0.56999999999999995</v>
      </c>
      <c r="G596">
        <v>-0.75</v>
      </c>
      <c r="H596">
        <v>-3.93</v>
      </c>
      <c r="I596">
        <v>49.85</v>
      </c>
      <c r="J596">
        <v>3.65</v>
      </c>
      <c r="K596">
        <v>-1.79</v>
      </c>
      <c r="L596">
        <v>-1.27</v>
      </c>
      <c r="M596">
        <v>54.46</v>
      </c>
      <c r="O596">
        <v>23.96</v>
      </c>
      <c r="P596">
        <v>8.1300000000000008</v>
      </c>
      <c r="Q596">
        <v>0</v>
      </c>
      <c r="R596">
        <v>0</v>
      </c>
    </row>
    <row r="597" spans="1:18" x14ac:dyDescent="0.25">
      <c r="A597">
        <v>140</v>
      </c>
      <c r="B597">
        <v>124.53</v>
      </c>
      <c r="C597">
        <f>ROUNDDOWN(5.66045454545455,0)</f>
        <v>5</v>
      </c>
      <c r="D597">
        <v>1.8</v>
      </c>
      <c r="F597">
        <v>-0.46</v>
      </c>
      <c r="G597">
        <v>-0.68</v>
      </c>
      <c r="H597">
        <v>-3.77</v>
      </c>
      <c r="I597">
        <v>50.2</v>
      </c>
      <c r="J597">
        <v>3.71</v>
      </c>
      <c r="K597">
        <v>-1.58</v>
      </c>
      <c r="L597">
        <v>-0.85</v>
      </c>
      <c r="M597">
        <v>54.46</v>
      </c>
      <c r="O597">
        <v>24</v>
      </c>
      <c r="P597">
        <v>8.14</v>
      </c>
      <c r="Q597">
        <v>0</v>
      </c>
      <c r="R597">
        <v>0</v>
      </c>
    </row>
    <row r="598" spans="1:18" x14ac:dyDescent="0.25">
      <c r="A598">
        <v>140</v>
      </c>
      <c r="B598">
        <v>124.74</v>
      </c>
      <c r="C598">
        <f>ROUNDDOWN(5.67,0)</f>
        <v>5</v>
      </c>
      <c r="D598">
        <v>2.12</v>
      </c>
      <c r="F598">
        <v>-0.31</v>
      </c>
      <c r="G598">
        <v>-0.56000000000000005</v>
      </c>
      <c r="H598">
        <v>-3.46</v>
      </c>
      <c r="I598">
        <v>50.45</v>
      </c>
      <c r="J598">
        <v>3.78</v>
      </c>
      <c r="K598">
        <v>-1.19</v>
      </c>
      <c r="L598">
        <v>-0.37</v>
      </c>
      <c r="M598">
        <v>54.46</v>
      </c>
      <c r="O598">
        <v>24.05</v>
      </c>
      <c r="P598">
        <v>8.14</v>
      </c>
      <c r="Q598">
        <v>0</v>
      </c>
      <c r="R598">
        <v>0</v>
      </c>
    </row>
    <row r="599" spans="1:18" x14ac:dyDescent="0.25">
      <c r="A599">
        <v>140</v>
      </c>
      <c r="B599">
        <v>124.94999999999999</v>
      </c>
      <c r="C599">
        <f>ROUNDDOWN(5.67954545454545,0)</f>
        <v>5</v>
      </c>
      <c r="D599">
        <v>2.2799999999999998</v>
      </c>
      <c r="F599">
        <v>-0.25</v>
      </c>
      <c r="G599">
        <v>-0.52</v>
      </c>
      <c r="H599">
        <v>-3.14</v>
      </c>
      <c r="I599">
        <v>50.45</v>
      </c>
      <c r="J599">
        <v>3.87</v>
      </c>
      <c r="K599">
        <v>-0.67</v>
      </c>
      <c r="L599">
        <v>-0.02</v>
      </c>
      <c r="M599">
        <v>54.46</v>
      </c>
      <c r="O599">
        <v>24.1</v>
      </c>
      <c r="P599">
        <v>8.14</v>
      </c>
      <c r="Q599">
        <v>0</v>
      </c>
      <c r="R599">
        <v>0</v>
      </c>
    </row>
    <row r="600" spans="1:18" x14ac:dyDescent="0.25">
      <c r="A600">
        <v>140</v>
      </c>
      <c r="B600">
        <v>125.16</v>
      </c>
      <c r="C600">
        <f>ROUNDDOWN(5.68909090909091,0)</f>
        <v>5</v>
      </c>
      <c r="D600">
        <v>2.34</v>
      </c>
      <c r="F600">
        <v>-0.19</v>
      </c>
      <c r="G600">
        <v>-0.49</v>
      </c>
      <c r="H600">
        <v>-2.92</v>
      </c>
      <c r="I600">
        <v>50.31</v>
      </c>
      <c r="J600">
        <v>3.97</v>
      </c>
      <c r="K600">
        <v>-0.22</v>
      </c>
      <c r="L600">
        <v>0.15</v>
      </c>
      <c r="M600">
        <v>54.46</v>
      </c>
      <c r="O600">
        <v>24.15</v>
      </c>
      <c r="P600">
        <v>8.14</v>
      </c>
      <c r="Q600">
        <v>0</v>
      </c>
      <c r="R600">
        <v>0</v>
      </c>
    </row>
    <row r="601" spans="1:18" x14ac:dyDescent="0.25">
      <c r="A601">
        <v>140</v>
      </c>
      <c r="B601">
        <v>125.36999999999999</v>
      </c>
      <c r="C601">
        <f>ROUNDDOWN(5.69863636363636,0)</f>
        <v>5</v>
      </c>
      <c r="D601">
        <v>2.39</v>
      </c>
      <c r="F601">
        <v>-0.13</v>
      </c>
      <c r="G601">
        <v>-0.45</v>
      </c>
      <c r="H601">
        <v>-2.65</v>
      </c>
      <c r="I601">
        <v>50.15</v>
      </c>
      <c r="J601">
        <v>4.08</v>
      </c>
      <c r="K601">
        <v>0.27</v>
      </c>
      <c r="L601">
        <v>0.36</v>
      </c>
      <c r="M601">
        <v>54.46</v>
      </c>
      <c r="O601">
        <v>24.2</v>
      </c>
      <c r="P601">
        <v>8.15</v>
      </c>
      <c r="Q601">
        <v>0</v>
      </c>
      <c r="R601">
        <v>0</v>
      </c>
    </row>
    <row r="602" spans="1:18" x14ac:dyDescent="0.25">
      <c r="A602">
        <v>140</v>
      </c>
      <c r="B602">
        <v>125.58</v>
      </c>
      <c r="C602">
        <f>ROUNDDOWN(5.70818181818182,0)</f>
        <v>5</v>
      </c>
      <c r="D602">
        <v>2.58</v>
      </c>
      <c r="F602">
        <v>-0.05</v>
      </c>
      <c r="G602">
        <v>-0.39</v>
      </c>
      <c r="H602">
        <v>-2.3199999999999998</v>
      </c>
      <c r="I602">
        <v>50.07</v>
      </c>
      <c r="J602">
        <v>4.17</v>
      </c>
      <c r="K602">
        <v>0.75</v>
      </c>
      <c r="L602">
        <v>0.66</v>
      </c>
      <c r="M602">
        <v>54.46</v>
      </c>
      <c r="O602">
        <v>24.24</v>
      </c>
      <c r="P602">
        <v>8.15</v>
      </c>
      <c r="Q602">
        <v>0</v>
      </c>
      <c r="R602">
        <v>0</v>
      </c>
    </row>
    <row r="603" spans="1:18" x14ac:dyDescent="0.25">
      <c r="A603">
        <v>140</v>
      </c>
      <c r="B603">
        <v>125.78999999999999</v>
      </c>
      <c r="C603">
        <f>ROUNDDOWN(5.71772727272727,0)</f>
        <v>5</v>
      </c>
      <c r="D603">
        <v>2.74</v>
      </c>
      <c r="F603">
        <v>-0.06</v>
      </c>
      <c r="G603">
        <v>-0.41</v>
      </c>
      <c r="H603">
        <v>-2</v>
      </c>
      <c r="I603">
        <v>49.93</v>
      </c>
      <c r="J603">
        <v>4.25</v>
      </c>
      <c r="K603">
        <v>1.21</v>
      </c>
      <c r="L603">
        <v>0.92</v>
      </c>
      <c r="M603">
        <v>54.46</v>
      </c>
      <c r="O603">
        <v>24.29</v>
      </c>
      <c r="P603">
        <v>8.15</v>
      </c>
      <c r="Q603">
        <v>0</v>
      </c>
      <c r="R603">
        <v>0</v>
      </c>
    </row>
    <row r="604" spans="1:18" x14ac:dyDescent="0.25">
      <c r="A604">
        <v>140</v>
      </c>
      <c r="B604">
        <v>126</v>
      </c>
      <c r="C604">
        <f>ROUNDDOWN(5.72727272727273,0)</f>
        <v>5</v>
      </c>
      <c r="D604">
        <v>2.76</v>
      </c>
      <c r="F604">
        <v>-0.09</v>
      </c>
      <c r="G604">
        <v>-0.47</v>
      </c>
      <c r="H604">
        <v>-1.68</v>
      </c>
      <c r="I604">
        <v>49.66</v>
      </c>
      <c r="J604">
        <v>4.32</v>
      </c>
      <c r="K604">
        <v>1.72</v>
      </c>
      <c r="L604">
        <v>1.1000000000000001</v>
      </c>
      <c r="M604">
        <v>54.46</v>
      </c>
      <c r="O604">
        <v>24.34</v>
      </c>
      <c r="P604">
        <v>8.16</v>
      </c>
      <c r="Q604">
        <v>0</v>
      </c>
      <c r="R604">
        <v>0</v>
      </c>
    </row>
    <row r="605" spans="1:18" x14ac:dyDescent="0.25">
      <c r="A605">
        <v>140</v>
      </c>
      <c r="B605">
        <v>126.21</v>
      </c>
      <c r="C605">
        <f>ROUNDDOWN(5.73681818181818,0)</f>
        <v>5</v>
      </c>
      <c r="D605">
        <v>2.64</v>
      </c>
      <c r="F605">
        <v>-0.16</v>
      </c>
      <c r="G605">
        <v>-0.56000000000000005</v>
      </c>
      <c r="H605">
        <v>-1.38</v>
      </c>
      <c r="I605">
        <v>49.39</v>
      </c>
      <c r="J605">
        <v>4.3600000000000003</v>
      </c>
      <c r="K605">
        <v>2.17</v>
      </c>
      <c r="L605">
        <v>1.27</v>
      </c>
      <c r="M605">
        <v>54.46</v>
      </c>
      <c r="O605">
        <v>24.38</v>
      </c>
      <c r="P605">
        <v>8.16</v>
      </c>
      <c r="Q605">
        <v>0</v>
      </c>
      <c r="R605">
        <v>0</v>
      </c>
    </row>
    <row r="606" spans="1:18" x14ac:dyDescent="0.25">
      <c r="A606">
        <v>140</v>
      </c>
      <c r="B606">
        <v>126.42</v>
      </c>
      <c r="C606">
        <f>ROUNDDOWN(5.74636363636364,0)</f>
        <v>5</v>
      </c>
      <c r="D606">
        <v>2.37</v>
      </c>
      <c r="F606">
        <v>-0.22</v>
      </c>
      <c r="G606">
        <v>-0.64</v>
      </c>
      <c r="H606">
        <v>-1.0900000000000001</v>
      </c>
      <c r="I606">
        <v>49.27</v>
      </c>
      <c r="J606">
        <v>4.38</v>
      </c>
      <c r="K606">
        <v>2.5099999999999998</v>
      </c>
      <c r="L606">
        <v>1.49</v>
      </c>
      <c r="M606">
        <v>54.46</v>
      </c>
      <c r="O606">
        <v>24.43</v>
      </c>
      <c r="P606">
        <v>8.16</v>
      </c>
      <c r="Q606">
        <v>0</v>
      </c>
      <c r="R606">
        <v>0</v>
      </c>
    </row>
    <row r="607" spans="1:18" x14ac:dyDescent="0.25">
      <c r="A607">
        <v>140</v>
      </c>
      <c r="B607">
        <v>126.63</v>
      </c>
      <c r="C607">
        <f>ROUNDDOWN(5.75590909090909,0)</f>
        <v>5</v>
      </c>
      <c r="D607">
        <v>1.99</v>
      </c>
      <c r="F607">
        <v>-0.26</v>
      </c>
      <c r="G607">
        <v>-0.7</v>
      </c>
      <c r="H607">
        <v>-0.87</v>
      </c>
      <c r="I607">
        <v>49.29</v>
      </c>
      <c r="J607">
        <v>4.3899999999999997</v>
      </c>
      <c r="K607">
        <v>2.68</v>
      </c>
      <c r="L607">
        <v>1.7</v>
      </c>
      <c r="M607">
        <v>54.46</v>
      </c>
      <c r="O607">
        <v>24.48</v>
      </c>
      <c r="P607">
        <v>8.16</v>
      </c>
      <c r="Q607">
        <v>0</v>
      </c>
      <c r="R607">
        <v>0</v>
      </c>
    </row>
    <row r="608" spans="1:18" x14ac:dyDescent="0.25">
      <c r="A608">
        <v>140</v>
      </c>
      <c r="B608">
        <v>126.83999999999999</v>
      </c>
      <c r="C608">
        <f>ROUNDDOWN(5.76545454545454,0)</f>
        <v>5</v>
      </c>
      <c r="D608">
        <v>1.37</v>
      </c>
      <c r="F608">
        <v>-0.3</v>
      </c>
      <c r="G608">
        <v>-0.77</v>
      </c>
      <c r="H608">
        <v>-0.74</v>
      </c>
      <c r="I608">
        <v>49.39</v>
      </c>
      <c r="J608">
        <v>4.3899999999999997</v>
      </c>
      <c r="K608">
        <v>2.72</v>
      </c>
      <c r="L608">
        <v>1.85</v>
      </c>
      <c r="M608">
        <v>54.46</v>
      </c>
      <c r="O608">
        <v>24.53</v>
      </c>
      <c r="P608">
        <v>8.16</v>
      </c>
      <c r="Q608">
        <v>0</v>
      </c>
      <c r="R608">
        <v>0</v>
      </c>
    </row>
    <row r="609" spans="1:18" x14ac:dyDescent="0.25">
      <c r="A609">
        <v>140</v>
      </c>
      <c r="B609">
        <v>127.05</v>
      </c>
      <c r="C609">
        <f>ROUNDDOWN(5.775,0)</f>
        <v>5</v>
      </c>
      <c r="D609">
        <v>0.81</v>
      </c>
      <c r="F609">
        <v>-0.42</v>
      </c>
      <c r="G609">
        <v>-0.93</v>
      </c>
      <c r="H609">
        <v>-0.59</v>
      </c>
      <c r="I609">
        <v>49.54</v>
      </c>
      <c r="J609">
        <v>4.38</v>
      </c>
      <c r="K609">
        <v>2.75</v>
      </c>
      <c r="L609">
        <v>2.04</v>
      </c>
      <c r="M609">
        <v>54.47</v>
      </c>
      <c r="O609">
        <v>24.57</v>
      </c>
      <c r="P609">
        <v>8.16</v>
      </c>
      <c r="Q609">
        <v>0</v>
      </c>
      <c r="R609">
        <v>0</v>
      </c>
    </row>
    <row r="610" spans="1:18" x14ac:dyDescent="0.25">
      <c r="A610">
        <v>140</v>
      </c>
      <c r="B610">
        <v>127.25999999999999</v>
      </c>
      <c r="C610">
        <f>ROUNDDOWN(5.78454545454545,0)</f>
        <v>5</v>
      </c>
      <c r="D610">
        <v>0.39</v>
      </c>
      <c r="F610">
        <v>-0.54</v>
      </c>
      <c r="G610">
        <v>-1.08</v>
      </c>
      <c r="H610">
        <v>-0.44</v>
      </c>
      <c r="I610">
        <v>49.75</v>
      </c>
      <c r="J610">
        <v>4.3600000000000003</v>
      </c>
      <c r="K610">
        <v>2.75</v>
      </c>
      <c r="L610">
        <v>2.25</v>
      </c>
      <c r="M610">
        <v>54.47</v>
      </c>
      <c r="O610">
        <v>24.62</v>
      </c>
      <c r="P610">
        <v>8.16</v>
      </c>
      <c r="Q610">
        <v>0</v>
      </c>
      <c r="R610">
        <v>0</v>
      </c>
    </row>
    <row r="611" spans="1:18" x14ac:dyDescent="0.25">
      <c r="A611">
        <v>140</v>
      </c>
      <c r="B611">
        <v>127.47</v>
      </c>
      <c r="C611">
        <f>ROUNDDOWN(5.79409090909091,0)</f>
        <v>5</v>
      </c>
      <c r="D611">
        <v>0.1</v>
      </c>
      <c r="F611">
        <v>-0.48</v>
      </c>
      <c r="G611">
        <v>-1.07</v>
      </c>
      <c r="H611">
        <v>-0.32</v>
      </c>
      <c r="I611">
        <v>49.95</v>
      </c>
      <c r="J611">
        <v>4.32</v>
      </c>
      <c r="K611">
        <v>2.73</v>
      </c>
      <c r="L611">
        <v>2.4</v>
      </c>
      <c r="M611">
        <v>54.47</v>
      </c>
      <c r="O611">
        <v>24.67</v>
      </c>
      <c r="P611">
        <v>8.16</v>
      </c>
      <c r="Q611">
        <v>0</v>
      </c>
      <c r="R611">
        <v>0</v>
      </c>
    </row>
    <row r="612" spans="1:18" x14ac:dyDescent="0.25">
      <c r="A612">
        <v>140</v>
      </c>
      <c r="B612">
        <v>127.67999999999999</v>
      </c>
      <c r="C612">
        <f>ROUNDDOWN(5.80363636363636,0)</f>
        <v>5</v>
      </c>
      <c r="D612">
        <v>-0.08</v>
      </c>
      <c r="F612">
        <v>-0.37</v>
      </c>
      <c r="G612">
        <v>-1</v>
      </c>
      <c r="H612">
        <v>-0.33</v>
      </c>
      <c r="I612">
        <v>50.12</v>
      </c>
      <c r="J612">
        <v>4.2699999999999996</v>
      </c>
      <c r="K612">
        <v>2.58</v>
      </c>
      <c r="L612">
        <v>2.4</v>
      </c>
      <c r="M612">
        <v>54.47</v>
      </c>
      <c r="O612">
        <v>24.71</v>
      </c>
      <c r="P612">
        <v>8.16</v>
      </c>
      <c r="Q612">
        <v>0</v>
      </c>
      <c r="R612">
        <v>0</v>
      </c>
    </row>
    <row r="613" spans="1:18" x14ac:dyDescent="0.25">
      <c r="A613">
        <v>140</v>
      </c>
      <c r="B613">
        <v>127.89</v>
      </c>
      <c r="C613">
        <f>ROUNDDOWN(5.81318181818182,0)</f>
        <v>5</v>
      </c>
      <c r="D613">
        <v>-0.13</v>
      </c>
      <c r="F613">
        <v>-0.17</v>
      </c>
      <c r="G613">
        <v>-0.83</v>
      </c>
      <c r="H613">
        <v>-0.35</v>
      </c>
      <c r="I613">
        <v>50.32</v>
      </c>
      <c r="J613">
        <v>4.2</v>
      </c>
      <c r="K613">
        <v>2.42</v>
      </c>
      <c r="L613">
        <v>2.4</v>
      </c>
      <c r="M613">
        <v>54.47</v>
      </c>
      <c r="O613">
        <v>24.76</v>
      </c>
      <c r="P613">
        <v>8.16</v>
      </c>
      <c r="Q613">
        <v>0</v>
      </c>
      <c r="R613">
        <v>0</v>
      </c>
    </row>
    <row r="614" spans="1:18" x14ac:dyDescent="0.25">
      <c r="A614">
        <v>140</v>
      </c>
      <c r="B614">
        <v>128.1</v>
      </c>
      <c r="C614">
        <f>ROUNDDOWN(5.82272727272727,0)</f>
        <v>5</v>
      </c>
      <c r="D614">
        <v>0.17</v>
      </c>
      <c r="F614">
        <v>-0.05</v>
      </c>
      <c r="G614">
        <v>-0.73</v>
      </c>
      <c r="H614">
        <v>-0.32</v>
      </c>
      <c r="I614">
        <v>50.62</v>
      </c>
      <c r="J614">
        <v>4.12</v>
      </c>
      <c r="K614">
        <v>2.27</v>
      </c>
      <c r="L614">
        <v>2.4900000000000002</v>
      </c>
      <c r="M614">
        <v>54.47</v>
      </c>
      <c r="O614">
        <v>24.8</v>
      </c>
      <c r="P614">
        <v>8.16</v>
      </c>
      <c r="Q614">
        <v>0</v>
      </c>
      <c r="R614">
        <v>0</v>
      </c>
    </row>
    <row r="615" spans="1:18" x14ac:dyDescent="0.25">
      <c r="A615">
        <v>140</v>
      </c>
      <c r="B615">
        <v>128.31</v>
      </c>
      <c r="C615">
        <f>ROUNDDOWN(5.83227272727273,0)</f>
        <v>5</v>
      </c>
      <c r="D615">
        <v>0.62</v>
      </c>
      <c r="F615">
        <v>0.12</v>
      </c>
      <c r="G615">
        <v>-0.57999999999999996</v>
      </c>
      <c r="H615">
        <v>-0.3</v>
      </c>
      <c r="I615">
        <v>50.93</v>
      </c>
      <c r="J615">
        <v>4.03</v>
      </c>
      <c r="K615">
        <v>2.11</v>
      </c>
      <c r="L615">
        <v>2.57</v>
      </c>
      <c r="M615">
        <v>54.47</v>
      </c>
      <c r="O615">
        <v>24.85</v>
      </c>
      <c r="P615">
        <v>8.16</v>
      </c>
      <c r="Q615">
        <v>0</v>
      </c>
      <c r="R615">
        <v>0</v>
      </c>
    </row>
    <row r="616" spans="1:18" x14ac:dyDescent="0.25">
      <c r="A616">
        <v>140</v>
      </c>
      <c r="B616">
        <v>128.51999999999998</v>
      </c>
      <c r="C616">
        <f>ROUNDDOWN(5.84181818181818,0)</f>
        <v>5</v>
      </c>
      <c r="D616">
        <v>1.1399999999999999</v>
      </c>
      <c r="F616">
        <v>0.27</v>
      </c>
      <c r="G616">
        <v>-0.44</v>
      </c>
      <c r="H616">
        <v>-0.36</v>
      </c>
      <c r="I616">
        <v>51.29</v>
      </c>
      <c r="J616">
        <v>3.92</v>
      </c>
      <c r="K616">
        <v>1.86</v>
      </c>
      <c r="L616">
        <v>2.58</v>
      </c>
      <c r="M616">
        <v>54.47</v>
      </c>
      <c r="O616">
        <v>24.9</v>
      </c>
      <c r="P616">
        <v>8.16</v>
      </c>
      <c r="Q616">
        <v>0</v>
      </c>
      <c r="R616">
        <v>0</v>
      </c>
    </row>
    <row r="617" spans="1:18" x14ac:dyDescent="0.25">
      <c r="A617">
        <v>140</v>
      </c>
      <c r="B617">
        <v>128.72999999999999</v>
      </c>
      <c r="C617">
        <f>ROUNDDOWN(5.85136363636364,0)</f>
        <v>5</v>
      </c>
      <c r="D617">
        <v>1.62</v>
      </c>
      <c r="F617">
        <v>0.38</v>
      </c>
      <c r="G617">
        <v>-0.33</v>
      </c>
      <c r="H617">
        <v>-0.44</v>
      </c>
      <c r="I617">
        <v>51.68</v>
      </c>
      <c r="J617">
        <v>3.82</v>
      </c>
      <c r="K617">
        <v>1.59</v>
      </c>
      <c r="L617">
        <v>2.57</v>
      </c>
      <c r="M617">
        <v>54.47</v>
      </c>
      <c r="O617">
        <v>24.94</v>
      </c>
      <c r="P617">
        <v>8.16</v>
      </c>
      <c r="Q617">
        <v>0</v>
      </c>
      <c r="R617">
        <v>0</v>
      </c>
    </row>
    <row r="618" spans="1:18" x14ac:dyDescent="0.25">
      <c r="A618">
        <v>140</v>
      </c>
      <c r="B618">
        <v>128.94</v>
      </c>
      <c r="C618">
        <f>ROUNDDOWN(5.86090909090909,0)</f>
        <v>5</v>
      </c>
      <c r="D618">
        <v>2.1800000000000002</v>
      </c>
      <c r="F618">
        <v>0.45</v>
      </c>
      <c r="G618">
        <v>-0.26</v>
      </c>
      <c r="H618">
        <v>-0.4</v>
      </c>
      <c r="I618">
        <v>52.11</v>
      </c>
      <c r="J618">
        <v>3.71</v>
      </c>
      <c r="K618">
        <v>1.44</v>
      </c>
      <c r="L618">
        <v>2.69</v>
      </c>
      <c r="M618">
        <v>54.47</v>
      </c>
      <c r="O618">
        <v>24.99</v>
      </c>
      <c r="P618">
        <v>8.17</v>
      </c>
      <c r="Q618">
        <v>0</v>
      </c>
      <c r="R618">
        <v>0</v>
      </c>
    </row>
    <row r="619" spans="1:18" x14ac:dyDescent="0.25">
      <c r="A619">
        <v>140</v>
      </c>
      <c r="B619">
        <v>129.15</v>
      </c>
      <c r="C619">
        <f>ROUNDDOWN(5.87045454545455,0)</f>
        <v>5</v>
      </c>
      <c r="D619">
        <v>2.86</v>
      </c>
      <c r="F619">
        <v>0.43</v>
      </c>
      <c r="G619">
        <v>-0.27</v>
      </c>
      <c r="H619">
        <v>-0.33</v>
      </c>
      <c r="I619">
        <v>52.52</v>
      </c>
      <c r="J619">
        <v>3.6</v>
      </c>
      <c r="K619">
        <v>1.33</v>
      </c>
      <c r="L619">
        <v>2.81</v>
      </c>
      <c r="M619">
        <v>54.47</v>
      </c>
      <c r="O619">
        <v>25.04</v>
      </c>
      <c r="P619">
        <v>8.17</v>
      </c>
      <c r="Q619">
        <v>0</v>
      </c>
      <c r="R619">
        <v>0</v>
      </c>
    </row>
    <row r="620" spans="1:18" x14ac:dyDescent="0.25">
      <c r="A620">
        <v>140</v>
      </c>
      <c r="B620">
        <v>129.35999999999999</v>
      </c>
      <c r="C620">
        <f>ROUNDDOWN(5.88,0)</f>
        <v>5</v>
      </c>
      <c r="D620">
        <v>3.51</v>
      </c>
      <c r="F620">
        <v>0.38</v>
      </c>
      <c r="G620">
        <v>-0.32</v>
      </c>
      <c r="H620">
        <v>-0.26</v>
      </c>
      <c r="I620">
        <v>52.9</v>
      </c>
      <c r="J620">
        <v>3.49</v>
      </c>
      <c r="K620">
        <v>1.25</v>
      </c>
      <c r="L620">
        <v>2.9</v>
      </c>
      <c r="M620">
        <v>54.47</v>
      </c>
      <c r="O620">
        <v>25.08</v>
      </c>
      <c r="P620">
        <v>8.18</v>
      </c>
      <c r="Q620">
        <v>0</v>
      </c>
      <c r="R620">
        <v>0</v>
      </c>
    </row>
    <row r="621" spans="1:18" x14ac:dyDescent="0.25">
      <c r="A621">
        <v>140</v>
      </c>
      <c r="B621">
        <v>129.57</v>
      </c>
      <c r="C621">
        <f>ROUNDDOWN(5.88954545454545,0)</f>
        <v>5</v>
      </c>
      <c r="D621">
        <v>4.03</v>
      </c>
      <c r="F621">
        <v>0.28999999999999998</v>
      </c>
      <c r="G621">
        <v>-0.42</v>
      </c>
      <c r="H621">
        <v>-0.21</v>
      </c>
      <c r="I621">
        <v>53.29</v>
      </c>
      <c r="J621">
        <v>3.38</v>
      </c>
      <c r="K621">
        <v>1.1499999999999999</v>
      </c>
      <c r="L621">
        <v>2.97</v>
      </c>
      <c r="M621">
        <v>54.47</v>
      </c>
      <c r="O621">
        <v>25.13</v>
      </c>
      <c r="P621">
        <v>8.18</v>
      </c>
      <c r="Q621">
        <v>0</v>
      </c>
      <c r="R621">
        <v>0</v>
      </c>
    </row>
    <row r="622" spans="1:18" x14ac:dyDescent="0.25">
      <c r="A622">
        <v>140</v>
      </c>
      <c r="B622">
        <v>129.78</v>
      </c>
      <c r="C622">
        <f>ROUNDDOWN(5.89909090909091,0)</f>
        <v>5</v>
      </c>
      <c r="D622">
        <v>4.25</v>
      </c>
      <c r="F622">
        <v>0.26</v>
      </c>
      <c r="G622">
        <v>-0.45</v>
      </c>
      <c r="H622">
        <v>-7.0000000000000007E-2</v>
      </c>
      <c r="I622">
        <v>53.54</v>
      </c>
      <c r="J622">
        <v>3.26</v>
      </c>
      <c r="K622">
        <v>1.22</v>
      </c>
      <c r="L622">
        <v>3.03</v>
      </c>
      <c r="M622">
        <v>54.47</v>
      </c>
      <c r="O622">
        <v>25.17</v>
      </c>
      <c r="P622">
        <v>8.19</v>
      </c>
      <c r="Q622">
        <v>0</v>
      </c>
      <c r="R622">
        <v>0</v>
      </c>
    </row>
    <row r="623" spans="1:18" x14ac:dyDescent="0.25">
      <c r="A623">
        <v>140</v>
      </c>
      <c r="B623">
        <v>129.99</v>
      </c>
      <c r="C623">
        <f>ROUNDDOWN(5.90863636363636,0)</f>
        <v>5</v>
      </c>
      <c r="D623">
        <v>4.16</v>
      </c>
      <c r="F623">
        <v>0.28000000000000003</v>
      </c>
      <c r="G623">
        <v>-0.43</v>
      </c>
      <c r="H623">
        <v>7.0000000000000007E-2</v>
      </c>
      <c r="I623">
        <v>53.55</v>
      </c>
      <c r="J623">
        <v>3.15</v>
      </c>
      <c r="K623">
        <v>1.39</v>
      </c>
      <c r="L623">
        <v>2.98</v>
      </c>
      <c r="M623">
        <v>54.47</v>
      </c>
      <c r="O623">
        <v>25.22</v>
      </c>
      <c r="P623">
        <v>8.1999999999999993</v>
      </c>
      <c r="Q623">
        <v>0</v>
      </c>
      <c r="R623">
        <v>0</v>
      </c>
    </row>
    <row r="624" spans="1:18" x14ac:dyDescent="0.25">
      <c r="A624">
        <v>140</v>
      </c>
      <c r="B624">
        <v>130.19999999999999</v>
      </c>
      <c r="C624">
        <f>ROUNDDOWN(5.91818181818182,0)</f>
        <v>5</v>
      </c>
      <c r="D624">
        <v>3.86</v>
      </c>
      <c r="F624">
        <v>0.35</v>
      </c>
      <c r="G624">
        <v>-0.36</v>
      </c>
      <c r="H624">
        <v>0.19</v>
      </c>
      <c r="I624">
        <v>53.4</v>
      </c>
      <c r="J624">
        <v>3.04</v>
      </c>
      <c r="K624">
        <v>1.61</v>
      </c>
      <c r="L624">
        <v>2.83</v>
      </c>
      <c r="M624">
        <v>54.47</v>
      </c>
      <c r="O624">
        <v>25.26</v>
      </c>
      <c r="P624">
        <v>8.2100000000000009</v>
      </c>
      <c r="Q624">
        <v>0</v>
      </c>
      <c r="R624">
        <v>0</v>
      </c>
    </row>
    <row r="625" spans="1:18" x14ac:dyDescent="0.25">
      <c r="A625">
        <v>140</v>
      </c>
      <c r="B625">
        <v>130.41</v>
      </c>
      <c r="C625">
        <f>ROUNDDOWN(5.92772727272727,0)</f>
        <v>5</v>
      </c>
      <c r="D625">
        <v>3.45</v>
      </c>
      <c r="F625">
        <v>0.45</v>
      </c>
      <c r="G625">
        <v>-0.25</v>
      </c>
      <c r="H625">
        <v>0.25</v>
      </c>
      <c r="I625">
        <v>53.2</v>
      </c>
      <c r="J625">
        <v>2.95</v>
      </c>
      <c r="K625">
        <v>1.78</v>
      </c>
      <c r="L625">
        <v>2.62</v>
      </c>
      <c r="M625">
        <v>54.47</v>
      </c>
      <c r="O625">
        <v>25.31</v>
      </c>
      <c r="P625">
        <v>8.2200000000000006</v>
      </c>
      <c r="Q625">
        <v>0</v>
      </c>
      <c r="R625">
        <v>0</v>
      </c>
    </row>
    <row r="626" spans="1:18" x14ac:dyDescent="0.25">
      <c r="A626">
        <v>140</v>
      </c>
      <c r="B626">
        <v>130.62</v>
      </c>
      <c r="C626">
        <f>ROUNDDOWN(5.93727272727273,0)</f>
        <v>5</v>
      </c>
      <c r="D626">
        <v>3.08</v>
      </c>
      <c r="F626">
        <v>0.56000000000000005</v>
      </c>
      <c r="G626">
        <v>-0.13</v>
      </c>
      <c r="H626">
        <v>0.31</v>
      </c>
      <c r="I626">
        <v>53.03</v>
      </c>
      <c r="J626">
        <v>2.89</v>
      </c>
      <c r="K626">
        <v>1.91</v>
      </c>
      <c r="L626">
        <v>2.42</v>
      </c>
      <c r="M626">
        <v>54.47</v>
      </c>
      <c r="O626">
        <v>25.35</v>
      </c>
      <c r="P626">
        <v>8.23</v>
      </c>
      <c r="Q626">
        <v>0</v>
      </c>
      <c r="R626">
        <v>0</v>
      </c>
    </row>
    <row r="627" spans="1:18" x14ac:dyDescent="0.25">
      <c r="A627">
        <v>140</v>
      </c>
      <c r="B627">
        <v>130.82999999999998</v>
      </c>
      <c r="C627">
        <f>ROUNDDOWN(5.94681818181818,0)</f>
        <v>5</v>
      </c>
      <c r="D627">
        <v>2.77</v>
      </c>
      <c r="F627">
        <v>0.67</v>
      </c>
      <c r="G627">
        <v>-0.01</v>
      </c>
      <c r="H627">
        <v>0.37</v>
      </c>
      <c r="I627">
        <v>52.89</v>
      </c>
      <c r="J627">
        <v>2.87</v>
      </c>
      <c r="K627">
        <v>2.02</v>
      </c>
      <c r="L627">
        <v>2.2599999999999998</v>
      </c>
      <c r="M627">
        <v>54.47</v>
      </c>
      <c r="O627">
        <v>25.4</v>
      </c>
      <c r="P627">
        <v>8.24</v>
      </c>
      <c r="Q627">
        <v>0</v>
      </c>
      <c r="R627">
        <v>0</v>
      </c>
    </row>
    <row r="628" spans="1:18" x14ac:dyDescent="0.25">
      <c r="A628">
        <v>140</v>
      </c>
      <c r="B628">
        <v>131.04</v>
      </c>
      <c r="C628">
        <f>ROUNDDOWN(5.95636363636364,0)</f>
        <v>5</v>
      </c>
      <c r="D628">
        <v>2.4500000000000002</v>
      </c>
      <c r="F628">
        <v>0.79</v>
      </c>
      <c r="G628">
        <v>0.13</v>
      </c>
      <c r="H628">
        <v>0.35</v>
      </c>
      <c r="I628">
        <v>52.76</v>
      </c>
      <c r="J628">
        <v>2.89</v>
      </c>
      <c r="K628">
        <v>2.02</v>
      </c>
      <c r="L628">
        <v>2.04</v>
      </c>
      <c r="M628">
        <v>54.48</v>
      </c>
      <c r="O628">
        <v>25.44</v>
      </c>
      <c r="P628">
        <v>8.25</v>
      </c>
      <c r="Q628">
        <v>0</v>
      </c>
      <c r="R628">
        <v>0</v>
      </c>
    </row>
    <row r="629" spans="1:18" x14ac:dyDescent="0.25">
      <c r="A629">
        <v>140</v>
      </c>
      <c r="B629">
        <v>131.25</v>
      </c>
      <c r="C629">
        <f>ROUNDDOWN(5.96590909090909,0)</f>
        <v>5</v>
      </c>
      <c r="D629">
        <v>2</v>
      </c>
      <c r="F629">
        <v>0.87</v>
      </c>
      <c r="G629">
        <v>0.24</v>
      </c>
      <c r="H629">
        <v>0.28999999999999998</v>
      </c>
      <c r="I629">
        <v>52.62</v>
      </c>
      <c r="J629">
        <v>2.94</v>
      </c>
      <c r="K629">
        <v>1.98</v>
      </c>
      <c r="L629">
        <v>1.77</v>
      </c>
      <c r="M629">
        <v>54.48</v>
      </c>
      <c r="O629">
        <v>25.49</v>
      </c>
      <c r="P629">
        <v>8.26</v>
      </c>
      <c r="Q629">
        <v>0</v>
      </c>
      <c r="R629">
        <v>0</v>
      </c>
    </row>
    <row r="630" spans="1:18" x14ac:dyDescent="0.25">
      <c r="A630">
        <v>140</v>
      </c>
      <c r="B630">
        <v>131.46</v>
      </c>
      <c r="C630">
        <f>ROUNDDOWN(5.97545454545455,0)</f>
        <v>5</v>
      </c>
      <c r="D630">
        <v>1.58</v>
      </c>
      <c r="F630">
        <v>0.91</v>
      </c>
      <c r="G630">
        <v>0.31</v>
      </c>
      <c r="H630">
        <v>0.26</v>
      </c>
      <c r="I630">
        <v>52.51</v>
      </c>
      <c r="J630">
        <v>3.02</v>
      </c>
      <c r="K630">
        <v>1.96</v>
      </c>
      <c r="L630">
        <v>1.57</v>
      </c>
      <c r="M630">
        <v>54.48</v>
      </c>
      <c r="O630">
        <v>25.53</v>
      </c>
      <c r="P630">
        <v>8.27</v>
      </c>
      <c r="Q630">
        <v>0</v>
      </c>
      <c r="R630">
        <v>0</v>
      </c>
    </row>
    <row r="631" spans="1:18" x14ac:dyDescent="0.25">
      <c r="A631">
        <v>140</v>
      </c>
      <c r="B631">
        <v>131.66999999999999</v>
      </c>
      <c r="C631">
        <f>ROUNDDOWN(5.985,0)</f>
        <v>5</v>
      </c>
      <c r="D631">
        <v>1.1299999999999999</v>
      </c>
      <c r="F631">
        <v>0.88</v>
      </c>
      <c r="G631">
        <v>0.31</v>
      </c>
      <c r="H631">
        <v>0.23</v>
      </c>
      <c r="I631">
        <v>52.43</v>
      </c>
      <c r="J631">
        <v>3.13</v>
      </c>
      <c r="K631">
        <v>1.91</v>
      </c>
      <c r="L631">
        <v>1.39</v>
      </c>
      <c r="M631">
        <v>54.48</v>
      </c>
      <c r="O631">
        <v>25.58</v>
      </c>
      <c r="P631">
        <v>8.2799999999999994</v>
      </c>
      <c r="Q631">
        <v>0</v>
      </c>
      <c r="R631">
        <v>0</v>
      </c>
    </row>
    <row r="632" spans="1:18" x14ac:dyDescent="0.25">
      <c r="A632">
        <v>140</v>
      </c>
      <c r="B632">
        <v>131.88</v>
      </c>
      <c r="C632">
        <f>ROUNDDOWN(5.99454545454545,0)</f>
        <v>5</v>
      </c>
      <c r="D632">
        <v>0.69</v>
      </c>
      <c r="F632">
        <v>0.85</v>
      </c>
      <c r="G632">
        <v>0.31</v>
      </c>
      <c r="H632">
        <v>0.13</v>
      </c>
      <c r="I632">
        <v>52.37</v>
      </c>
      <c r="J632">
        <v>3.26</v>
      </c>
      <c r="K632">
        <v>1.78</v>
      </c>
      <c r="L632">
        <v>1.18</v>
      </c>
      <c r="M632">
        <v>54.48</v>
      </c>
      <c r="O632">
        <v>25.62</v>
      </c>
      <c r="P632">
        <v>8.2899999999999991</v>
      </c>
      <c r="Q632">
        <v>0</v>
      </c>
      <c r="R632">
        <v>0</v>
      </c>
    </row>
    <row r="633" spans="1:18" x14ac:dyDescent="0.25">
      <c r="A633">
        <v>140</v>
      </c>
      <c r="B633">
        <v>132.09</v>
      </c>
      <c r="C633">
        <f>ROUNDDOWN(6.00409090909091,0)</f>
        <v>6</v>
      </c>
      <c r="D633">
        <v>0.22</v>
      </c>
      <c r="F633">
        <v>0.83</v>
      </c>
      <c r="G633">
        <v>0.33</v>
      </c>
      <c r="H633">
        <v>0.02</v>
      </c>
      <c r="I633">
        <v>52.34</v>
      </c>
      <c r="J633">
        <v>3.41</v>
      </c>
      <c r="K633">
        <v>1.63</v>
      </c>
      <c r="L633">
        <v>0.96</v>
      </c>
      <c r="M633">
        <v>54.48</v>
      </c>
      <c r="O633">
        <v>25.67</v>
      </c>
      <c r="P633">
        <v>8.3000000000000007</v>
      </c>
      <c r="Q633">
        <v>0</v>
      </c>
      <c r="R633">
        <v>0</v>
      </c>
    </row>
    <row r="634" spans="1:18" x14ac:dyDescent="0.25">
      <c r="A634">
        <v>140</v>
      </c>
      <c r="B634">
        <v>132.29999999999998</v>
      </c>
      <c r="C634">
        <f>ROUNDDOWN(6.01363636363636,0)</f>
        <v>6</v>
      </c>
      <c r="D634">
        <v>-0.21</v>
      </c>
      <c r="F634">
        <v>0.86</v>
      </c>
      <c r="G634">
        <v>0.4</v>
      </c>
      <c r="H634">
        <v>-0.02</v>
      </c>
      <c r="I634">
        <v>52.31</v>
      </c>
      <c r="J634">
        <v>3.56</v>
      </c>
      <c r="K634">
        <v>1.54</v>
      </c>
      <c r="L634">
        <v>0.84</v>
      </c>
      <c r="M634">
        <v>54.48</v>
      </c>
      <c r="O634">
        <v>25.71</v>
      </c>
      <c r="P634">
        <v>8.32</v>
      </c>
      <c r="Q634">
        <v>0</v>
      </c>
      <c r="R634">
        <v>0</v>
      </c>
    </row>
    <row r="635" spans="1:18" x14ac:dyDescent="0.25">
      <c r="A635">
        <v>140</v>
      </c>
      <c r="B635">
        <v>132.51</v>
      </c>
      <c r="C635">
        <f>ROUNDDOWN(6.02318181818182,0)</f>
        <v>6</v>
      </c>
      <c r="D635">
        <v>-0.62</v>
      </c>
      <c r="F635">
        <v>0.87</v>
      </c>
      <c r="G635">
        <v>0.44</v>
      </c>
      <c r="H635">
        <v>-0.03</v>
      </c>
      <c r="I635">
        <v>52.28</v>
      </c>
      <c r="J635">
        <v>3.72</v>
      </c>
      <c r="K635">
        <v>1.49</v>
      </c>
      <c r="L635">
        <v>0.74</v>
      </c>
      <c r="M635">
        <v>54.48</v>
      </c>
      <c r="O635">
        <v>25.76</v>
      </c>
      <c r="P635">
        <v>8.33</v>
      </c>
      <c r="Q635">
        <v>0</v>
      </c>
      <c r="R635">
        <v>0</v>
      </c>
    </row>
    <row r="636" spans="1:18" x14ac:dyDescent="0.25">
      <c r="A636">
        <v>140</v>
      </c>
      <c r="B636">
        <v>132.72</v>
      </c>
      <c r="C636">
        <f>ROUNDDOWN(6.03272727272727,0)</f>
        <v>6</v>
      </c>
      <c r="D636">
        <v>-1.01</v>
      </c>
      <c r="F636">
        <v>0.88</v>
      </c>
      <c r="G636">
        <v>0.48</v>
      </c>
      <c r="H636">
        <v>-0.13</v>
      </c>
      <c r="I636">
        <v>52.29</v>
      </c>
      <c r="J636">
        <v>3.89</v>
      </c>
      <c r="K636">
        <v>1.32</v>
      </c>
      <c r="L636">
        <v>0.57999999999999996</v>
      </c>
      <c r="M636">
        <v>54.48</v>
      </c>
      <c r="O636">
        <v>25.8</v>
      </c>
      <c r="P636">
        <v>8.34</v>
      </c>
      <c r="Q636">
        <v>0</v>
      </c>
      <c r="R636">
        <v>0</v>
      </c>
    </row>
    <row r="637" spans="1:18" x14ac:dyDescent="0.25">
      <c r="A637">
        <v>140</v>
      </c>
      <c r="B637">
        <v>132.93</v>
      </c>
      <c r="C637">
        <f>ROUNDDOWN(6.04227272727273,0)</f>
        <v>6</v>
      </c>
      <c r="D637">
        <v>-1.1299999999999999</v>
      </c>
      <c r="F637">
        <v>0.84</v>
      </c>
      <c r="G637">
        <v>0.48</v>
      </c>
      <c r="H637">
        <v>-0.27</v>
      </c>
      <c r="I637">
        <v>52.41</v>
      </c>
      <c r="J637">
        <v>4.07</v>
      </c>
      <c r="K637">
        <v>1.06</v>
      </c>
      <c r="L637">
        <v>0.44</v>
      </c>
      <c r="M637">
        <v>54.48</v>
      </c>
      <c r="O637">
        <v>25.84</v>
      </c>
      <c r="P637">
        <v>8.36</v>
      </c>
      <c r="Q637">
        <v>0</v>
      </c>
      <c r="R637">
        <v>0</v>
      </c>
    </row>
    <row r="638" spans="1:18" x14ac:dyDescent="0.25">
      <c r="A638">
        <v>140</v>
      </c>
      <c r="B638">
        <v>133.13999999999999</v>
      </c>
      <c r="C638">
        <f>ROUNDDOWN(6.05181818181818,0)</f>
        <v>6</v>
      </c>
      <c r="D638">
        <v>-0.97</v>
      </c>
      <c r="F638">
        <v>0.8</v>
      </c>
      <c r="G638">
        <v>0.48</v>
      </c>
      <c r="H638">
        <v>-0.36</v>
      </c>
      <c r="I638">
        <v>52.58</v>
      </c>
      <c r="J638">
        <v>4.25</v>
      </c>
      <c r="K638">
        <v>0.85</v>
      </c>
      <c r="L638">
        <v>0.38</v>
      </c>
      <c r="M638">
        <v>54.48</v>
      </c>
      <c r="O638">
        <v>25.89</v>
      </c>
      <c r="P638">
        <v>8.3699999999999992</v>
      </c>
      <c r="Q638">
        <v>0</v>
      </c>
      <c r="R638">
        <v>0</v>
      </c>
    </row>
    <row r="639" spans="1:18" x14ac:dyDescent="0.25">
      <c r="A639">
        <v>140</v>
      </c>
      <c r="B639">
        <v>133.35</v>
      </c>
      <c r="C639">
        <f>ROUNDDOWN(6.06136363636364,0)</f>
        <v>6</v>
      </c>
      <c r="D639">
        <v>-0.73</v>
      </c>
      <c r="F639">
        <v>0.78</v>
      </c>
      <c r="G639">
        <v>0.49</v>
      </c>
      <c r="H639">
        <v>-0.36</v>
      </c>
      <c r="I639">
        <v>52.67</v>
      </c>
      <c r="J639">
        <v>4.43</v>
      </c>
      <c r="K639">
        <v>0.77</v>
      </c>
      <c r="L639">
        <v>0.37</v>
      </c>
      <c r="M639">
        <v>54.48</v>
      </c>
      <c r="O639">
        <v>25.93</v>
      </c>
      <c r="P639">
        <v>8.3800000000000008</v>
      </c>
      <c r="Q639">
        <v>0</v>
      </c>
      <c r="R639">
        <v>0</v>
      </c>
    </row>
    <row r="640" spans="1:18" x14ac:dyDescent="0.25">
      <c r="A640">
        <v>140</v>
      </c>
      <c r="B640">
        <v>133.56</v>
      </c>
      <c r="C640">
        <f>ROUNDDOWN(6.07090909090909,0)</f>
        <v>6</v>
      </c>
      <c r="D640">
        <v>-0.59</v>
      </c>
      <c r="F640">
        <v>0.71</v>
      </c>
      <c r="G640">
        <v>0.46</v>
      </c>
      <c r="H640">
        <v>-0.38</v>
      </c>
      <c r="I640">
        <v>52.61</v>
      </c>
      <c r="J640">
        <v>4.5999999999999996</v>
      </c>
      <c r="K640">
        <v>0.74</v>
      </c>
      <c r="L640">
        <v>0.27</v>
      </c>
      <c r="M640">
        <v>54.48</v>
      </c>
      <c r="O640">
        <v>25.97</v>
      </c>
      <c r="P640">
        <v>8.4</v>
      </c>
      <c r="Q640">
        <v>0</v>
      </c>
      <c r="R640">
        <v>0</v>
      </c>
    </row>
    <row r="641" spans="1:18" x14ac:dyDescent="0.25">
      <c r="A641">
        <v>140</v>
      </c>
      <c r="B641">
        <v>133.76999999999998</v>
      </c>
      <c r="C641">
        <f>ROUNDDOWN(6.08045454545454,0)</f>
        <v>6</v>
      </c>
      <c r="D641">
        <v>-0.49</v>
      </c>
      <c r="F641">
        <v>0.63</v>
      </c>
      <c r="G641">
        <v>0.42</v>
      </c>
      <c r="H641">
        <v>-0.45</v>
      </c>
      <c r="I641">
        <v>52.54</v>
      </c>
      <c r="J641">
        <v>4.75</v>
      </c>
      <c r="K641">
        <v>0.67</v>
      </c>
      <c r="L641">
        <v>0.12</v>
      </c>
      <c r="M641">
        <v>54.48</v>
      </c>
      <c r="O641">
        <v>26.02</v>
      </c>
      <c r="P641">
        <v>8.41</v>
      </c>
      <c r="Q641">
        <v>0</v>
      </c>
      <c r="R641">
        <v>0</v>
      </c>
    </row>
    <row r="642" spans="1:18" x14ac:dyDescent="0.25">
      <c r="A642">
        <v>140</v>
      </c>
      <c r="B642">
        <v>133.97999999999999</v>
      </c>
      <c r="C642">
        <f>ROUNDDOWN(6.09,0)</f>
        <v>6</v>
      </c>
      <c r="D642">
        <v>-0.33</v>
      </c>
      <c r="F642">
        <v>0.53</v>
      </c>
      <c r="G642">
        <v>0.34</v>
      </c>
      <c r="H642">
        <v>-0.49</v>
      </c>
      <c r="I642">
        <v>52.56</v>
      </c>
      <c r="J642">
        <v>4.8899999999999997</v>
      </c>
      <c r="K642">
        <v>0.57999999999999996</v>
      </c>
      <c r="L642">
        <v>0.05</v>
      </c>
      <c r="M642">
        <v>54.48</v>
      </c>
      <c r="O642">
        <v>26.06</v>
      </c>
      <c r="P642">
        <v>8.43</v>
      </c>
      <c r="Q642">
        <v>0</v>
      </c>
      <c r="R642">
        <v>0</v>
      </c>
    </row>
    <row r="643" spans="1:18" x14ac:dyDescent="0.25">
      <c r="A643">
        <v>140</v>
      </c>
      <c r="B643">
        <v>134.19</v>
      </c>
      <c r="C643">
        <f>ROUNDDOWN(6.09954545454545,0)</f>
        <v>6</v>
      </c>
      <c r="D643">
        <v>-0.09</v>
      </c>
      <c r="F643">
        <v>0.47</v>
      </c>
      <c r="G643">
        <v>0.31</v>
      </c>
      <c r="H643">
        <v>-0.45</v>
      </c>
      <c r="I643">
        <v>52.67</v>
      </c>
      <c r="J643">
        <v>4.99</v>
      </c>
      <c r="K643">
        <v>0.53</v>
      </c>
      <c r="L643">
        <v>0.11</v>
      </c>
      <c r="M643">
        <v>54.48</v>
      </c>
      <c r="O643">
        <v>26.1</v>
      </c>
      <c r="P643">
        <v>8.4499999999999993</v>
      </c>
      <c r="Q643">
        <v>0</v>
      </c>
      <c r="R643">
        <v>0</v>
      </c>
    </row>
    <row r="644" spans="1:18" x14ac:dyDescent="0.25">
      <c r="A644">
        <v>140</v>
      </c>
      <c r="B644">
        <v>134.4</v>
      </c>
      <c r="C644">
        <f>ROUNDDOWN(6.10909090909091,0)</f>
        <v>6</v>
      </c>
      <c r="D644">
        <v>0.21</v>
      </c>
      <c r="F644">
        <v>0.45</v>
      </c>
      <c r="G644">
        <v>0.32</v>
      </c>
      <c r="H644">
        <v>-0.31</v>
      </c>
      <c r="I644">
        <v>52.83</v>
      </c>
      <c r="J644">
        <v>5.0599999999999996</v>
      </c>
      <c r="K644">
        <v>0.55000000000000004</v>
      </c>
      <c r="L644">
        <v>0.28000000000000003</v>
      </c>
      <c r="M644">
        <v>54.48</v>
      </c>
      <c r="O644">
        <v>26.15</v>
      </c>
      <c r="P644">
        <v>8.4600000000000009</v>
      </c>
      <c r="Q644">
        <v>0</v>
      </c>
      <c r="R644">
        <v>0</v>
      </c>
    </row>
    <row r="645" spans="1:18" x14ac:dyDescent="0.25">
      <c r="A645">
        <v>140</v>
      </c>
      <c r="B645">
        <v>134.60999999999999</v>
      </c>
      <c r="C645">
        <f>ROUNDDOWN(6.11863636363636,0)</f>
        <v>6</v>
      </c>
      <c r="D645">
        <v>0.45</v>
      </c>
      <c r="F645">
        <v>0.41</v>
      </c>
      <c r="G645">
        <v>0.3</v>
      </c>
      <c r="H645">
        <v>-0.18</v>
      </c>
      <c r="I645">
        <v>52.97</v>
      </c>
      <c r="J645">
        <v>5.0999999999999996</v>
      </c>
      <c r="K645">
        <v>0.56999999999999995</v>
      </c>
      <c r="L645">
        <v>0.42</v>
      </c>
      <c r="M645">
        <v>54.48</v>
      </c>
      <c r="O645">
        <v>26.19</v>
      </c>
      <c r="P645">
        <v>8.48</v>
      </c>
      <c r="Q645">
        <v>0</v>
      </c>
      <c r="R645">
        <v>0</v>
      </c>
    </row>
    <row r="646" spans="1:18" x14ac:dyDescent="0.25">
      <c r="A646">
        <v>140</v>
      </c>
      <c r="B646">
        <v>134.82</v>
      </c>
      <c r="C646">
        <f>ROUNDDOWN(6.12818181818182,0)</f>
        <v>6</v>
      </c>
      <c r="D646">
        <v>0.64</v>
      </c>
      <c r="F646">
        <v>0.31</v>
      </c>
      <c r="G646">
        <v>0.22</v>
      </c>
      <c r="H646">
        <v>-0.06</v>
      </c>
      <c r="I646">
        <v>53.06</v>
      </c>
      <c r="J646">
        <v>5.0999999999999996</v>
      </c>
      <c r="K646">
        <v>0.6</v>
      </c>
      <c r="L646">
        <v>0.52</v>
      </c>
      <c r="M646">
        <v>54.48</v>
      </c>
      <c r="O646">
        <v>26.23</v>
      </c>
      <c r="P646">
        <v>8.5</v>
      </c>
      <c r="Q646">
        <v>0</v>
      </c>
      <c r="R646">
        <v>0</v>
      </c>
    </row>
    <row r="647" spans="1:18" x14ac:dyDescent="0.25">
      <c r="A647">
        <v>140</v>
      </c>
      <c r="B647">
        <v>135.03</v>
      </c>
      <c r="C647">
        <f>ROUNDDOWN(6.13772727272727,0)</f>
        <v>6</v>
      </c>
      <c r="D647">
        <v>0.72</v>
      </c>
      <c r="F647">
        <v>0.23</v>
      </c>
      <c r="G647">
        <v>0.15</v>
      </c>
      <c r="H647">
        <v>0.02</v>
      </c>
      <c r="I647">
        <v>53.1</v>
      </c>
      <c r="J647">
        <v>5.08</v>
      </c>
      <c r="K647">
        <v>0.63</v>
      </c>
      <c r="L647">
        <v>0.55000000000000004</v>
      </c>
      <c r="M647">
        <v>54.48</v>
      </c>
      <c r="O647">
        <v>26.27</v>
      </c>
      <c r="P647">
        <v>8.52</v>
      </c>
      <c r="Q647">
        <v>0</v>
      </c>
      <c r="R647">
        <v>0</v>
      </c>
    </row>
    <row r="648" spans="1:18" x14ac:dyDescent="0.25">
      <c r="A648">
        <v>140</v>
      </c>
      <c r="B648">
        <v>135.24</v>
      </c>
      <c r="C648">
        <f>ROUNDDOWN(6.14727272727273,0)</f>
        <v>6</v>
      </c>
      <c r="D648">
        <v>0.74</v>
      </c>
      <c r="F648">
        <v>0.14000000000000001</v>
      </c>
      <c r="G648">
        <v>0.08</v>
      </c>
      <c r="H648">
        <v>7.0000000000000007E-2</v>
      </c>
      <c r="I648">
        <v>53.07</v>
      </c>
      <c r="J648">
        <v>5.0199999999999996</v>
      </c>
      <c r="K648">
        <v>0.65</v>
      </c>
      <c r="L648">
        <v>0.53</v>
      </c>
      <c r="M648">
        <v>54.49</v>
      </c>
      <c r="O648">
        <v>26.32</v>
      </c>
      <c r="P648">
        <v>8.5299999999999994</v>
      </c>
      <c r="Q648">
        <v>0</v>
      </c>
      <c r="R648">
        <v>0</v>
      </c>
    </row>
    <row r="649" spans="1:18" x14ac:dyDescent="0.25">
      <c r="A649">
        <v>140</v>
      </c>
      <c r="B649">
        <v>135.44999999999999</v>
      </c>
      <c r="C649">
        <f>ROUNDDOWN(6.15681818181818,0)</f>
        <v>6</v>
      </c>
      <c r="D649">
        <v>0.79</v>
      </c>
      <c r="F649">
        <v>0.05</v>
      </c>
      <c r="G649">
        <v>0.01</v>
      </c>
      <c r="H649">
        <v>0.17</v>
      </c>
      <c r="I649">
        <v>53.1</v>
      </c>
      <c r="J649">
        <v>4.95</v>
      </c>
      <c r="K649">
        <v>0.67</v>
      </c>
      <c r="L649">
        <v>0.56999999999999995</v>
      </c>
      <c r="M649">
        <v>54.49</v>
      </c>
      <c r="O649">
        <v>26.36</v>
      </c>
      <c r="P649">
        <v>8.5500000000000007</v>
      </c>
      <c r="Q649">
        <v>0</v>
      </c>
      <c r="R649">
        <v>0</v>
      </c>
    </row>
    <row r="650" spans="1:18" x14ac:dyDescent="0.25">
      <c r="A650">
        <v>140</v>
      </c>
      <c r="B650">
        <v>135.66</v>
      </c>
      <c r="C650">
        <f>ROUNDDOWN(6.16636363636364,0)</f>
        <v>6</v>
      </c>
      <c r="D650">
        <v>0.91</v>
      </c>
      <c r="F650">
        <v>-0.03</v>
      </c>
      <c r="G650">
        <v>-7.0000000000000007E-2</v>
      </c>
      <c r="H650">
        <v>0.32</v>
      </c>
      <c r="I650">
        <v>53.2</v>
      </c>
      <c r="J650">
        <v>4.8499999999999996</v>
      </c>
      <c r="K650">
        <v>0.73</v>
      </c>
      <c r="L650">
        <v>0.69</v>
      </c>
      <c r="M650">
        <v>54.49</v>
      </c>
      <c r="O650">
        <v>26.4</v>
      </c>
      <c r="P650">
        <v>8.57</v>
      </c>
      <c r="Q650">
        <v>0</v>
      </c>
      <c r="R650">
        <v>0</v>
      </c>
    </row>
    <row r="651" spans="1:18" x14ac:dyDescent="0.25">
      <c r="A651">
        <v>140</v>
      </c>
      <c r="B651">
        <v>135.87</v>
      </c>
      <c r="C651">
        <f>ROUNDDOWN(6.17590909090909,0)</f>
        <v>6</v>
      </c>
      <c r="D651">
        <v>1.01</v>
      </c>
      <c r="F651">
        <v>-7.0000000000000007E-2</v>
      </c>
      <c r="G651">
        <v>-0.11</v>
      </c>
      <c r="H651">
        <v>0.51</v>
      </c>
      <c r="I651">
        <v>53.3</v>
      </c>
      <c r="J651">
        <v>4.75</v>
      </c>
      <c r="K651">
        <v>0.81</v>
      </c>
      <c r="L651">
        <v>0.85</v>
      </c>
      <c r="M651">
        <v>54.49</v>
      </c>
      <c r="O651">
        <v>26.44</v>
      </c>
      <c r="P651">
        <v>8.58</v>
      </c>
      <c r="Q651">
        <v>0</v>
      </c>
      <c r="R651">
        <v>0</v>
      </c>
    </row>
    <row r="652" spans="1:18" x14ac:dyDescent="0.25">
      <c r="A652">
        <v>140</v>
      </c>
      <c r="B652">
        <v>136.07999999999998</v>
      </c>
      <c r="C652">
        <f>ROUNDDOWN(6.18545454545454,0)</f>
        <v>6</v>
      </c>
      <c r="D652">
        <v>0.92</v>
      </c>
      <c r="F652">
        <v>-0.13</v>
      </c>
      <c r="G652">
        <v>-0.16</v>
      </c>
      <c r="H652">
        <v>0.66</v>
      </c>
      <c r="I652">
        <v>53.32</v>
      </c>
      <c r="J652">
        <v>4.6399999999999997</v>
      </c>
      <c r="K652">
        <v>0.88</v>
      </c>
      <c r="L652">
        <v>0.92</v>
      </c>
      <c r="M652">
        <v>54.49</v>
      </c>
      <c r="O652">
        <v>26.48</v>
      </c>
      <c r="P652">
        <v>8.6</v>
      </c>
      <c r="Q652">
        <v>0</v>
      </c>
      <c r="R652">
        <v>0</v>
      </c>
    </row>
    <row r="653" spans="1:18" x14ac:dyDescent="0.25">
      <c r="A653">
        <v>140</v>
      </c>
      <c r="B653">
        <v>136.29</v>
      </c>
      <c r="C653">
        <f>ROUNDDOWN(6.195,0)</f>
        <v>6</v>
      </c>
      <c r="D653">
        <v>0.72</v>
      </c>
      <c r="F653">
        <v>-0.18</v>
      </c>
      <c r="G653">
        <v>-0.22</v>
      </c>
      <c r="H653">
        <v>0.76</v>
      </c>
      <c r="I653">
        <v>53.3</v>
      </c>
      <c r="J653">
        <v>4.53</v>
      </c>
      <c r="K653">
        <v>0.93</v>
      </c>
      <c r="L653">
        <v>0.93</v>
      </c>
      <c r="M653">
        <v>54.49</v>
      </c>
      <c r="O653">
        <v>26.52</v>
      </c>
      <c r="P653">
        <v>8.6199999999999992</v>
      </c>
      <c r="Q653">
        <v>0</v>
      </c>
      <c r="R653">
        <v>0</v>
      </c>
    </row>
    <row r="654" spans="1:18" x14ac:dyDescent="0.25">
      <c r="A654">
        <v>140</v>
      </c>
      <c r="B654">
        <v>136.5</v>
      </c>
      <c r="C654">
        <f>ROUNDDOWN(6.20454545454545,0)</f>
        <v>6</v>
      </c>
      <c r="D654">
        <v>0.56000000000000005</v>
      </c>
      <c r="F654">
        <v>-0.2</v>
      </c>
      <c r="G654">
        <v>-0.24</v>
      </c>
      <c r="H654">
        <v>0.87</v>
      </c>
      <c r="I654">
        <v>53.23</v>
      </c>
      <c r="J654">
        <v>4.42</v>
      </c>
      <c r="K654">
        <v>1</v>
      </c>
      <c r="L654">
        <v>0.9</v>
      </c>
      <c r="M654">
        <v>54.49</v>
      </c>
      <c r="O654">
        <v>26.56</v>
      </c>
      <c r="P654">
        <v>8.6300000000000008</v>
      </c>
      <c r="Q654">
        <v>0</v>
      </c>
      <c r="R654">
        <v>0</v>
      </c>
    </row>
    <row r="655" spans="1:18" x14ac:dyDescent="0.25">
      <c r="A655">
        <v>140</v>
      </c>
      <c r="B655">
        <v>136.71</v>
      </c>
      <c r="C655">
        <f>ROUNDDOWN(6.21409090909091,0)</f>
        <v>6</v>
      </c>
      <c r="D655">
        <v>0.51</v>
      </c>
      <c r="F655">
        <v>-0.14000000000000001</v>
      </c>
      <c r="G655">
        <v>-0.18</v>
      </c>
      <c r="H655">
        <v>1</v>
      </c>
      <c r="I655">
        <v>53.12</v>
      </c>
      <c r="J655">
        <v>4.3</v>
      </c>
      <c r="K655">
        <v>1.1100000000000001</v>
      </c>
      <c r="L655">
        <v>0.9</v>
      </c>
      <c r="M655">
        <v>54.49</v>
      </c>
      <c r="O655">
        <v>26.61</v>
      </c>
      <c r="P655">
        <v>8.65</v>
      </c>
      <c r="Q655">
        <v>0</v>
      </c>
      <c r="R655">
        <v>0</v>
      </c>
    </row>
    <row r="656" spans="1:18" x14ac:dyDescent="0.25">
      <c r="A656">
        <v>140</v>
      </c>
      <c r="B656">
        <v>136.91999999999999</v>
      </c>
      <c r="C656">
        <f>ROUNDDOWN(6.22363636363636,0)</f>
        <v>6</v>
      </c>
      <c r="D656">
        <v>0.43</v>
      </c>
      <c r="F656">
        <v>-0.08</v>
      </c>
      <c r="G656">
        <v>-0.12</v>
      </c>
      <c r="H656">
        <v>1.0900000000000001</v>
      </c>
      <c r="I656">
        <v>52.97</v>
      </c>
      <c r="J656">
        <v>4.2</v>
      </c>
      <c r="K656">
        <v>1.17</v>
      </c>
      <c r="L656">
        <v>0.83</v>
      </c>
      <c r="M656">
        <v>54.49</v>
      </c>
      <c r="O656">
        <v>26.65</v>
      </c>
      <c r="P656">
        <v>8.67</v>
      </c>
      <c r="Q656">
        <v>0</v>
      </c>
      <c r="R656">
        <v>0</v>
      </c>
    </row>
    <row r="657" spans="1:18" x14ac:dyDescent="0.25">
      <c r="A657">
        <v>140</v>
      </c>
      <c r="B657">
        <v>137.13</v>
      </c>
      <c r="C657">
        <f>ROUNDDOWN(6.23318181818182,0)</f>
        <v>6</v>
      </c>
      <c r="D657">
        <v>0.3</v>
      </c>
      <c r="F657">
        <v>-0.05</v>
      </c>
      <c r="G657">
        <v>-0.08</v>
      </c>
      <c r="H657">
        <v>1.1100000000000001</v>
      </c>
      <c r="I657">
        <v>52.85</v>
      </c>
      <c r="J657">
        <v>4.0999999999999996</v>
      </c>
      <c r="K657">
        <v>1.1499999999999999</v>
      </c>
      <c r="L657">
        <v>0.72</v>
      </c>
      <c r="M657">
        <v>54.49</v>
      </c>
      <c r="O657">
        <v>26.69</v>
      </c>
      <c r="P657">
        <v>8.69</v>
      </c>
      <c r="Q657">
        <v>0</v>
      </c>
      <c r="R657">
        <v>0</v>
      </c>
    </row>
    <row r="658" spans="1:18" x14ac:dyDescent="0.25">
      <c r="A658">
        <v>140</v>
      </c>
      <c r="B658">
        <v>137.34</v>
      </c>
      <c r="C658">
        <f>ROUNDDOWN(6.24272727272727,0)</f>
        <v>6</v>
      </c>
      <c r="D658">
        <v>0.08</v>
      </c>
      <c r="F658">
        <v>-0.04</v>
      </c>
      <c r="G658">
        <v>-0.08</v>
      </c>
      <c r="H658">
        <v>1.1200000000000001</v>
      </c>
      <c r="I658">
        <v>52.75</v>
      </c>
      <c r="J658">
        <v>4.0199999999999996</v>
      </c>
      <c r="K658">
        <v>1.1100000000000001</v>
      </c>
      <c r="L658">
        <v>0.61</v>
      </c>
      <c r="M658">
        <v>54.49</v>
      </c>
      <c r="O658">
        <v>26.73</v>
      </c>
      <c r="P658">
        <v>8.7100000000000009</v>
      </c>
      <c r="Q658">
        <v>0</v>
      </c>
      <c r="R658">
        <v>0</v>
      </c>
    </row>
    <row r="659" spans="1:18" x14ac:dyDescent="0.25">
      <c r="A659">
        <v>140</v>
      </c>
      <c r="B659">
        <v>137.54999999999998</v>
      </c>
      <c r="C659">
        <f>ROUNDDOWN(6.25227272727273,0)</f>
        <v>6</v>
      </c>
      <c r="D659">
        <v>-0.12</v>
      </c>
      <c r="F659">
        <v>-7.0000000000000007E-2</v>
      </c>
      <c r="G659">
        <v>-0.1</v>
      </c>
      <c r="H659">
        <v>1.1499999999999999</v>
      </c>
      <c r="I659">
        <v>52.71</v>
      </c>
      <c r="J659">
        <v>3.95</v>
      </c>
      <c r="K659">
        <v>1.06</v>
      </c>
      <c r="L659">
        <v>0.56000000000000005</v>
      </c>
      <c r="M659">
        <v>54.49</v>
      </c>
      <c r="O659">
        <v>26.77</v>
      </c>
      <c r="P659">
        <v>8.73</v>
      </c>
      <c r="Q659">
        <v>0</v>
      </c>
      <c r="R659">
        <v>0</v>
      </c>
    </row>
    <row r="660" spans="1:18" x14ac:dyDescent="0.25">
      <c r="A660">
        <v>140</v>
      </c>
      <c r="B660">
        <v>137.76</v>
      </c>
      <c r="C660">
        <f>ROUNDDOWN(6.26181818181818,0)</f>
        <v>6</v>
      </c>
      <c r="D660">
        <v>-0.21</v>
      </c>
      <c r="F660">
        <v>-0.1</v>
      </c>
      <c r="G660">
        <v>-0.13</v>
      </c>
      <c r="H660">
        <v>1.17</v>
      </c>
      <c r="I660">
        <v>52.76</v>
      </c>
      <c r="J660">
        <v>3.88</v>
      </c>
      <c r="K660">
        <v>0.94</v>
      </c>
      <c r="L660">
        <v>0.54</v>
      </c>
      <c r="M660">
        <v>54.49</v>
      </c>
      <c r="O660">
        <v>26.81</v>
      </c>
      <c r="P660">
        <v>8.75</v>
      </c>
      <c r="Q660">
        <v>0</v>
      </c>
      <c r="R660">
        <v>0</v>
      </c>
    </row>
    <row r="661" spans="1:18" x14ac:dyDescent="0.25">
      <c r="A661">
        <v>140</v>
      </c>
      <c r="B661">
        <v>137.97</v>
      </c>
      <c r="C661">
        <f>ROUNDDOWN(6.27136363636364,0)</f>
        <v>6</v>
      </c>
      <c r="D661">
        <v>-0.17</v>
      </c>
      <c r="F661">
        <v>-0.13</v>
      </c>
      <c r="G661">
        <v>-0.15</v>
      </c>
      <c r="H661">
        <v>1.1100000000000001</v>
      </c>
      <c r="I661">
        <v>52.9</v>
      </c>
      <c r="J661">
        <v>3.82</v>
      </c>
      <c r="K661">
        <v>0.72</v>
      </c>
      <c r="L661">
        <v>0.49</v>
      </c>
      <c r="M661">
        <v>54.49</v>
      </c>
      <c r="O661">
        <v>26.85</v>
      </c>
      <c r="P661">
        <v>8.7799999999999994</v>
      </c>
      <c r="Q661">
        <v>0</v>
      </c>
      <c r="R661">
        <v>0</v>
      </c>
    </row>
    <row r="662" spans="1:18" x14ac:dyDescent="0.25">
      <c r="A662">
        <v>140</v>
      </c>
      <c r="B662">
        <v>138.18</v>
      </c>
      <c r="C662">
        <f>ROUNDDOWN(6.28090909090909,0)</f>
        <v>6</v>
      </c>
      <c r="D662">
        <v>-0.01</v>
      </c>
      <c r="F662">
        <v>-0.16</v>
      </c>
      <c r="G662">
        <v>-0.19</v>
      </c>
      <c r="H662">
        <v>1.03</v>
      </c>
      <c r="I662">
        <v>53.08</v>
      </c>
      <c r="J662">
        <v>3.77</v>
      </c>
      <c r="K662">
        <v>0.46</v>
      </c>
      <c r="L662">
        <v>0.44</v>
      </c>
      <c r="M662">
        <v>54.49</v>
      </c>
      <c r="O662">
        <v>26.88</v>
      </c>
      <c r="P662">
        <v>8.8000000000000007</v>
      </c>
      <c r="Q662">
        <v>0</v>
      </c>
      <c r="R662">
        <v>0</v>
      </c>
    </row>
    <row r="663" spans="1:18" x14ac:dyDescent="0.25">
      <c r="A663">
        <v>140</v>
      </c>
      <c r="B663">
        <v>138.38999999999999</v>
      </c>
      <c r="C663">
        <f>ROUNDDOWN(6.29045454545455,0)</f>
        <v>6</v>
      </c>
      <c r="D663">
        <v>0.19</v>
      </c>
      <c r="F663">
        <v>-0.22</v>
      </c>
      <c r="G663">
        <v>-0.25</v>
      </c>
      <c r="H663">
        <v>0.89</v>
      </c>
      <c r="I663">
        <v>53.27</v>
      </c>
      <c r="J663">
        <v>3.71</v>
      </c>
      <c r="K663">
        <v>0.16</v>
      </c>
      <c r="L663">
        <v>0.33</v>
      </c>
      <c r="M663">
        <v>54.49</v>
      </c>
      <c r="O663">
        <v>26.92</v>
      </c>
      <c r="P663">
        <v>8.82</v>
      </c>
      <c r="Q663">
        <v>0</v>
      </c>
      <c r="R663">
        <v>0</v>
      </c>
    </row>
    <row r="664" spans="1:18" x14ac:dyDescent="0.25">
      <c r="A664">
        <v>140</v>
      </c>
      <c r="B664">
        <v>138.6</v>
      </c>
      <c r="C664">
        <f>ROUNDDOWN(6.3,0)</f>
        <v>6</v>
      </c>
      <c r="D664">
        <v>0.36</v>
      </c>
      <c r="F664">
        <v>-0.27</v>
      </c>
      <c r="G664">
        <v>-0.31</v>
      </c>
      <c r="H664">
        <v>0.74</v>
      </c>
      <c r="I664">
        <v>53.47</v>
      </c>
      <c r="J664">
        <v>3.66</v>
      </c>
      <c r="K664">
        <v>-0.14000000000000001</v>
      </c>
      <c r="L664">
        <v>0.22</v>
      </c>
      <c r="M664">
        <v>54.49</v>
      </c>
      <c r="O664">
        <v>26.96</v>
      </c>
      <c r="P664">
        <v>8.84</v>
      </c>
      <c r="Q664">
        <v>0</v>
      </c>
      <c r="R664">
        <v>0</v>
      </c>
    </row>
    <row r="665" spans="1:18" x14ac:dyDescent="0.25">
      <c r="A665">
        <v>140</v>
      </c>
      <c r="B665">
        <v>138.81</v>
      </c>
      <c r="C665">
        <f>ROUNDDOWN(6.30954545454545,0)</f>
        <v>6</v>
      </c>
      <c r="D665">
        <v>0.52</v>
      </c>
      <c r="F665">
        <v>-0.27</v>
      </c>
      <c r="G665">
        <v>-0.31</v>
      </c>
      <c r="H665">
        <v>0.64</v>
      </c>
      <c r="I665">
        <v>53.72</v>
      </c>
      <c r="J665">
        <v>3.61</v>
      </c>
      <c r="K665">
        <v>-0.4</v>
      </c>
      <c r="L665">
        <v>0.18</v>
      </c>
      <c r="M665">
        <v>54.49</v>
      </c>
      <c r="O665">
        <v>27</v>
      </c>
      <c r="P665">
        <v>8.86</v>
      </c>
      <c r="Q665">
        <v>0</v>
      </c>
      <c r="R665">
        <v>0</v>
      </c>
    </row>
    <row r="666" spans="1:18" x14ac:dyDescent="0.25">
      <c r="A666">
        <v>140</v>
      </c>
      <c r="B666">
        <v>139.01999999999998</v>
      </c>
      <c r="C666">
        <f>ROUNDDOWN(6.31909090909091,0)</f>
        <v>6</v>
      </c>
      <c r="D666">
        <v>0.72</v>
      </c>
      <c r="F666">
        <v>-0.17</v>
      </c>
      <c r="G666">
        <v>-0.22</v>
      </c>
      <c r="H666">
        <v>0.56000000000000005</v>
      </c>
      <c r="I666">
        <v>54.02</v>
      </c>
      <c r="J666">
        <v>3.55</v>
      </c>
      <c r="K666">
        <v>-0.65</v>
      </c>
      <c r="L666">
        <v>0.18</v>
      </c>
      <c r="M666">
        <v>54.49</v>
      </c>
      <c r="O666">
        <v>27.04</v>
      </c>
      <c r="P666">
        <v>8.8800000000000008</v>
      </c>
      <c r="Q666">
        <v>0</v>
      </c>
      <c r="R666">
        <v>0</v>
      </c>
    </row>
    <row r="667" spans="1:18" x14ac:dyDescent="0.25">
      <c r="A667">
        <v>140</v>
      </c>
      <c r="B667">
        <v>139.22999999999999</v>
      </c>
      <c r="C667">
        <f>ROUNDDOWN(6.32863636363636,0)</f>
        <v>6</v>
      </c>
      <c r="D667">
        <v>1.03</v>
      </c>
      <c r="F667">
        <v>-7.0000000000000007E-2</v>
      </c>
      <c r="G667">
        <v>-0.12</v>
      </c>
      <c r="H667">
        <v>0.49</v>
      </c>
      <c r="I667">
        <v>54.36</v>
      </c>
      <c r="J667">
        <v>3.5</v>
      </c>
      <c r="K667">
        <v>-0.89</v>
      </c>
      <c r="L667">
        <v>0.2</v>
      </c>
      <c r="M667">
        <v>54.49</v>
      </c>
      <c r="O667">
        <v>27.08</v>
      </c>
      <c r="P667">
        <v>8.9</v>
      </c>
      <c r="Q667">
        <v>0</v>
      </c>
      <c r="R667">
        <v>0</v>
      </c>
    </row>
    <row r="668" spans="1:18" x14ac:dyDescent="0.25">
      <c r="A668">
        <v>140</v>
      </c>
      <c r="B668">
        <v>139.44</v>
      </c>
      <c r="C668">
        <f>ROUNDDOWN(6.33818181818182,0)</f>
        <v>6</v>
      </c>
      <c r="D668">
        <v>1.37</v>
      </c>
      <c r="F668">
        <v>0</v>
      </c>
      <c r="G668">
        <v>-0.04</v>
      </c>
      <c r="H668">
        <v>0.43</v>
      </c>
      <c r="I668">
        <v>54.67</v>
      </c>
      <c r="J668">
        <v>3.46</v>
      </c>
      <c r="K668">
        <v>-1.0900000000000001</v>
      </c>
      <c r="L668">
        <v>0.22</v>
      </c>
      <c r="M668">
        <v>54.5</v>
      </c>
      <c r="O668">
        <v>27.11</v>
      </c>
      <c r="P668">
        <v>8.92</v>
      </c>
      <c r="Q668">
        <v>0</v>
      </c>
      <c r="R668">
        <v>0</v>
      </c>
    </row>
    <row r="669" spans="1:18" x14ac:dyDescent="0.25">
      <c r="A669">
        <v>140</v>
      </c>
      <c r="B669">
        <v>139.65</v>
      </c>
      <c r="C669">
        <f>ROUNDDOWN(6.34772727272727,0)</f>
        <v>6</v>
      </c>
      <c r="D669">
        <v>1.69</v>
      </c>
      <c r="F669">
        <v>0.08</v>
      </c>
      <c r="G669">
        <v>0.04</v>
      </c>
      <c r="H669">
        <v>0.43</v>
      </c>
      <c r="I669">
        <v>54.92</v>
      </c>
      <c r="J669">
        <v>3.41</v>
      </c>
      <c r="K669">
        <v>-1.19</v>
      </c>
      <c r="L669">
        <v>0.25</v>
      </c>
      <c r="M669">
        <v>54.5</v>
      </c>
      <c r="O669">
        <v>27.15</v>
      </c>
      <c r="P669">
        <v>8.93</v>
      </c>
      <c r="Q669">
        <v>0</v>
      </c>
      <c r="R669">
        <v>0</v>
      </c>
    </row>
    <row r="670" spans="1:18" x14ac:dyDescent="0.25">
      <c r="A670">
        <v>140</v>
      </c>
      <c r="B670">
        <v>139.85999999999999</v>
      </c>
      <c r="C670">
        <f>ROUNDDOWN(6.35727272727273,0)</f>
        <v>6</v>
      </c>
      <c r="D670">
        <v>1.98</v>
      </c>
      <c r="F670">
        <v>0.17</v>
      </c>
      <c r="G670">
        <v>0.15</v>
      </c>
      <c r="H670">
        <v>0.43</v>
      </c>
      <c r="I670">
        <v>55.1</v>
      </c>
      <c r="J670">
        <v>3.36</v>
      </c>
      <c r="K670">
        <v>-1.23</v>
      </c>
      <c r="L670">
        <v>0.25</v>
      </c>
      <c r="M670">
        <v>54.5</v>
      </c>
      <c r="O670">
        <v>27.19</v>
      </c>
      <c r="P670">
        <v>8.9499999999999993</v>
      </c>
      <c r="Q670">
        <v>0</v>
      </c>
      <c r="R670">
        <v>0</v>
      </c>
    </row>
    <row r="671" spans="1:18" x14ac:dyDescent="0.25">
      <c r="A671">
        <v>140</v>
      </c>
      <c r="B671">
        <v>140.07</v>
      </c>
      <c r="C671">
        <f>ROUNDDOWN(6.36681818181818,0)</f>
        <v>6</v>
      </c>
      <c r="D671">
        <v>2.2200000000000002</v>
      </c>
      <c r="F671">
        <v>0.22</v>
      </c>
      <c r="G671">
        <v>0.21</v>
      </c>
      <c r="H671">
        <v>0.36</v>
      </c>
      <c r="I671">
        <v>55.18</v>
      </c>
      <c r="J671">
        <v>3.32</v>
      </c>
      <c r="K671">
        <v>-1.3</v>
      </c>
      <c r="L671">
        <v>0.13</v>
      </c>
      <c r="M671">
        <v>54.5</v>
      </c>
      <c r="O671">
        <v>27.23</v>
      </c>
      <c r="P671">
        <v>8.9600000000000009</v>
      </c>
      <c r="Q671">
        <v>0</v>
      </c>
      <c r="R671">
        <v>0</v>
      </c>
    </row>
    <row r="672" spans="1:18" x14ac:dyDescent="0.25">
      <c r="A672">
        <v>140</v>
      </c>
      <c r="B672">
        <v>140.28</v>
      </c>
      <c r="C672">
        <f>ROUNDDOWN(6.37636363636364,0)</f>
        <v>6</v>
      </c>
      <c r="D672">
        <v>2.4</v>
      </c>
      <c r="F672">
        <v>0.24</v>
      </c>
      <c r="G672">
        <v>0.24</v>
      </c>
      <c r="H672">
        <v>0.24</v>
      </c>
      <c r="I672">
        <v>55.25</v>
      </c>
      <c r="J672">
        <v>3.29</v>
      </c>
      <c r="K672">
        <v>-1.4</v>
      </c>
      <c r="L672">
        <v>-0.04</v>
      </c>
      <c r="M672">
        <v>54.5</v>
      </c>
      <c r="O672">
        <v>27.26</v>
      </c>
      <c r="P672">
        <v>8.9700000000000006</v>
      </c>
      <c r="Q672">
        <v>0</v>
      </c>
      <c r="R672">
        <v>0</v>
      </c>
    </row>
    <row r="673" spans="1:18" x14ac:dyDescent="0.25">
      <c r="A673">
        <v>140</v>
      </c>
      <c r="B673">
        <v>140.48999999999998</v>
      </c>
      <c r="C673">
        <f>ROUNDDOWN(6.38590909090909,0)</f>
        <v>6</v>
      </c>
      <c r="D673">
        <v>2.54</v>
      </c>
      <c r="F673">
        <v>0.28000000000000003</v>
      </c>
      <c r="G673">
        <v>0.3</v>
      </c>
      <c r="H673">
        <v>0.14000000000000001</v>
      </c>
      <c r="I673">
        <v>55.29</v>
      </c>
      <c r="J673">
        <v>3.28</v>
      </c>
      <c r="K673">
        <v>-1.46</v>
      </c>
      <c r="L673">
        <v>-0.19</v>
      </c>
      <c r="M673">
        <v>54.5</v>
      </c>
      <c r="O673">
        <v>27.3</v>
      </c>
      <c r="P673">
        <v>8.99</v>
      </c>
      <c r="Q673">
        <v>0</v>
      </c>
      <c r="R673">
        <v>0</v>
      </c>
    </row>
    <row r="674" spans="1:18" x14ac:dyDescent="0.25">
      <c r="A674">
        <v>140</v>
      </c>
      <c r="B674">
        <v>140.69999999999999</v>
      </c>
      <c r="C674">
        <f>ROUNDDOWN(6.39545454545454,0)</f>
        <v>6</v>
      </c>
      <c r="D674">
        <v>2.57</v>
      </c>
      <c r="F674">
        <v>0.28999999999999998</v>
      </c>
      <c r="G674">
        <v>0.33</v>
      </c>
      <c r="H674">
        <v>0.06</v>
      </c>
      <c r="I674">
        <v>55.27</v>
      </c>
      <c r="J674">
        <v>3.29</v>
      </c>
      <c r="K674">
        <v>-1.48</v>
      </c>
      <c r="L674">
        <v>-0.36</v>
      </c>
      <c r="M674">
        <v>54.5</v>
      </c>
      <c r="O674">
        <v>27.34</v>
      </c>
      <c r="P674">
        <v>9</v>
      </c>
      <c r="Q674">
        <v>0</v>
      </c>
      <c r="R674">
        <v>0</v>
      </c>
    </row>
    <row r="675" spans="1:18" x14ac:dyDescent="0.25">
      <c r="A675">
        <v>140</v>
      </c>
      <c r="B675">
        <v>140.91</v>
      </c>
      <c r="C675">
        <f>ROUNDDOWN(6.405,0)</f>
        <v>6</v>
      </c>
      <c r="D675">
        <v>2.38</v>
      </c>
      <c r="F675">
        <v>0.27</v>
      </c>
      <c r="G675">
        <v>0.34</v>
      </c>
      <c r="H675">
        <v>-0.1</v>
      </c>
      <c r="I675">
        <v>55.15</v>
      </c>
      <c r="J675">
        <v>3.32</v>
      </c>
      <c r="K675">
        <v>-1.53</v>
      </c>
      <c r="L675">
        <v>-0.64</v>
      </c>
      <c r="M675">
        <v>54.5</v>
      </c>
      <c r="O675">
        <v>27.37</v>
      </c>
      <c r="P675">
        <v>9.02</v>
      </c>
      <c r="Q675">
        <v>0</v>
      </c>
      <c r="R675">
        <v>0</v>
      </c>
    </row>
    <row r="676" spans="1:18" x14ac:dyDescent="0.25">
      <c r="A676">
        <v>140</v>
      </c>
      <c r="B676">
        <v>141.12</v>
      </c>
      <c r="C676">
        <f>ROUNDDOWN(6.41454545454545,0)</f>
        <v>6</v>
      </c>
      <c r="D676">
        <v>2.09</v>
      </c>
      <c r="F676">
        <v>0.2</v>
      </c>
      <c r="G676">
        <v>0.28000000000000003</v>
      </c>
      <c r="H676">
        <v>-0.3</v>
      </c>
      <c r="I676">
        <v>54.99</v>
      </c>
      <c r="J676">
        <v>3.36</v>
      </c>
      <c r="K676">
        <v>-1.59</v>
      </c>
      <c r="L676">
        <v>-0.94</v>
      </c>
      <c r="M676">
        <v>54.5</v>
      </c>
      <c r="O676">
        <v>27.41</v>
      </c>
      <c r="P676">
        <v>9.0299999999999994</v>
      </c>
      <c r="Q676">
        <v>0</v>
      </c>
      <c r="R676">
        <v>0</v>
      </c>
    </row>
    <row r="677" spans="1:18" x14ac:dyDescent="0.25">
      <c r="A677">
        <v>140</v>
      </c>
      <c r="B677">
        <v>141.32999999999998</v>
      </c>
      <c r="C677">
        <f>ROUNDDOWN(6.42409090909091,0)</f>
        <v>6</v>
      </c>
      <c r="D677">
        <v>1.78</v>
      </c>
      <c r="F677">
        <v>0.15</v>
      </c>
      <c r="G677">
        <v>0.25</v>
      </c>
      <c r="H677">
        <v>-0.44</v>
      </c>
      <c r="I677">
        <v>54.86</v>
      </c>
      <c r="J677">
        <v>3.4</v>
      </c>
      <c r="K677">
        <v>-1.61</v>
      </c>
      <c r="L677">
        <v>-1.17</v>
      </c>
      <c r="M677">
        <v>54.5</v>
      </c>
      <c r="O677">
        <v>27.44</v>
      </c>
      <c r="P677">
        <v>9.0500000000000007</v>
      </c>
      <c r="Q677">
        <v>0</v>
      </c>
      <c r="R677">
        <v>0</v>
      </c>
    </row>
    <row r="678" spans="1:18" x14ac:dyDescent="0.25">
      <c r="A678">
        <v>140</v>
      </c>
      <c r="B678">
        <v>141.54</v>
      </c>
      <c r="C678">
        <f>ROUNDDOWN(6.43363636363636,0)</f>
        <v>6</v>
      </c>
      <c r="D678">
        <v>1.5</v>
      </c>
      <c r="F678">
        <v>0.05</v>
      </c>
      <c r="G678">
        <v>0.16</v>
      </c>
      <c r="H678">
        <v>-0.51</v>
      </c>
      <c r="I678">
        <v>54.77</v>
      </c>
      <c r="J678">
        <v>3.44</v>
      </c>
      <c r="K678">
        <v>-1.58</v>
      </c>
      <c r="L678">
        <v>-1.29</v>
      </c>
      <c r="M678">
        <v>54.5</v>
      </c>
      <c r="O678">
        <v>27.48</v>
      </c>
      <c r="P678">
        <v>9.06</v>
      </c>
      <c r="Q678">
        <v>0</v>
      </c>
      <c r="R678">
        <v>0</v>
      </c>
    </row>
    <row r="679" spans="1:18" x14ac:dyDescent="0.25">
      <c r="A679">
        <v>140</v>
      </c>
      <c r="B679">
        <v>141.75</v>
      </c>
      <c r="C679">
        <f>ROUNDDOWN(6.44318181818182,0)</f>
        <v>6</v>
      </c>
      <c r="D679">
        <v>1.27</v>
      </c>
      <c r="F679">
        <v>-0.05</v>
      </c>
      <c r="G679">
        <v>7.0000000000000007E-2</v>
      </c>
      <c r="H679">
        <v>-0.56999999999999995</v>
      </c>
      <c r="I679">
        <v>54.73</v>
      </c>
      <c r="J679">
        <v>3.47</v>
      </c>
      <c r="K679">
        <v>-1.57</v>
      </c>
      <c r="L679">
        <v>-1.36</v>
      </c>
      <c r="M679">
        <v>54.5</v>
      </c>
      <c r="O679">
        <v>27.51</v>
      </c>
      <c r="P679">
        <v>9.08</v>
      </c>
      <c r="Q679">
        <v>0</v>
      </c>
      <c r="R679">
        <v>0</v>
      </c>
    </row>
    <row r="680" spans="1:18" x14ac:dyDescent="0.25">
      <c r="A680">
        <v>140</v>
      </c>
      <c r="B680">
        <v>141.96</v>
      </c>
      <c r="C680">
        <f>ROUNDDOWN(6.45272727272727,0)</f>
        <v>6</v>
      </c>
      <c r="D680">
        <v>1.02</v>
      </c>
      <c r="F680">
        <v>-0.13</v>
      </c>
      <c r="G680">
        <v>-0.01</v>
      </c>
      <c r="H680">
        <v>-0.56000000000000005</v>
      </c>
      <c r="I680">
        <v>54.74</v>
      </c>
      <c r="J680">
        <v>3.48</v>
      </c>
      <c r="K680">
        <v>-1.51</v>
      </c>
      <c r="L680">
        <v>-1.34</v>
      </c>
      <c r="M680">
        <v>54.5</v>
      </c>
      <c r="O680">
        <v>27.55</v>
      </c>
      <c r="P680">
        <v>9.09</v>
      </c>
      <c r="Q680">
        <v>0</v>
      </c>
      <c r="R680">
        <v>0</v>
      </c>
    </row>
    <row r="681" spans="1:18" x14ac:dyDescent="0.25">
      <c r="A681">
        <v>140</v>
      </c>
      <c r="B681">
        <v>142.16999999999999</v>
      </c>
      <c r="C681">
        <f>ROUNDDOWN(6.46227272727273,0)</f>
        <v>6</v>
      </c>
      <c r="D681">
        <v>0.73</v>
      </c>
      <c r="F681">
        <v>-0.12</v>
      </c>
      <c r="G681">
        <v>0</v>
      </c>
      <c r="H681">
        <v>-0.48</v>
      </c>
      <c r="I681">
        <v>54.75</v>
      </c>
      <c r="J681">
        <v>3.48</v>
      </c>
      <c r="K681">
        <v>-1.39</v>
      </c>
      <c r="L681">
        <v>-1.24</v>
      </c>
      <c r="M681">
        <v>54.5</v>
      </c>
      <c r="O681">
        <v>27.58</v>
      </c>
      <c r="P681">
        <v>9.11</v>
      </c>
      <c r="Q681">
        <v>0</v>
      </c>
      <c r="R681">
        <v>0</v>
      </c>
    </row>
    <row r="682" spans="1:18" x14ac:dyDescent="0.25">
      <c r="A682">
        <v>140</v>
      </c>
      <c r="B682">
        <v>142.38</v>
      </c>
      <c r="C682">
        <f>ROUNDDOWN(6.47181818181818,0)</f>
        <v>6</v>
      </c>
      <c r="D682">
        <v>0.37</v>
      </c>
      <c r="F682">
        <v>-7.0000000000000007E-2</v>
      </c>
      <c r="G682">
        <v>0.06</v>
      </c>
      <c r="H682">
        <v>-0.39</v>
      </c>
      <c r="I682">
        <v>54.73</v>
      </c>
      <c r="J682">
        <v>3.45</v>
      </c>
      <c r="K682">
        <v>-1.26</v>
      </c>
      <c r="L682">
        <v>-1.1599999999999999</v>
      </c>
      <c r="M682">
        <v>54.5</v>
      </c>
      <c r="O682">
        <v>27.62</v>
      </c>
      <c r="P682">
        <v>9.1199999999999992</v>
      </c>
      <c r="Q682">
        <v>0</v>
      </c>
      <c r="R682">
        <v>0</v>
      </c>
    </row>
    <row r="683" spans="1:18" x14ac:dyDescent="0.25">
      <c r="A683">
        <v>140</v>
      </c>
      <c r="B683">
        <v>142.59</v>
      </c>
      <c r="C683">
        <f>ROUNDDOWN(6.48136363636364,0)</f>
        <v>6</v>
      </c>
      <c r="D683">
        <v>0.04</v>
      </c>
      <c r="F683">
        <v>0</v>
      </c>
      <c r="G683">
        <v>0.14000000000000001</v>
      </c>
      <c r="H683">
        <v>-0.32</v>
      </c>
      <c r="I683">
        <v>54.71</v>
      </c>
      <c r="J683">
        <v>3.4</v>
      </c>
      <c r="K683">
        <v>-1.1399999999999999</v>
      </c>
      <c r="L683">
        <v>-1.0900000000000001</v>
      </c>
      <c r="M683">
        <v>54.5</v>
      </c>
      <c r="O683">
        <v>27.65</v>
      </c>
      <c r="P683">
        <v>9.1300000000000008</v>
      </c>
      <c r="Q683">
        <v>0</v>
      </c>
      <c r="R683">
        <v>0</v>
      </c>
    </row>
    <row r="684" spans="1:18" x14ac:dyDescent="0.25">
      <c r="A684">
        <v>140</v>
      </c>
      <c r="B684">
        <v>142.79999999999998</v>
      </c>
      <c r="C684">
        <f>ROUNDDOWN(6.49090909090909,0)</f>
        <v>6</v>
      </c>
      <c r="D684">
        <v>-0.22</v>
      </c>
      <c r="F684">
        <v>0.04</v>
      </c>
      <c r="G684">
        <v>0.18</v>
      </c>
      <c r="H684">
        <v>-0.21</v>
      </c>
      <c r="I684">
        <v>54.7</v>
      </c>
      <c r="J684">
        <v>3.34</v>
      </c>
      <c r="K684">
        <v>-1</v>
      </c>
      <c r="L684">
        <v>-0.98</v>
      </c>
      <c r="M684">
        <v>54.5</v>
      </c>
      <c r="O684">
        <v>27.68</v>
      </c>
      <c r="P684">
        <v>9.15</v>
      </c>
      <c r="Q684">
        <v>0</v>
      </c>
      <c r="R684">
        <v>0</v>
      </c>
    </row>
    <row r="685" spans="1:18" x14ac:dyDescent="0.25">
      <c r="A685">
        <v>140</v>
      </c>
      <c r="B685">
        <v>143.01</v>
      </c>
      <c r="C685">
        <f>ROUNDDOWN(6.50045454545455,0)</f>
        <v>6</v>
      </c>
      <c r="D685">
        <v>-0.44</v>
      </c>
      <c r="F685">
        <v>0.06</v>
      </c>
      <c r="G685">
        <v>0.21</v>
      </c>
      <c r="H685">
        <v>-0.09</v>
      </c>
      <c r="I685">
        <v>54.66</v>
      </c>
      <c r="J685">
        <v>3.27</v>
      </c>
      <c r="K685">
        <v>-0.83</v>
      </c>
      <c r="L685">
        <v>-0.88</v>
      </c>
      <c r="M685">
        <v>54.5</v>
      </c>
      <c r="O685">
        <v>27.72</v>
      </c>
      <c r="P685">
        <v>9.16</v>
      </c>
      <c r="Q685">
        <v>0</v>
      </c>
      <c r="R685">
        <v>0</v>
      </c>
    </row>
    <row r="686" spans="1:18" x14ac:dyDescent="0.25">
      <c r="A686">
        <v>140</v>
      </c>
      <c r="B686">
        <v>143.22</v>
      </c>
      <c r="C686">
        <f>ROUNDDOWN(6.51,0)</f>
        <v>6</v>
      </c>
      <c r="D686">
        <v>-0.7</v>
      </c>
      <c r="F686">
        <v>0.09</v>
      </c>
      <c r="G686">
        <v>0.26</v>
      </c>
      <c r="H686">
        <v>-0.05</v>
      </c>
      <c r="I686">
        <v>54.49</v>
      </c>
      <c r="J686">
        <v>3.19</v>
      </c>
      <c r="K686">
        <v>-0.69</v>
      </c>
      <c r="L686">
        <v>-0.91</v>
      </c>
      <c r="M686">
        <v>54.5</v>
      </c>
      <c r="O686">
        <v>27.75</v>
      </c>
      <c r="P686">
        <v>9.18</v>
      </c>
      <c r="Q686">
        <v>0</v>
      </c>
      <c r="R686">
        <v>0</v>
      </c>
    </row>
    <row r="687" spans="1:18" x14ac:dyDescent="0.25">
      <c r="A687">
        <v>140</v>
      </c>
      <c r="B687">
        <v>143.43</v>
      </c>
      <c r="C687">
        <f>ROUNDDOWN(6.51954545454545,0)</f>
        <v>6</v>
      </c>
      <c r="D687">
        <v>-0.96</v>
      </c>
      <c r="F687">
        <v>0.11</v>
      </c>
      <c r="G687">
        <v>0.28999999999999998</v>
      </c>
      <c r="H687">
        <v>-0.1</v>
      </c>
      <c r="I687">
        <v>54.29</v>
      </c>
      <c r="J687">
        <v>3.1</v>
      </c>
      <c r="K687">
        <v>-0.65</v>
      </c>
      <c r="L687">
        <v>-1.05</v>
      </c>
      <c r="M687">
        <v>54.5</v>
      </c>
      <c r="O687">
        <v>27.78</v>
      </c>
      <c r="P687">
        <v>9.1999999999999993</v>
      </c>
      <c r="Q687">
        <v>0</v>
      </c>
      <c r="R687">
        <v>0</v>
      </c>
    </row>
    <row r="688" spans="1:18" x14ac:dyDescent="0.25">
      <c r="A688">
        <v>140</v>
      </c>
      <c r="B688">
        <v>143.63999999999999</v>
      </c>
      <c r="C688">
        <f>ROUNDDOWN(6.52909090909091,0)</f>
        <v>6</v>
      </c>
      <c r="D688">
        <v>-1.1200000000000001</v>
      </c>
      <c r="F688">
        <v>0.1</v>
      </c>
      <c r="G688">
        <v>0.28999999999999998</v>
      </c>
      <c r="H688">
        <v>-0.13</v>
      </c>
      <c r="I688">
        <v>54.17</v>
      </c>
      <c r="J688">
        <v>3.02</v>
      </c>
      <c r="K688">
        <v>-0.61</v>
      </c>
      <c r="L688">
        <v>-1.1100000000000001</v>
      </c>
      <c r="M688">
        <v>54.5</v>
      </c>
      <c r="O688">
        <v>27.82</v>
      </c>
      <c r="P688">
        <v>9.2100000000000009</v>
      </c>
      <c r="Q688">
        <v>0</v>
      </c>
      <c r="R688">
        <v>0</v>
      </c>
    </row>
    <row r="689" spans="1:18" x14ac:dyDescent="0.25">
      <c r="A689">
        <v>140</v>
      </c>
      <c r="B689">
        <v>143.85</v>
      </c>
      <c r="C689">
        <f>ROUNDDOWN(6.53863636363636,0)</f>
        <v>6</v>
      </c>
      <c r="D689">
        <v>-1.1599999999999999</v>
      </c>
      <c r="F689">
        <v>0.1</v>
      </c>
      <c r="G689">
        <v>0.31</v>
      </c>
      <c r="H689">
        <v>-0.01</v>
      </c>
      <c r="I689">
        <v>54.11</v>
      </c>
      <c r="J689">
        <v>2.93</v>
      </c>
      <c r="K689">
        <v>-0.48</v>
      </c>
      <c r="L689">
        <v>-1</v>
      </c>
      <c r="M689">
        <v>54.51</v>
      </c>
      <c r="O689">
        <v>27.85</v>
      </c>
      <c r="P689">
        <v>9.2200000000000006</v>
      </c>
      <c r="Q689">
        <v>0</v>
      </c>
      <c r="R689">
        <v>0</v>
      </c>
    </row>
    <row r="690" spans="1:18" x14ac:dyDescent="0.25">
      <c r="A690">
        <v>140</v>
      </c>
      <c r="B690">
        <v>144.06</v>
      </c>
      <c r="C690">
        <f>ROUNDDOWN(6.54818181818182,0)</f>
        <v>6</v>
      </c>
      <c r="D690">
        <v>-1.07</v>
      </c>
      <c r="F690">
        <v>0.14000000000000001</v>
      </c>
      <c r="G690">
        <v>0.36</v>
      </c>
      <c r="H690">
        <v>0.11</v>
      </c>
      <c r="I690">
        <v>54.08</v>
      </c>
      <c r="J690">
        <v>2.86</v>
      </c>
      <c r="K690">
        <v>-0.35</v>
      </c>
      <c r="L690">
        <v>-0.86</v>
      </c>
      <c r="M690">
        <v>54.51</v>
      </c>
      <c r="O690">
        <v>27.88</v>
      </c>
      <c r="P690">
        <v>9.24</v>
      </c>
      <c r="Q690">
        <v>0</v>
      </c>
      <c r="R690">
        <v>0</v>
      </c>
    </row>
    <row r="691" spans="1:18" x14ac:dyDescent="0.25">
      <c r="A691">
        <v>140</v>
      </c>
      <c r="B691">
        <v>144.26999999999998</v>
      </c>
      <c r="C691">
        <f>ROUNDDOWN(6.55772727272727,0)</f>
        <v>6</v>
      </c>
      <c r="D691">
        <v>-0.9</v>
      </c>
      <c r="F691">
        <v>0.15</v>
      </c>
      <c r="G691">
        <v>0.38</v>
      </c>
      <c r="H691">
        <v>0.14000000000000001</v>
      </c>
      <c r="I691">
        <v>54.09</v>
      </c>
      <c r="J691">
        <v>2.81</v>
      </c>
      <c r="K691">
        <v>-0.35</v>
      </c>
      <c r="L691">
        <v>-0.8</v>
      </c>
      <c r="M691">
        <v>54.51</v>
      </c>
      <c r="O691">
        <v>27.91</v>
      </c>
      <c r="P691">
        <v>9.25</v>
      </c>
      <c r="Q691">
        <v>0</v>
      </c>
      <c r="R691">
        <v>0</v>
      </c>
    </row>
    <row r="692" spans="1:18" x14ac:dyDescent="0.25">
      <c r="A692">
        <v>140</v>
      </c>
      <c r="B692">
        <v>144.47999999999999</v>
      </c>
      <c r="C692">
        <f>ROUNDDOWN(6.56727272727273,0)</f>
        <v>6</v>
      </c>
      <c r="D692">
        <v>-0.6</v>
      </c>
      <c r="F692">
        <v>0.12</v>
      </c>
      <c r="G692">
        <v>0.37</v>
      </c>
      <c r="H692">
        <v>0.13</v>
      </c>
      <c r="I692">
        <v>54.27</v>
      </c>
      <c r="J692">
        <v>2.78</v>
      </c>
      <c r="K692">
        <v>-0.46</v>
      </c>
      <c r="L692">
        <v>-0.71</v>
      </c>
      <c r="M692">
        <v>54.51</v>
      </c>
      <c r="O692">
        <v>27.95</v>
      </c>
      <c r="P692">
        <v>9.26</v>
      </c>
      <c r="Q692">
        <v>0</v>
      </c>
      <c r="R692">
        <v>0</v>
      </c>
    </row>
    <row r="693" spans="1:18" x14ac:dyDescent="0.25">
      <c r="A693">
        <v>140</v>
      </c>
      <c r="B693">
        <v>144.69</v>
      </c>
      <c r="C693">
        <f>ROUNDDOWN(6.57681818181818,0)</f>
        <v>6</v>
      </c>
      <c r="D693">
        <v>-0.24</v>
      </c>
      <c r="F693">
        <v>0.05</v>
      </c>
      <c r="G693">
        <v>0.31</v>
      </c>
      <c r="H693">
        <v>0.19</v>
      </c>
      <c r="I693">
        <v>54.52</v>
      </c>
      <c r="J693">
        <v>2.77</v>
      </c>
      <c r="K693">
        <v>-0.53</v>
      </c>
      <c r="L693">
        <v>-0.51</v>
      </c>
      <c r="M693">
        <v>54.51</v>
      </c>
      <c r="O693">
        <v>27.98</v>
      </c>
      <c r="P693">
        <v>9.27</v>
      </c>
      <c r="Q693">
        <v>0</v>
      </c>
      <c r="R693">
        <v>0</v>
      </c>
    </row>
    <row r="694" spans="1:18" x14ac:dyDescent="0.25">
      <c r="A694">
        <v>140</v>
      </c>
      <c r="B694">
        <v>144.9</v>
      </c>
      <c r="C694">
        <f>ROUNDDOWN(6.58636363636364,0)</f>
        <v>6</v>
      </c>
      <c r="D694">
        <v>0.02</v>
      </c>
      <c r="F694">
        <v>0.01</v>
      </c>
      <c r="G694">
        <v>0.28000000000000003</v>
      </c>
      <c r="H694">
        <v>0.25</v>
      </c>
      <c r="I694">
        <v>54.75</v>
      </c>
      <c r="J694">
        <v>2.77</v>
      </c>
      <c r="K694">
        <v>-0.57999999999999996</v>
      </c>
      <c r="L694">
        <v>-0.34</v>
      </c>
      <c r="M694">
        <v>54.51</v>
      </c>
      <c r="O694">
        <v>28.01</v>
      </c>
      <c r="P694">
        <v>9.2799999999999994</v>
      </c>
      <c r="Q694">
        <v>0</v>
      </c>
      <c r="R694">
        <v>0</v>
      </c>
    </row>
    <row r="695" spans="1:18" x14ac:dyDescent="0.25">
      <c r="A695">
        <v>140</v>
      </c>
      <c r="B695">
        <v>145.10999999999999</v>
      </c>
      <c r="C695">
        <f>ROUNDDOWN(6.59590909090909,0)</f>
        <v>6</v>
      </c>
      <c r="D695">
        <v>0.16</v>
      </c>
      <c r="F695">
        <v>-0.02</v>
      </c>
      <c r="G695">
        <v>0.26</v>
      </c>
      <c r="H695">
        <v>0.19</v>
      </c>
      <c r="I695">
        <v>54.89</v>
      </c>
      <c r="J695">
        <v>2.79</v>
      </c>
      <c r="K695">
        <v>-0.69</v>
      </c>
      <c r="L695">
        <v>-0.34</v>
      </c>
      <c r="M695">
        <v>54.51</v>
      </c>
      <c r="O695">
        <v>28.04</v>
      </c>
      <c r="P695">
        <v>9.2899999999999991</v>
      </c>
      <c r="Q695">
        <v>0</v>
      </c>
      <c r="R695">
        <v>0</v>
      </c>
    </row>
    <row r="696" spans="1:18" x14ac:dyDescent="0.25">
      <c r="A696">
        <v>140</v>
      </c>
      <c r="B696">
        <v>145.32</v>
      </c>
      <c r="C696">
        <f>ROUNDDOWN(6.60545454545455,0)</f>
        <v>6</v>
      </c>
      <c r="D696">
        <v>0.31</v>
      </c>
      <c r="F696">
        <v>0</v>
      </c>
      <c r="G696">
        <v>0.28999999999999998</v>
      </c>
      <c r="H696">
        <v>0.13</v>
      </c>
      <c r="I696">
        <v>55.05</v>
      </c>
      <c r="J696">
        <v>2.81</v>
      </c>
      <c r="K696">
        <v>-0.81</v>
      </c>
      <c r="L696">
        <v>-0.33</v>
      </c>
      <c r="M696">
        <v>54.51</v>
      </c>
      <c r="O696">
        <v>28.07</v>
      </c>
      <c r="P696">
        <v>9.3000000000000007</v>
      </c>
      <c r="Q696">
        <v>0</v>
      </c>
      <c r="R696">
        <v>0</v>
      </c>
    </row>
    <row r="697" spans="1:18" x14ac:dyDescent="0.25">
      <c r="A697">
        <v>140</v>
      </c>
      <c r="B697">
        <v>145.53</v>
      </c>
      <c r="C697">
        <f>ROUNDDOWN(6.615,0)</f>
        <v>6</v>
      </c>
      <c r="D697">
        <v>0.55000000000000004</v>
      </c>
      <c r="F697">
        <v>0.02</v>
      </c>
      <c r="G697">
        <v>0.32</v>
      </c>
      <c r="H697">
        <v>0.11</v>
      </c>
      <c r="I697">
        <v>55.28</v>
      </c>
      <c r="J697">
        <v>2.84</v>
      </c>
      <c r="K697">
        <v>-0.9</v>
      </c>
      <c r="L697">
        <v>-0.25</v>
      </c>
      <c r="M697">
        <v>54.51</v>
      </c>
      <c r="O697">
        <v>28.1</v>
      </c>
      <c r="P697">
        <v>9.31</v>
      </c>
      <c r="Q697">
        <v>0</v>
      </c>
      <c r="R697">
        <v>0</v>
      </c>
    </row>
    <row r="698" spans="1:18" x14ac:dyDescent="0.25">
      <c r="A698">
        <v>140</v>
      </c>
      <c r="B698">
        <v>145.73999999999998</v>
      </c>
      <c r="C698">
        <f>ROUNDDOWN(6.62454545454545,0)</f>
        <v>6</v>
      </c>
      <c r="D698">
        <v>0.75</v>
      </c>
      <c r="F698">
        <v>0.05</v>
      </c>
      <c r="G698">
        <v>0.35</v>
      </c>
      <c r="H698">
        <v>0.12</v>
      </c>
      <c r="I698">
        <v>55.46</v>
      </c>
      <c r="J698">
        <v>2.88</v>
      </c>
      <c r="K698">
        <v>-0.94</v>
      </c>
      <c r="L698">
        <v>-0.18</v>
      </c>
      <c r="M698">
        <v>54.51</v>
      </c>
      <c r="O698">
        <v>28.14</v>
      </c>
      <c r="P698">
        <v>9.31</v>
      </c>
      <c r="Q698">
        <v>0</v>
      </c>
      <c r="R698">
        <v>0</v>
      </c>
    </row>
    <row r="699" spans="1:18" x14ac:dyDescent="0.25">
      <c r="A699">
        <v>140</v>
      </c>
      <c r="B699">
        <v>145.94999999999999</v>
      </c>
      <c r="C699">
        <f>ROUNDDOWN(6.63409090909091,0)</f>
        <v>6</v>
      </c>
      <c r="D699">
        <v>0.81</v>
      </c>
      <c r="F699">
        <v>0.08</v>
      </c>
      <c r="G699">
        <v>0.4</v>
      </c>
      <c r="H699">
        <v>0.03</v>
      </c>
      <c r="I699">
        <v>55.5</v>
      </c>
      <c r="J699">
        <v>2.92</v>
      </c>
      <c r="K699">
        <v>-1.01</v>
      </c>
      <c r="L699">
        <v>-0.27</v>
      </c>
      <c r="M699">
        <v>54.51</v>
      </c>
      <c r="O699">
        <v>28.17</v>
      </c>
      <c r="P699">
        <v>9.32</v>
      </c>
      <c r="Q699">
        <v>0</v>
      </c>
      <c r="R699">
        <v>0</v>
      </c>
    </row>
    <row r="700" spans="1:18" x14ac:dyDescent="0.25">
      <c r="A700">
        <v>140</v>
      </c>
      <c r="B700">
        <v>146.16</v>
      </c>
      <c r="C700">
        <f>ROUNDDOWN(6.64363636363636,0)</f>
        <v>6</v>
      </c>
      <c r="D700">
        <v>0.83</v>
      </c>
      <c r="F700">
        <v>0.13</v>
      </c>
      <c r="G700">
        <v>0.47</v>
      </c>
      <c r="H700">
        <v>-0.16</v>
      </c>
      <c r="I700">
        <v>55.49</v>
      </c>
      <c r="J700">
        <v>2.96</v>
      </c>
      <c r="K700">
        <v>-1.1399999999999999</v>
      </c>
      <c r="L700">
        <v>-0.48</v>
      </c>
      <c r="M700">
        <v>54.51</v>
      </c>
      <c r="O700">
        <v>28.2</v>
      </c>
      <c r="P700">
        <v>9.33</v>
      </c>
      <c r="Q700">
        <v>0</v>
      </c>
      <c r="R700">
        <v>0</v>
      </c>
    </row>
    <row r="701" spans="1:18" x14ac:dyDescent="0.25">
      <c r="A701">
        <v>140</v>
      </c>
      <c r="B701">
        <v>146.37</v>
      </c>
      <c r="C701">
        <f>ROUNDDOWN(6.65318181818182,0)</f>
        <v>6</v>
      </c>
      <c r="D701">
        <v>1.01</v>
      </c>
      <c r="F701">
        <v>0.16</v>
      </c>
      <c r="G701">
        <v>0.51</v>
      </c>
      <c r="H701">
        <v>-0.34</v>
      </c>
      <c r="I701">
        <v>55.5</v>
      </c>
      <c r="J701">
        <v>3.01</v>
      </c>
      <c r="K701">
        <v>-1.27</v>
      </c>
      <c r="L701">
        <v>-0.67</v>
      </c>
      <c r="M701">
        <v>54.51</v>
      </c>
      <c r="O701">
        <v>28.23</v>
      </c>
      <c r="P701">
        <v>9.34</v>
      </c>
      <c r="Q701">
        <v>0</v>
      </c>
      <c r="R701">
        <v>0</v>
      </c>
    </row>
    <row r="702" spans="1:18" x14ac:dyDescent="0.25">
      <c r="A702">
        <v>140</v>
      </c>
      <c r="B702">
        <v>146.57999999999998</v>
      </c>
      <c r="C702">
        <f>ROUNDDOWN(6.66272727272727,0)</f>
        <v>6</v>
      </c>
      <c r="D702">
        <v>1.27</v>
      </c>
      <c r="F702">
        <v>0.14000000000000001</v>
      </c>
      <c r="G702">
        <v>0.51</v>
      </c>
      <c r="H702">
        <v>-0.52</v>
      </c>
      <c r="I702">
        <v>55.56</v>
      </c>
      <c r="J702">
        <v>3.05</v>
      </c>
      <c r="K702">
        <v>-1.4</v>
      </c>
      <c r="L702">
        <v>-0.8</v>
      </c>
      <c r="M702">
        <v>54.51</v>
      </c>
      <c r="O702">
        <v>28.26</v>
      </c>
      <c r="P702">
        <v>9.36</v>
      </c>
      <c r="Q702">
        <v>0</v>
      </c>
      <c r="R702">
        <v>0</v>
      </c>
    </row>
    <row r="703" spans="1:18" x14ac:dyDescent="0.25">
      <c r="A703">
        <v>140</v>
      </c>
      <c r="B703">
        <v>146.79</v>
      </c>
      <c r="C703">
        <f>ROUNDDOWN(6.67227272727273,0)</f>
        <v>6</v>
      </c>
      <c r="D703">
        <v>1.5</v>
      </c>
      <c r="F703">
        <v>0.11</v>
      </c>
      <c r="G703">
        <v>0.49</v>
      </c>
      <c r="H703">
        <v>-0.72</v>
      </c>
      <c r="I703">
        <v>55.67</v>
      </c>
      <c r="J703">
        <v>3.08</v>
      </c>
      <c r="K703">
        <v>-1.59</v>
      </c>
      <c r="L703">
        <v>-0.95</v>
      </c>
      <c r="M703">
        <v>54.51</v>
      </c>
      <c r="O703">
        <v>28.29</v>
      </c>
      <c r="P703">
        <v>9.3699999999999992</v>
      </c>
      <c r="Q703">
        <v>0</v>
      </c>
      <c r="R703">
        <v>0</v>
      </c>
    </row>
    <row r="704" spans="1:18" x14ac:dyDescent="0.25">
      <c r="A704">
        <v>140</v>
      </c>
      <c r="B704">
        <v>147</v>
      </c>
      <c r="C704">
        <f>ROUNDDOWN(6.68181818181818,0)</f>
        <v>6</v>
      </c>
      <c r="D704">
        <v>1.74</v>
      </c>
      <c r="F704">
        <v>0.05</v>
      </c>
      <c r="G704">
        <v>0.44</v>
      </c>
      <c r="H704">
        <v>-0.94</v>
      </c>
      <c r="I704">
        <v>55.85</v>
      </c>
      <c r="J704">
        <v>3.1</v>
      </c>
      <c r="K704">
        <v>-1.8</v>
      </c>
      <c r="L704">
        <v>-1.06</v>
      </c>
      <c r="M704">
        <v>54.51</v>
      </c>
      <c r="O704">
        <v>28.32</v>
      </c>
      <c r="P704">
        <v>9.3800000000000008</v>
      </c>
      <c r="Q704">
        <v>0</v>
      </c>
      <c r="R704">
        <v>0</v>
      </c>
    </row>
    <row r="705" spans="1:18" x14ac:dyDescent="0.25">
      <c r="A705">
        <v>140</v>
      </c>
      <c r="B705">
        <v>147.21</v>
      </c>
      <c r="C705">
        <f>ROUNDDOWN(6.69136363636364,0)</f>
        <v>6</v>
      </c>
      <c r="D705">
        <v>2.0499999999999998</v>
      </c>
      <c r="F705">
        <v>0.02</v>
      </c>
      <c r="G705">
        <v>0.42</v>
      </c>
      <c r="H705">
        <v>-1.05</v>
      </c>
      <c r="I705">
        <v>56.13</v>
      </c>
      <c r="J705">
        <v>3.11</v>
      </c>
      <c r="K705">
        <v>-1.94</v>
      </c>
      <c r="L705">
        <v>-1.01</v>
      </c>
      <c r="M705">
        <v>54.51</v>
      </c>
      <c r="O705">
        <v>28.35</v>
      </c>
      <c r="P705">
        <v>9.3800000000000008</v>
      </c>
      <c r="Q705">
        <v>0</v>
      </c>
      <c r="R705">
        <v>0</v>
      </c>
    </row>
    <row r="706" spans="1:18" x14ac:dyDescent="0.25">
      <c r="A706">
        <v>140</v>
      </c>
      <c r="B706">
        <v>147.41999999999999</v>
      </c>
      <c r="C706">
        <f>ROUNDDOWN(6.70090909090909,0)</f>
        <v>6</v>
      </c>
      <c r="D706">
        <v>2.36</v>
      </c>
      <c r="F706">
        <v>0.02</v>
      </c>
      <c r="G706">
        <v>0.43</v>
      </c>
      <c r="H706">
        <v>-1.1100000000000001</v>
      </c>
      <c r="I706">
        <v>56.45</v>
      </c>
      <c r="J706">
        <v>3.1</v>
      </c>
      <c r="K706">
        <v>-2.0499999999999998</v>
      </c>
      <c r="L706">
        <v>-0.91</v>
      </c>
      <c r="M706">
        <v>54.51</v>
      </c>
      <c r="O706">
        <v>28.38</v>
      </c>
      <c r="P706">
        <v>9.39</v>
      </c>
      <c r="Q706">
        <v>0</v>
      </c>
      <c r="R706">
        <v>0</v>
      </c>
    </row>
    <row r="707" spans="1:18" x14ac:dyDescent="0.25">
      <c r="A707">
        <v>140</v>
      </c>
      <c r="B707">
        <v>147.63</v>
      </c>
      <c r="C707">
        <f>ROUNDDOWN(6.71045454545455,0)</f>
        <v>6</v>
      </c>
      <c r="D707">
        <v>2.48</v>
      </c>
      <c r="F707">
        <v>0.01</v>
      </c>
      <c r="G707">
        <v>0.43</v>
      </c>
      <c r="H707">
        <v>-1.1599999999999999</v>
      </c>
      <c r="I707">
        <v>56.75</v>
      </c>
      <c r="J707">
        <v>3.09</v>
      </c>
      <c r="K707">
        <v>-2.11</v>
      </c>
      <c r="L707">
        <v>-0.81</v>
      </c>
      <c r="M707">
        <v>54.51</v>
      </c>
      <c r="O707">
        <v>28.41</v>
      </c>
      <c r="P707">
        <v>9.4</v>
      </c>
      <c r="Q707">
        <v>0</v>
      </c>
      <c r="R707">
        <v>0</v>
      </c>
    </row>
    <row r="708" spans="1:18" x14ac:dyDescent="0.25">
      <c r="A708">
        <v>140</v>
      </c>
      <c r="B708">
        <v>147.84</v>
      </c>
      <c r="C708">
        <f>ROUNDDOWN(6.72,0)</f>
        <v>6</v>
      </c>
      <c r="D708">
        <v>2.4</v>
      </c>
      <c r="F708">
        <v>-0.05</v>
      </c>
      <c r="G708">
        <v>0.38</v>
      </c>
      <c r="H708">
        <v>-1.23</v>
      </c>
      <c r="I708">
        <v>56.93</v>
      </c>
      <c r="J708">
        <v>3.07</v>
      </c>
      <c r="K708">
        <v>-2.13</v>
      </c>
      <c r="L708">
        <v>-0.81</v>
      </c>
      <c r="M708">
        <v>54.51</v>
      </c>
      <c r="O708">
        <v>28.44</v>
      </c>
      <c r="P708">
        <v>9.4</v>
      </c>
      <c r="Q708">
        <v>0</v>
      </c>
      <c r="R708">
        <v>0</v>
      </c>
    </row>
    <row r="709" spans="1:18" x14ac:dyDescent="0.25">
      <c r="A709">
        <v>140</v>
      </c>
      <c r="B709">
        <v>148.04999999999998</v>
      </c>
      <c r="C709">
        <f>ROUNDDOWN(6.72954545454545,0)</f>
        <v>6</v>
      </c>
      <c r="D709">
        <v>2.27</v>
      </c>
      <c r="F709">
        <v>-0.1</v>
      </c>
      <c r="G709">
        <v>0.34</v>
      </c>
      <c r="H709">
        <v>-1.21</v>
      </c>
      <c r="I709">
        <v>57.02</v>
      </c>
      <c r="J709">
        <v>3.04</v>
      </c>
      <c r="K709">
        <v>-2.0099999999999998</v>
      </c>
      <c r="L709">
        <v>-0.75</v>
      </c>
      <c r="M709">
        <v>54.52</v>
      </c>
      <c r="O709">
        <v>28.47</v>
      </c>
      <c r="P709">
        <v>9.4</v>
      </c>
      <c r="Q709">
        <v>0</v>
      </c>
      <c r="R709">
        <v>0</v>
      </c>
    </row>
    <row r="710" spans="1:18" x14ac:dyDescent="0.25">
      <c r="A710">
        <v>140</v>
      </c>
      <c r="B710">
        <v>148.26</v>
      </c>
      <c r="C710">
        <f>ROUNDDOWN(6.73909090909091,0)</f>
        <v>6</v>
      </c>
      <c r="D710">
        <v>2.16</v>
      </c>
      <c r="F710">
        <v>-7.0000000000000007E-2</v>
      </c>
      <c r="G710">
        <v>0.37</v>
      </c>
      <c r="H710">
        <v>-1.1499999999999999</v>
      </c>
      <c r="I710">
        <v>57.05</v>
      </c>
      <c r="J710">
        <v>3</v>
      </c>
      <c r="K710">
        <v>-1.82</v>
      </c>
      <c r="L710">
        <v>-0.69</v>
      </c>
      <c r="M710">
        <v>54.52</v>
      </c>
      <c r="O710">
        <v>28.49</v>
      </c>
      <c r="P710">
        <v>9.41</v>
      </c>
      <c r="Q710">
        <v>0</v>
      </c>
      <c r="R710">
        <v>0</v>
      </c>
    </row>
    <row r="711" spans="1:18" x14ac:dyDescent="0.25">
      <c r="A711">
        <v>140</v>
      </c>
      <c r="B711">
        <v>148.47</v>
      </c>
      <c r="C711">
        <f>ROUNDDOWN(6.74863636363636,0)</f>
        <v>6</v>
      </c>
      <c r="D711">
        <v>1.94</v>
      </c>
      <c r="F711">
        <v>-0.02</v>
      </c>
      <c r="G711">
        <v>0.43</v>
      </c>
      <c r="H711">
        <v>-1.17</v>
      </c>
      <c r="I711">
        <v>57</v>
      </c>
      <c r="J711">
        <v>2.96</v>
      </c>
      <c r="K711">
        <v>-1.68</v>
      </c>
      <c r="L711">
        <v>-0.74</v>
      </c>
      <c r="M711">
        <v>54.52</v>
      </c>
      <c r="O711">
        <v>28.52</v>
      </c>
      <c r="P711">
        <v>9.41</v>
      </c>
      <c r="Q711">
        <v>0</v>
      </c>
      <c r="R711">
        <v>0</v>
      </c>
    </row>
    <row r="712" spans="1:18" x14ac:dyDescent="0.25">
      <c r="A712">
        <v>140</v>
      </c>
      <c r="B712">
        <v>148.68</v>
      </c>
      <c r="C712">
        <f>ROUNDDOWN(6.75818181818182,0)</f>
        <v>6</v>
      </c>
      <c r="D712">
        <v>1.63</v>
      </c>
      <c r="F712">
        <v>0.02</v>
      </c>
      <c r="G712">
        <v>0.48</v>
      </c>
      <c r="H712">
        <v>-1.2</v>
      </c>
      <c r="I712">
        <v>56.91</v>
      </c>
      <c r="J712">
        <v>2.92</v>
      </c>
      <c r="K712">
        <v>-1.54</v>
      </c>
      <c r="L712">
        <v>-0.82</v>
      </c>
      <c r="M712">
        <v>54.52</v>
      </c>
      <c r="O712">
        <v>28.55</v>
      </c>
      <c r="P712">
        <v>9.41</v>
      </c>
      <c r="Q712">
        <v>0</v>
      </c>
      <c r="R712">
        <v>0</v>
      </c>
    </row>
    <row r="713" spans="1:18" x14ac:dyDescent="0.25">
      <c r="A713">
        <v>140</v>
      </c>
      <c r="B713">
        <v>148.88999999999999</v>
      </c>
      <c r="C713">
        <f>ROUNDDOWN(6.76772727272727,0)</f>
        <v>6</v>
      </c>
      <c r="D713">
        <v>1.39</v>
      </c>
      <c r="F713">
        <v>0.02</v>
      </c>
      <c r="G713">
        <v>0.48</v>
      </c>
      <c r="H713">
        <v>-1.17</v>
      </c>
      <c r="I713">
        <v>56.85</v>
      </c>
      <c r="J713">
        <v>2.87</v>
      </c>
      <c r="K713">
        <v>-1.36</v>
      </c>
      <c r="L713">
        <v>-0.81</v>
      </c>
      <c r="M713">
        <v>54.52</v>
      </c>
      <c r="O713">
        <v>28.58</v>
      </c>
      <c r="P713">
        <v>9.42</v>
      </c>
      <c r="Q713">
        <v>0</v>
      </c>
      <c r="R713">
        <v>0</v>
      </c>
    </row>
    <row r="714" spans="1:18" x14ac:dyDescent="0.25">
      <c r="A714">
        <v>140</v>
      </c>
      <c r="B714">
        <v>149.1</v>
      </c>
      <c r="C714">
        <f>ROUNDDOWN(6.77727272727273,0)</f>
        <v>6</v>
      </c>
      <c r="D714">
        <v>1.31</v>
      </c>
      <c r="F714">
        <v>0.01</v>
      </c>
      <c r="G714">
        <v>0.49</v>
      </c>
      <c r="H714">
        <v>-0.94</v>
      </c>
      <c r="I714">
        <v>56.81</v>
      </c>
      <c r="J714">
        <v>2.83</v>
      </c>
      <c r="K714">
        <v>-1.01</v>
      </c>
      <c r="L714">
        <v>-0.6</v>
      </c>
      <c r="M714">
        <v>54.52</v>
      </c>
      <c r="O714">
        <v>28.61</v>
      </c>
      <c r="P714">
        <v>9.42</v>
      </c>
      <c r="Q714">
        <v>0</v>
      </c>
      <c r="R714">
        <v>0</v>
      </c>
    </row>
    <row r="715" spans="1:18" x14ac:dyDescent="0.25">
      <c r="A715">
        <v>140</v>
      </c>
      <c r="B715">
        <v>149.31</v>
      </c>
      <c r="C715">
        <f>ROUNDDOWN(6.78681818181818,0)</f>
        <v>6</v>
      </c>
      <c r="D715">
        <v>1.28</v>
      </c>
      <c r="F715">
        <v>-0.01</v>
      </c>
      <c r="G715">
        <v>0.47</v>
      </c>
      <c r="H715">
        <v>-0.78</v>
      </c>
      <c r="I715">
        <v>56.77</v>
      </c>
      <c r="J715">
        <v>2.8</v>
      </c>
      <c r="K715">
        <v>-0.74</v>
      </c>
      <c r="L715">
        <v>-0.46</v>
      </c>
      <c r="M715">
        <v>54.52</v>
      </c>
      <c r="O715">
        <v>28.64</v>
      </c>
      <c r="P715">
        <v>9.43</v>
      </c>
      <c r="Q715">
        <v>0</v>
      </c>
      <c r="R715">
        <v>0</v>
      </c>
    </row>
    <row r="716" spans="1:18" x14ac:dyDescent="0.25">
      <c r="A716">
        <v>140</v>
      </c>
      <c r="B716">
        <v>149.51999999999998</v>
      </c>
      <c r="C716">
        <f>ROUNDDOWN(6.79636363636364,0)</f>
        <v>6</v>
      </c>
      <c r="D716">
        <v>1.23</v>
      </c>
      <c r="F716">
        <v>-0.06</v>
      </c>
      <c r="G716">
        <v>0.43</v>
      </c>
      <c r="H716">
        <v>-0.7</v>
      </c>
      <c r="I716">
        <v>56.73</v>
      </c>
      <c r="J716">
        <v>2.78</v>
      </c>
      <c r="K716">
        <v>-0.56999999999999995</v>
      </c>
      <c r="L716">
        <v>-0.41</v>
      </c>
      <c r="M716">
        <v>54.52</v>
      </c>
      <c r="O716">
        <v>28.67</v>
      </c>
      <c r="P716">
        <v>9.44</v>
      </c>
      <c r="Q716">
        <v>0</v>
      </c>
      <c r="R716">
        <v>0</v>
      </c>
    </row>
    <row r="717" spans="1:18" x14ac:dyDescent="0.25">
      <c r="A717">
        <v>140</v>
      </c>
      <c r="B717">
        <v>149.72999999999999</v>
      </c>
      <c r="C717">
        <f>ROUNDDOWN(6.80590909090909,0)</f>
        <v>6</v>
      </c>
      <c r="D717">
        <v>1.17</v>
      </c>
      <c r="F717">
        <v>-0.11</v>
      </c>
      <c r="G717">
        <v>0.38</v>
      </c>
      <c r="H717">
        <v>-0.59</v>
      </c>
      <c r="I717">
        <v>56.73</v>
      </c>
      <c r="J717">
        <v>2.77</v>
      </c>
      <c r="K717">
        <v>-0.39</v>
      </c>
      <c r="L717">
        <v>-0.3</v>
      </c>
      <c r="M717">
        <v>54.52</v>
      </c>
      <c r="O717">
        <v>28.7</v>
      </c>
      <c r="P717">
        <v>9.44</v>
      </c>
      <c r="Q717">
        <v>0</v>
      </c>
      <c r="R717">
        <v>0</v>
      </c>
    </row>
    <row r="718" spans="1:18" x14ac:dyDescent="0.25">
      <c r="A718">
        <v>140</v>
      </c>
      <c r="B718">
        <v>149.94</v>
      </c>
      <c r="C718">
        <f>ROUNDDOWN(6.81545454545455,0)</f>
        <v>6</v>
      </c>
      <c r="D718">
        <v>1.06</v>
      </c>
      <c r="F718">
        <v>-0.14000000000000001</v>
      </c>
      <c r="G718">
        <v>0.36</v>
      </c>
      <c r="H718">
        <v>-0.35</v>
      </c>
      <c r="I718">
        <v>56.74</v>
      </c>
      <c r="J718">
        <v>2.77</v>
      </c>
      <c r="K718">
        <v>-0.1</v>
      </c>
      <c r="L718">
        <v>-0.08</v>
      </c>
      <c r="M718">
        <v>54.52</v>
      </c>
      <c r="O718">
        <v>28.72</v>
      </c>
      <c r="P718">
        <v>9.4499999999999993</v>
      </c>
      <c r="Q718">
        <v>0</v>
      </c>
      <c r="R718">
        <v>0</v>
      </c>
    </row>
    <row r="719" spans="1:18" x14ac:dyDescent="0.25">
      <c r="A719">
        <v>140</v>
      </c>
      <c r="B719">
        <v>150.15</v>
      </c>
      <c r="C719">
        <f>ROUNDDOWN(6.825,0)</f>
        <v>6</v>
      </c>
      <c r="D719">
        <v>0.81</v>
      </c>
      <c r="F719">
        <v>-0.22</v>
      </c>
      <c r="G719">
        <v>0.27</v>
      </c>
      <c r="H719">
        <v>-0.1</v>
      </c>
      <c r="I719">
        <v>56.66</v>
      </c>
      <c r="J719">
        <v>2.79</v>
      </c>
      <c r="K719">
        <v>0.23</v>
      </c>
      <c r="L719">
        <v>0.11</v>
      </c>
      <c r="M719">
        <v>54.52</v>
      </c>
      <c r="O719">
        <v>28.75</v>
      </c>
      <c r="P719">
        <v>9.4600000000000009</v>
      </c>
      <c r="Q719">
        <v>0</v>
      </c>
      <c r="R719">
        <v>0</v>
      </c>
    </row>
    <row r="720" spans="1:18" x14ac:dyDescent="0.25">
      <c r="A720">
        <v>140</v>
      </c>
      <c r="B720">
        <v>150.35999999999999</v>
      </c>
      <c r="C720">
        <f>ROUNDDOWN(6.83454545454545,0)</f>
        <v>6</v>
      </c>
      <c r="D720">
        <v>0.47</v>
      </c>
      <c r="F720">
        <v>-0.34</v>
      </c>
      <c r="G720">
        <v>0.15</v>
      </c>
      <c r="H720">
        <v>0.02</v>
      </c>
      <c r="I720">
        <v>56.61</v>
      </c>
      <c r="J720">
        <v>2.82</v>
      </c>
      <c r="K720">
        <v>0.41</v>
      </c>
      <c r="L720">
        <v>0.19</v>
      </c>
      <c r="M720">
        <v>54.52</v>
      </c>
      <c r="O720">
        <v>28.78</v>
      </c>
      <c r="P720">
        <v>9.4700000000000006</v>
      </c>
      <c r="Q720">
        <v>0</v>
      </c>
      <c r="R720">
        <v>0</v>
      </c>
    </row>
    <row r="721" spans="1:18" x14ac:dyDescent="0.25">
      <c r="A721">
        <v>140</v>
      </c>
      <c r="B721">
        <v>150.57</v>
      </c>
      <c r="C721">
        <f>ROUNDDOWN(6.84409090909091,0)</f>
        <v>6</v>
      </c>
      <c r="D721">
        <v>0.31</v>
      </c>
      <c r="F721">
        <v>-0.43</v>
      </c>
      <c r="G721">
        <v>0.04</v>
      </c>
      <c r="H721">
        <v>0.2</v>
      </c>
      <c r="I721">
        <v>56.77</v>
      </c>
      <c r="J721">
        <v>2.85</v>
      </c>
      <c r="K721">
        <v>0.53</v>
      </c>
      <c r="L721">
        <v>0.42</v>
      </c>
      <c r="M721">
        <v>54.52</v>
      </c>
      <c r="O721">
        <v>28.81</v>
      </c>
      <c r="P721">
        <v>9.4700000000000006</v>
      </c>
      <c r="Q721">
        <v>0</v>
      </c>
      <c r="R721">
        <v>0</v>
      </c>
    </row>
    <row r="722" spans="1:18" x14ac:dyDescent="0.25">
      <c r="A722">
        <v>140</v>
      </c>
      <c r="B722">
        <v>150.78</v>
      </c>
      <c r="C722">
        <f>ROUNDDOWN(6.85363636363636,0)</f>
        <v>6</v>
      </c>
      <c r="D722">
        <v>0.34</v>
      </c>
      <c r="F722">
        <v>-0.47</v>
      </c>
      <c r="G722">
        <v>0</v>
      </c>
      <c r="H722">
        <v>0.49</v>
      </c>
      <c r="I722">
        <v>57.09</v>
      </c>
      <c r="J722">
        <v>2.89</v>
      </c>
      <c r="K722">
        <v>0.68</v>
      </c>
      <c r="L722">
        <v>0.82</v>
      </c>
      <c r="M722">
        <v>54.52</v>
      </c>
      <c r="O722">
        <v>28.84</v>
      </c>
      <c r="P722">
        <v>9.48</v>
      </c>
      <c r="Q722">
        <v>0</v>
      </c>
      <c r="R722">
        <v>0</v>
      </c>
    </row>
    <row r="723" spans="1:18" x14ac:dyDescent="0.25">
      <c r="A723">
        <v>140</v>
      </c>
      <c r="B723">
        <v>150.98999999999998</v>
      </c>
      <c r="C723">
        <f>ROUNDDOWN(6.86318181818182,0)</f>
        <v>6</v>
      </c>
      <c r="D723">
        <v>0.39</v>
      </c>
      <c r="F723">
        <v>-0.44</v>
      </c>
      <c r="G723">
        <v>0</v>
      </c>
      <c r="H723">
        <v>0.82</v>
      </c>
      <c r="I723">
        <v>57.31</v>
      </c>
      <c r="J723">
        <v>2.92</v>
      </c>
      <c r="K723">
        <v>0.91</v>
      </c>
      <c r="L723">
        <v>1.19</v>
      </c>
      <c r="M723">
        <v>54.52</v>
      </c>
      <c r="O723">
        <v>28.86</v>
      </c>
      <c r="P723">
        <v>9.48</v>
      </c>
      <c r="Q723">
        <v>0</v>
      </c>
      <c r="R723">
        <v>0</v>
      </c>
    </row>
    <row r="724" spans="1:18" x14ac:dyDescent="0.25">
      <c r="A724">
        <v>140</v>
      </c>
      <c r="B724">
        <v>151.19999999999999</v>
      </c>
      <c r="C724">
        <f>ROUNDDOWN(6.87272727272727,0)</f>
        <v>6</v>
      </c>
      <c r="D724">
        <v>0.38</v>
      </c>
      <c r="F724">
        <v>-0.46</v>
      </c>
      <c r="G724">
        <v>-0.03</v>
      </c>
      <c r="H724">
        <v>1</v>
      </c>
      <c r="I724">
        <v>57.4</v>
      </c>
      <c r="J724">
        <v>2.95</v>
      </c>
      <c r="K724">
        <v>1.06</v>
      </c>
      <c r="L724">
        <v>1.32</v>
      </c>
      <c r="M724">
        <v>54.52</v>
      </c>
      <c r="O724">
        <v>28.89</v>
      </c>
      <c r="P724">
        <v>9.49</v>
      </c>
      <c r="Q724">
        <v>0</v>
      </c>
      <c r="R724">
        <v>0</v>
      </c>
    </row>
    <row r="725" spans="1:18" x14ac:dyDescent="0.25">
      <c r="A725">
        <v>140</v>
      </c>
      <c r="B725">
        <v>151.41</v>
      </c>
      <c r="C725">
        <f>ROUNDDOWN(6.88227272727273,0)</f>
        <v>6</v>
      </c>
      <c r="D725">
        <v>0.42</v>
      </c>
      <c r="F725">
        <v>-0.45</v>
      </c>
      <c r="G725">
        <v>-0.03</v>
      </c>
      <c r="H725">
        <v>1.1100000000000001</v>
      </c>
      <c r="I725">
        <v>57.47</v>
      </c>
      <c r="J725">
        <v>2.98</v>
      </c>
      <c r="K725">
        <v>1.1299999999999999</v>
      </c>
      <c r="L725">
        <v>1.37</v>
      </c>
      <c r="M725">
        <v>54.52</v>
      </c>
      <c r="O725">
        <v>28.92</v>
      </c>
      <c r="P725">
        <v>9.49</v>
      </c>
      <c r="Q725">
        <v>0</v>
      </c>
      <c r="R725">
        <v>0</v>
      </c>
    </row>
    <row r="726" spans="1:18" x14ac:dyDescent="0.25">
      <c r="A726">
        <v>140</v>
      </c>
      <c r="B726">
        <v>151.62</v>
      </c>
      <c r="C726">
        <f>ROUNDDOWN(6.89181818181818,0)</f>
        <v>6</v>
      </c>
      <c r="D726">
        <v>0.63</v>
      </c>
      <c r="F726">
        <v>-0.42</v>
      </c>
      <c r="G726">
        <v>-0.02</v>
      </c>
      <c r="H726">
        <v>1.1399999999999999</v>
      </c>
      <c r="I726">
        <v>57.62</v>
      </c>
      <c r="J726">
        <v>3.02</v>
      </c>
      <c r="K726">
        <v>1.0900000000000001</v>
      </c>
      <c r="L726">
        <v>1.38</v>
      </c>
      <c r="M726">
        <v>54.52</v>
      </c>
      <c r="O726">
        <v>28.95</v>
      </c>
      <c r="P726">
        <v>9.49</v>
      </c>
      <c r="Q726">
        <v>0</v>
      </c>
      <c r="R726">
        <v>0</v>
      </c>
    </row>
    <row r="727" spans="1:18" x14ac:dyDescent="0.25">
      <c r="A727">
        <v>140</v>
      </c>
      <c r="B727">
        <v>151.82999999999998</v>
      </c>
      <c r="C727">
        <f>ROUNDDOWN(6.90136363636364,0)</f>
        <v>6</v>
      </c>
      <c r="D727">
        <v>0.81</v>
      </c>
      <c r="F727">
        <v>-0.38</v>
      </c>
      <c r="G727">
        <v>0.01</v>
      </c>
      <c r="H727">
        <v>1.1200000000000001</v>
      </c>
      <c r="I727">
        <v>57.72</v>
      </c>
      <c r="J727">
        <v>3.07</v>
      </c>
      <c r="K727">
        <v>1.03</v>
      </c>
      <c r="L727">
        <v>1.31</v>
      </c>
      <c r="M727">
        <v>54.52</v>
      </c>
      <c r="O727">
        <v>28.97</v>
      </c>
      <c r="P727">
        <v>9.5</v>
      </c>
      <c r="Q727">
        <v>0</v>
      </c>
      <c r="R727">
        <v>0</v>
      </c>
    </row>
    <row r="728" spans="1:18" x14ac:dyDescent="0.25">
      <c r="A728">
        <v>140</v>
      </c>
      <c r="B728">
        <v>152.04</v>
      </c>
      <c r="C728">
        <f>ROUNDDOWN(6.91090909090909,0)</f>
        <v>6</v>
      </c>
      <c r="D728">
        <v>0.88</v>
      </c>
      <c r="F728">
        <v>-0.39</v>
      </c>
      <c r="G728">
        <v>-0.03</v>
      </c>
      <c r="H728">
        <v>1.04</v>
      </c>
      <c r="I728">
        <v>57.73</v>
      </c>
      <c r="J728">
        <v>3.13</v>
      </c>
      <c r="K728">
        <v>0.95</v>
      </c>
      <c r="L728">
        <v>1.1399999999999999</v>
      </c>
      <c r="M728">
        <v>54.52</v>
      </c>
      <c r="O728">
        <v>29</v>
      </c>
      <c r="P728">
        <v>9.5</v>
      </c>
      <c r="Q728">
        <v>0</v>
      </c>
      <c r="R728">
        <v>0</v>
      </c>
    </row>
    <row r="729" spans="1:18" x14ac:dyDescent="0.25">
      <c r="A729">
        <v>140</v>
      </c>
      <c r="B729">
        <v>152.25</v>
      </c>
      <c r="C729">
        <f>ROUNDDOWN(6.92045454545455,0)</f>
        <v>6</v>
      </c>
      <c r="D729">
        <v>0.91</v>
      </c>
      <c r="F729">
        <v>-0.44</v>
      </c>
      <c r="G729">
        <v>-0.1</v>
      </c>
      <c r="H729">
        <v>0.91</v>
      </c>
      <c r="I729">
        <v>57.72</v>
      </c>
      <c r="J729">
        <v>3.2</v>
      </c>
      <c r="K729">
        <v>0.83</v>
      </c>
      <c r="L729">
        <v>0.91</v>
      </c>
      <c r="M729">
        <v>54.52</v>
      </c>
      <c r="O729">
        <v>29.03</v>
      </c>
      <c r="P729">
        <v>9.51</v>
      </c>
      <c r="Q729">
        <v>0</v>
      </c>
      <c r="R729">
        <v>0</v>
      </c>
    </row>
    <row r="730" spans="1:18" x14ac:dyDescent="0.25">
      <c r="A730">
        <v>140</v>
      </c>
      <c r="B730">
        <v>152.46</v>
      </c>
      <c r="C730">
        <f>ROUNDDOWN(6.93,0)</f>
        <v>6</v>
      </c>
      <c r="D730">
        <v>0.95</v>
      </c>
      <c r="F730">
        <v>-0.52</v>
      </c>
      <c r="G730">
        <v>-0.2</v>
      </c>
      <c r="H730">
        <v>0.8</v>
      </c>
      <c r="I730">
        <v>57.72</v>
      </c>
      <c r="J730">
        <v>3.28</v>
      </c>
      <c r="K730">
        <v>0.73</v>
      </c>
      <c r="L730">
        <v>0.73</v>
      </c>
      <c r="M730">
        <v>54.52</v>
      </c>
      <c r="O730">
        <v>29.05</v>
      </c>
      <c r="P730">
        <v>9.51</v>
      </c>
      <c r="Q730">
        <v>0</v>
      </c>
      <c r="R730">
        <v>0</v>
      </c>
    </row>
    <row r="731" spans="1:18" x14ac:dyDescent="0.25">
      <c r="A731">
        <v>140</v>
      </c>
      <c r="B731">
        <v>152.66999999999999</v>
      </c>
      <c r="C731">
        <f>ROUNDDOWN(6.93954545454545,0)</f>
        <v>6</v>
      </c>
      <c r="D731">
        <v>0.97</v>
      </c>
      <c r="F731">
        <v>-0.64</v>
      </c>
      <c r="G731">
        <v>-0.34</v>
      </c>
      <c r="H731">
        <v>0.64</v>
      </c>
      <c r="I731">
        <v>57.7</v>
      </c>
      <c r="J731">
        <v>3.37</v>
      </c>
      <c r="K731">
        <v>0.6</v>
      </c>
      <c r="L731">
        <v>0.5</v>
      </c>
      <c r="M731">
        <v>54.53</v>
      </c>
      <c r="O731">
        <v>29.08</v>
      </c>
      <c r="P731">
        <v>9.52</v>
      </c>
      <c r="Q731">
        <v>0</v>
      </c>
      <c r="R731">
        <v>0</v>
      </c>
    </row>
    <row r="732" spans="1:18" x14ac:dyDescent="0.25">
      <c r="A732">
        <v>140</v>
      </c>
      <c r="B732">
        <v>152.88</v>
      </c>
      <c r="C732">
        <f>ROUNDDOWN(6.94909090909091,0)</f>
        <v>6</v>
      </c>
      <c r="D732">
        <v>0.94</v>
      </c>
      <c r="F732">
        <v>-0.77</v>
      </c>
      <c r="G732">
        <v>-0.51</v>
      </c>
      <c r="H732">
        <v>0.53</v>
      </c>
      <c r="I732">
        <v>57.67</v>
      </c>
      <c r="J732">
        <v>3.46</v>
      </c>
      <c r="K732">
        <v>0.51</v>
      </c>
      <c r="L732">
        <v>0.31</v>
      </c>
      <c r="M732">
        <v>54.53</v>
      </c>
      <c r="O732">
        <v>29.11</v>
      </c>
      <c r="P732">
        <v>9.5299999999999994</v>
      </c>
      <c r="Q732">
        <v>0</v>
      </c>
      <c r="R732">
        <v>0</v>
      </c>
    </row>
    <row r="733" spans="1:18" x14ac:dyDescent="0.25">
      <c r="A733">
        <v>140</v>
      </c>
      <c r="B733">
        <v>153.09</v>
      </c>
      <c r="C733">
        <f>ROUNDDOWN(6.95863636363636,0)</f>
        <v>6</v>
      </c>
      <c r="D733">
        <v>0.89</v>
      </c>
      <c r="F733">
        <v>-0.84</v>
      </c>
      <c r="G733">
        <v>-0.61</v>
      </c>
      <c r="H733">
        <v>0.49</v>
      </c>
      <c r="I733">
        <v>57.62</v>
      </c>
      <c r="J733">
        <v>3.54</v>
      </c>
      <c r="K733">
        <v>0.52</v>
      </c>
      <c r="L733">
        <v>0.21</v>
      </c>
      <c r="M733">
        <v>54.53</v>
      </c>
      <c r="O733">
        <v>29.13</v>
      </c>
      <c r="P733">
        <v>9.5399999999999991</v>
      </c>
      <c r="Q733">
        <v>0</v>
      </c>
      <c r="R733">
        <v>0</v>
      </c>
    </row>
    <row r="734" spans="1:18" x14ac:dyDescent="0.25">
      <c r="A734">
        <v>140</v>
      </c>
      <c r="B734">
        <v>153.29999999999998</v>
      </c>
      <c r="C734">
        <f>ROUNDDOWN(6.96818181818182,0)</f>
        <v>6</v>
      </c>
      <c r="D734">
        <v>0.84</v>
      </c>
      <c r="F734">
        <v>-0.86</v>
      </c>
      <c r="G734">
        <v>-0.68</v>
      </c>
      <c r="H734">
        <v>0.51</v>
      </c>
      <c r="I734">
        <v>57.49</v>
      </c>
      <c r="J734">
        <v>3.62</v>
      </c>
      <c r="K734">
        <v>0.62</v>
      </c>
      <c r="L734">
        <v>0.13</v>
      </c>
      <c r="M734">
        <v>54.53</v>
      </c>
      <c r="O734">
        <v>29.16</v>
      </c>
      <c r="P734">
        <v>9.5500000000000007</v>
      </c>
      <c r="Q734">
        <v>0</v>
      </c>
      <c r="R734">
        <v>0</v>
      </c>
    </row>
    <row r="735" spans="1:18" x14ac:dyDescent="0.25">
      <c r="A735">
        <v>140</v>
      </c>
      <c r="B735">
        <v>153.51</v>
      </c>
      <c r="C735">
        <f>ROUNDDOWN(6.97772727272727,0)</f>
        <v>6</v>
      </c>
      <c r="D735">
        <v>0.63</v>
      </c>
      <c r="F735">
        <v>-0.85</v>
      </c>
      <c r="G735">
        <v>-0.71</v>
      </c>
      <c r="H735">
        <v>0.54</v>
      </c>
      <c r="I735">
        <v>57.24</v>
      </c>
      <c r="J735">
        <v>3.68</v>
      </c>
      <c r="K735">
        <v>0.77</v>
      </c>
      <c r="L735">
        <v>0</v>
      </c>
      <c r="M735">
        <v>54.53</v>
      </c>
      <c r="O735">
        <v>29.19</v>
      </c>
      <c r="P735">
        <v>9.5500000000000007</v>
      </c>
      <c r="Q735">
        <v>0</v>
      </c>
      <c r="R735">
        <v>0</v>
      </c>
    </row>
    <row r="736" spans="1:18" x14ac:dyDescent="0.25">
      <c r="A736">
        <v>140</v>
      </c>
      <c r="B736">
        <v>153.72</v>
      </c>
      <c r="C736">
        <f>ROUNDDOWN(6.98727272727273,0)</f>
        <v>6</v>
      </c>
      <c r="D736">
        <v>0.2</v>
      </c>
      <c r="F736">
        <v>-0.83</v>
      </c>
      <c r="G736">
        <v>-0.73</v>
      </c>
      <c r="H736">
        <v>0.53</v>
      </c>
      <c r="I736">
        <v>56.97</v>
      </c>
      <c r="J736">
        <v>3.74</v>
      </c>
      <c r="K736">
        <v>0.88</v>
      </c>
      <c r="L736">
        <v>-0.15</v>
      </c>
      <c r="M736">
        <v>54.53</v>
      </c>
      <c r="O736">
        <v>29.21</v>
      </c>
      <c r="P736">
        <v>9.56</v>
      </c>
      <c r="Q736">
        <v>0</v>
      </c>
      <c r="R736">
        <v>0</v>
      </c>
    </row>
    <row r="737" spans="1:18" x14ac:dyDescent="0.25">
      <c r="A737">
        <v>140</v>
      </c>
      <c r="B737">
        <v>153.93</v>
      </c>
      <c r="C737">
        <f>ROUNDDOWN(6.99681818181818,0)</f>
        <v>6</v>
      </c>
      <c r="D737">
        <v>-0.32</v>
      </c>
      <c r="F737">
        <v>-0.81</v>
      </c>
      <c r="G737">
        <v>-0.76</v>
      </c>
      <c r="H737">
        <v>0.56999999999999995</v>
      </c>
      <c r="I737">
        <v>56.77</v>
      </c>
      <c r="J737">
        <v>3.79</v>
      </c>
      <c r="K737">
        <v>1</v>
      </c>
      <c r="L737">
        <v>-0.21</v>
      </c>
      <c r="M737">
        <v>54.53</v>
      </c>
      <c r="O737">
        <v>29.24</v>
      </c>
      <c r="P737">
        <v>9.57</v>
      </c>
      <c r="Q737">
        <v>0</v>
      </c>
      <c r="R737">
        <v>0</v>
      </c>
    </row>
    <row r="738" spans="1:18" x14ac:dyDescent="0.25">
      <c r="A738">
        <v>140</v>
      </c>
      <c r="B738">
        <v>154.13999999999999</v>
      </c>
      <c r="C738">
        <f>ROUNDDOWN(7.00636363636364,0)</f>
        <v>7</v>
      </c>
      <c r="D738">
        <v>-0.71</v>
      </c>
      <c r="F738">
        <v>-0.79</v>
      </c>
      <c r="G738">
        <v>-0.78</v>
      </c>
      <c r="H738">
        <v>0.65</v>
      </c>
      <c r="I738">
        <v>56.61</v>
      </c>
      <c r="J738">
        <v>3.82</v>
      </c>
      <c r="K738">
        <v>1.1200000000000001</v>
      </c>
      <c r="L738">
        <v>-0.21</v>
      </c>
      <c r="M738">
        <v>54.53</v>
      </c>
      <c r="O738">
        <v>29.27</v>
      </c>
      <c r="P738">
        <v>9.57</v>
      </c>
      <c r="Q738">
        <v>0</v>
      </c>
      <c r="R738">
        <v>0</v>
      </c>
    </row>
    <row r="739" spans="1:18" x14ac:dyDescent="0.25">
      <c r="A739">
        <v>140</v>
      </c>
      <c r="B739">
        <v>154.35</v>
      </c>
      <c r="C739">
        <f>ROUNDDOWN(7.01590909090909,0)</f>
        <v>7</v>
      </c>
      <c r="D739">
        <v>-1.01</v>
      </c>
      <c r="F739">
        <v>-0.78</v>
      </c>
      <c r="G739">
        <v>-0.81</v>
      </c>
      <c r="H739">
        <v>0.75</v>
      </c>
      <c r="I739">
        <v>56.38</v>
      </c>
      <c r="J739">
        <v>3.85</v>
      </c>
      <c r="K739">
        <v>1.28</v>
      </c>
      <c r="L739">
        <v>-0.21</v>
      </c>
      <c r="M739">
        <v>54.53</v>
      </c>
      <c r="O739">
        <v>29.29</v>
      </c>
      <c r="P739">
        <v>9.58</v>
      </c>
      <c r="Q739">
        <v>0</v>
      </c>
      <c r="R739">
        <v>0</v>
      </c>
    </row>
    <row r="740" spans="1:18" x14ac:dyDescent="0.25">
      <c r="A740">
        <v>140</v>
      </c>
      <c r="B740">
        <v>154.56</v>
      </c>
      <c r="C740">
        <f>ROUNDDOWN(7.02545454545455,0)</f>
        <v>7</v>
      </c>
      <c r="D740">
        <v>-1.36</v>
      </c>
      <c r="F740">
        <v>-0.76</v>
      </c>
      <c r="G740">
        <v>-0.84</v>
      </c>
      <c r="H740">
        <v>0.82</v>
      </c>
      <c r="I740">
        <v>56.12</v>
      </c>
      <c r="J740">
        <v>3.85</v>
      </c>
      <c r="K740">
        <v>1.41</v>
      </c>
      <c r="L740">
        <v>-0.26</v>
      </c>
      <c r="M740">
        <v>54.53</v>
      </c>
      <c r="O740">
        <v>29.32</v>
      </c>
      <c r="P740">
        <v>9.59</v>
      </c>
      <c r="Q740">
        <v>0</v>
      </c>
      <c r="R740">
        <v>0</v>
      </c>
    </row>
    <row r="741" spans="1:18" x14ac:dyDescent="0.25">
      <c r="A741">
        <v>140</v>
      </c>
      <c r="B741">
        <v>154.76999999999998</v>
      </c>
      <c r="C741">
        <f>ROUNDDOWN(7.035,0)</f>
        <v>7</v>
      </c>
      <c r="D741">
        <v>-1.64</v>
      </c>
      <c r="F741">
        <v>-0.76</v>
      </c>
      <c r="G741">
        <v>-0.88</v>
      </c>
      <c r="H741">
        <v>0.84</v>
      </c>
      <c r="I741">
        <v>55.98</v>
      </c>
      <c r="J741">
        <v>3.84</v>
      </c>
      <c r="K741">
        <v>1.44</v>
      </c>
      <c r="L741">
        <v>-0.28000000000000003</v>
      </c>
      <c r="M741">
        <v>54.53</v>
      </c>
      <c r="O741">
        <v>29.35</v>
      </c>
      <c r="P741">
        <v>9.6</v>
      </c>
      <c r="Q741">
        <v>0</v>
      </c>
      <c r="R741">
        <v>0</v>
      </c>
    </row>
    <row r="742" spans="1:18" x14ac:dyDescent="0.25">
      <c r="A742">
        <v>140</v>
      </c>
      <c r="B742">
        <v>154.97999999999999</v>
      </c>
      <c r="C742">
        <f>ROUNDDOWN(7.04454545454545,0)</f>
        <v>7</v>
      </c>
      <c r="D742">
        <v>-1.72</v>
      </c>
      <c r="F742">
        <v>-0.76</v>
      </c>
      <c r="G742">
        <v>-0.93</v>
      </c>
      <c r="H742">
        <v>0.9</v>
      </c>
      <c r="I742">
        <v>56</v>
      </c>
      <c r="J742">
        <v>3.8</v>
      </c>
      <c r="K742">
        <v>1.41</v>
      </c>
      <c r="L742">
        <v>-0.18</v>
      </c>
      <c r="M742">
        <v>54.53</v>
      </c>
      <c r="O742">
        <v>29.37</v>
      </c>
      <c r="P742">
        <v>9.61</v>
      </c>
      <c r="Q742">
        <v>0</v>
      </c>
      <c r="R742">
        <v>0</v>
      </c>
    </row>
    <row r="743" spans="1:18" x14ac:dyDescent="0.25">
      <c r="A743">
        <v>140</v>
      </c>
      <c r="B743">
        <v>155.19</v>
      </c>
      <c r="C743">
        <f>ROUNDDOWN(7.05409090909091,0)</f>
        <v>7</v>
      </c>
      <c r="D743">
        <v>-1.55</v>
      </c>
      <c r="F743">
        <v>-0.75</v>
      </c>
      <c r="G743">
        <v>-0.96</v>
      </c>
      <c r="H743">
        <v>0.96</v>
      </c>
      <c r="I743">
        <v>56.17</v>
      </c>
      <c r="J743">
        <v>3.73</v>
      </c>
      <c r="K743">
        <v>1.3</v>
      </c>
      <c r="L743">
        <v>-0.02</v>
      </c>
      <c r="M743">
        <v>54.53</v>
      </c>
      <c r="O743">
        <v>29.4</v>
      </c>
      <c r="P743">
        <v>9.61</v>
      </c>
      <c r="Q743">
        <v>0</v>
      </c>
      <c r="R743">
        <v>0</v>
      </c>
    </row>
    <row r="744" spans="1:18" x14ac:dyDescent="0.25">
      <c r="A744">
        <v>140</v>
      </c>
      <c r="B744">
        <v>155.4</v>
      </c>
      <c r="C744">
        <f>ROUNDDOWN(7.06363636363636,0)</f>
        <v>7</v>
      </c>
      <c r="D744">
        <v>-1.34</v>
      </c>
      <c r="F744">
        <v>-0.73</v>
      </c>
      <c r="G744">
        <v>-0.99</v>
      </c>
      <c r="H744">
        <v>0.96</v>
      </c>
      <c r="I744">
        <v>56.38</v>
      </c>
      <c r="J744">
        <v>3.64</v>
      </c>
      <c r="K744">
        <v>1.1399999999999999</v>
      </c>
      <c r="L744">
        <v>0.09</v>
      </c>
      <c r="M744">
        <v>54.53</v>
      </c>
      <c r="O744">
        <v>29.42</v>
      </c>
      <c r="P744">
        <v>9.6199999999999992</v>
      </c>
      <c r="Q744">
        <v>0</v>
      </c>
      <c r="R744">
        <v>0</v>
      </c>
    </row>
    <row r="745" spans="1:18" x14ac:dyDescent="0.25">
      <c r="A745">
        <v>140</v>
      </c>
      <c r="B745">
        <v>155.60999999999999</v>
      </c>
      <c r="C745">
        <f>ROUNDDOWN(7.07318181818182,0)</f>
        <v>7</v>
      </c>
      <c r="D745">
        <v>-1.0900000000000001</v>
      </c>
      <c r="F745">
        <v>-0.75</v>
      </c>
      <c r="G745">
        <v>-1.06</v>
      </c>
      <c r="H745">
        <v>0.95</v>
      </c>
      <c r="I745">
        <v>56.63</v>
      </c>
      <c r="J745">
        <v>3.52</v>
      </c>
      <c r="K745">
        <v>0.95</v>
      </c>
      <c r="L745">
        <v>0.2</v>
      </c>
      <c r="M745">
        <v>54.53</v>
      </c>
      <c r="O745">
        <v>29.45</v>
      </c>
      <c r="P745">
        <v>9.6300000000000008</v>
      </c>
      <c r="Q745">
        <v>0</v>
      </c>
      <c r="R745">
        <v>0</v>
      </c>
    </row>
    <row r="746" spans="1:18" x14ac:dyDescent="0.25">
      <c r="A746">
        <v>140</v>
      </c>
      <c r="B746">
        <v>155.82</v>
      </c>
      <c r="C746">
        <f>ROUNDDOWN(7.08272727272727,0)</f>
        <v>7</v>
      </c>
      <c r="D746">
        <v>-0.84</v>
      </c>
      <c r="F746">
        <v>-0.81</v>
      </c>
      <c r="G746">
        <v>-1.17</v>
      </c>
      <c r="H746">
        <v>0.95</v>
      </c>
      <c r="I746">
        <v>56.85</v>
      </c>
      <c r="J746">
        <v>3.38</v>
      </c>
      <c r="K746">
        <v>0.8</v>
      </c>
      <c r="L746">
        <v>0.3</v>
      </c>
      <c r="M746">
        <v>54.53</v>
      </c>
      <c r="O746">
        <v>29.48</v>
      </c>
      <c r="P746">
        <v>9.64</v>
      </c>
      <c r="Q746">
        <v>0</v>
      </c>
      <c r="R746">
        <v>0</v>
      </c>
    </row>
    <row r="747" spans="1:18" x14ac:dyDescent="0.25">
      <c r="A747">
        <v>140</v>
      </c>
      <c r="B747">
        <v>156.03</v>
      </c>
      <c r="C747">
        <f>ROUNDDOWN(7.09227272727273,0)</f>
        <v>7</v>
      </c>
      <c r="D747">
        <v>-0.74</v>
      </c>
      <c r="F747">
        <v>-0.84</v>
      </c>
      <c r="G747">
        <v>-1.25</v>
      </c>
      <c r="H747">
        <v>0.91</v>
      </c>
      <c r="I747">
        <v>56.93</v>
      </c>
      <c r="J747">
        <v>3.22</v>
      </c>
      <c r="K747">
        <v>0.69</v>
      </c>
      <c r="L747">
        <v>0.28000000000000003</v>
      </c>
      <c r="M747">
        <v>54.53</v>
      </c>
      <c r="O747">
        <v>29.5</v>
      </c>
      <c r="P747">
        <v>9.66</v>
      </c>
      <c r="Q747">
        <v>0</v>
      </c>
      <c r="R747">
        <v>0</v>
      </c>
    </row>
    <row r="748" spans="1:18" x14ac:dyDescent="0.25">
      <c r="A748">
        <v>140</v>
      </c>
      <c r="B748">
        <v>156.23999999999998</v>
      </c>
      <c r="C748">
        <f>ROUNDDOWN(7.10181818181818,0)</f>
        <v>7</v>
      </c>
      <c r="D748">
        <v>-0.72</v>
      </c>
      <c r="F748">
        <v>-0.82</v>
      </c>
      <c r="G748">
        <v>-1.29</v>
      </c>
      <c r="H748">
        <v>0.78</v>
      </c>
      <c r="I748">
        <v>56.9</v>
      </c>
      <c r="J748">
        <v>3.04</v>
      </c>
      <c r="K748">
        <v>0.54</v>
      </c>
      <c r="L748">
        <v>0.12</v>
      </c>
      <c r="M748">
        <v>54.53</v>
      </c>
      <c r="O748">
        <v>29.53</v>
      </c>
      <c r="P748">
        <v>9.67</v>
      </c>
      <c r="Q748">
        <v>0</v>
      </c>
      <c r="R748">
        <v>0</v>
      </c>
    </row>
    <row r="749" spans="1:18" x14ac:dyDescent="0.25">
      <c r="A749">
        <v>140</v>
      </c>
      <c r="B749">
        <v>156.44999999999999</v>
      </c>
      <c r="C749">
        <f>ROUNDDOWN(7.11136363636364,0)</f>
        <v>7</v>
      </c>
      <c r="D749">
        <v>-0.52</v>
      </c>
      <c r="F749">
        <v>-0.75</v>
      </c>
      <c r="G749">
        <v>-1.28</v>
      </c>
      <c r="H749">
        <v>0.67</v>
      </c>
      <c r="I749">
        <v>56.98</v>
      </c>
      <c r="J749">
        <v>2.87</v>
      </c>
      <c r="K749">
        <v>0.38</v>
      </c>
      <c r="L749">
        <v>0.04</v>
      </c>
      <c r="M749">
        <v>54.53</v>
      </c>
      <c r="O749">
        <v>29.56</v>
      </c>
      <c r="P749">
        <v>9.68</v>
      </c>
      <c r="Q749">
        <v>0</v>
      </c>
      <c r="R749">
        <v>0</v>
      </c>
    </row>
    <row r="750" spans="1:18" x14ac:dyDescent="0.25">
      <c r="A750">
        <v>140</v>
      </c>
      <c r="B750">
        <v>156.66</v>
      </c>
      <c r="C750">
        <f>ROUNDDOWN(7.12090909090909,0)</f>
        <v>7</v>
      </c>
      <c r="D750">
        <v>0</v>
      </c>
      <c r="F750">
        <v>-0.63</v>
      </c>
      <c r="G750">
        <v>-1.21</v>
      </c>
      <c r="H750">
        <v>0.62</v>
      </c>
      <c r="I750">
        <v>57.24</v>
      </c>
      <c r="J750">
        <v>2.7</v>
      </c>
      <c r="K750">
        <v>0.18</v>
      </c>
      <c r="L750">
        <v>0.1</v>
      </c>
      <c r="M750">
        <v>54.53</v>
      </c>
      <c r="O750">
        <v>29.58</v>
      </c>
      <c r="P750">
        <v>9.68</v>
      </c>
      <c r="Q750">
        <v>0</v>
      </c>
      <c r="R750">
        <v>0</v>
      </c>
    </row>
    <row r="751" spans="1:18" x14ac:dyDescent="0.25">
      <c r="A751">
        <v>140</v>
      </c>
      <c r="B751">
        <v>156.87</v>
      </c>
      <c r="C751">
        <f>ROUNDDOWN(7.13045454545455,0)</f>
        <v>7</v>
      </c>
      <c r="D751">
        <v>0.56000000000000005</v>
      </c>
      <c r="F751">
        <v>-0.49</v>
      </c>
      <c r="G751">
        <v>-1.1000000000000001</v>
      </c>
      <c r="H751">
        <v>0.56999999999999995</v>
      </c>
      <c r="I751">
        <v>57.53</v>
      </c>
      <c r="J751">
        <v>2.5499999999999998</v>
      </c>
      <c r="K751">
        <v>0</v>
      </c>
      <c r="L751">
        <v>0.18</v>
      </c>
      <c r="M751">
        <v>54.53</v>
      </c>
      <c r="O751">
        <v>29.61</v>
      </c>
      <c r="P751">
        <v>9.69</v>
      </c>
      <c r="Q751">
        <v>0</v>
      </c>
      <c r="R751">
        <v>0</v>
      </c>
    </row>
    <row r="752" spans="1:18" x14ac:dyDescent="0.25">
      <c r="A752">
        <v>140</v>
      </c>
      <c r="B752">
        <v>157.07999999999998</v>
      </c>
      <c r="C752">
        <f>ROUNDDOWN(7.14,0)</f>
        <v>7</v>
      </c>
      <c r="D752">
        <v>1.07</v>
      </c>
      <c r="F752">
        <v>-0.35</v>
      </c>
      <c r="G752">
        <v>-1.01</v>
      </c>
      <c r="H752">
        <v>0.49</v>
      </c>
      <c r="I752">
        <v>57.84</v>
      </c>
      <c r="J752">
        <v>2.44</v>
      </c>
      <c r="K752">
        <v>-0.22</v>
      </c>
      <c r="L752">
        <v>0.23</v>
      </c>
      <c r="M752">
        <v>54.54</v>
      </c>
      <c r="O752">
        <v>29.63</v>
      </c>
      <c r="P752">
        <v>9.6999999999999993</v>
      </c>
      <c r="Q752">
        <v>0</v>
      </c>
      <c r="R752">
        <v>0</v>
      </c>
    </row>
    <row r="753" spans="1:18" x14ac:dyDescent="0.25">
      <c r="A753">
        <v>140</v>
      </c>
      <c r="B753">
        <v>157.29</v>
      </c>
      <c r="C753">
        <f>ROUNDDOWN(7.14954545454545,0)</f>
        <v>7</v>
      </c>
      <c r="D753">
        <v>1.52</v>
      </c>
      <c r="F753">
        <v>-0.3</v>
      </c>
      <c r="G753">
        <v>-0.99</v>
      </c>
      <c r="H753">
        <v>0.43</v>
      </c>
      <c r="I753">
        <v>58.13</v>
      </c>
      <c r="J753">
        <v>2.36</v>
      </c>
      <c r="K753">
        <v>-0.38</v>
      </c>
      <c r="L753">
        <v>0.27</v>
      </c>
      <c r="M753">
        <v>54.54</v>
      </c>
      <c r="O753">
        <v>29.66</v>
      </c>
      <c r="P753">
        <v>9.7100000000000009</v>
      </c>
      <c r="Q753">
        <v>0</v>
      </c>
      <c r="R753">
        <v>0</v>
      </c>
    </row>
    <row r="754" spans="1:18" x14ac:dyDescent="0.25">
      <c r="A754">
        <v>140</v>
      </c>
      <c r="B754">
        <v>157.5</v>
      </c>
      <c r="C754">
        <f>ROUNDDOWN(7.15909090909091,0)</f>
        <v>7</v>
      </c>
      <c r="D754">
        <v>2.08</v>
      </c>
      <c r="F754">
        <v>-0.27</v>
      </c>
      <c r="G754">
        <v>-0.99</v>
      </c>
      <c r="H754">
        <v>0.34</v>
      </c>
      <c r="I754">
        <v>58.46</v>
      </c>
      <c r="J754">
        <v>2.31</v>
      </c>
      <c r="K754">
        <v>-0.57999999999999996</v>
      </c>
      <c r="L754">
        <v>0.31</v>
      </c>
      <c r="M754">
        <v>54.54</v>
      </c>
      <c r="O754">
        <v>29.69</v>
      </c>
      <c r="P754">
        <v>9.7200000000000006</v>
      </c>
      <c r="Q754">
        <v>0</v>
      </c>
      <c r="R754">
        <v>0</v>
      </c>
    </row>
    <row r="755" spans="1:18" x14ac:dyDescent="0.25">
      <c r="A755">
        <v>140</v>
      </c>
      <c r="B755">
        <v>157.71</v>
      </c>
      <c r="C755">
        <f>ROUNDDOWN(7.16863636363636,0)</f>
        <v>7</v>
      </c>
      <c r="D755">
        <v>2.67</v>
      </c>
      <c r="F755">
        <v>-0.27</v>
      </c>
      <c r="G755">
        <v>-1.03</v>
      </c>
      <c r="H755">
        <v>0.18</v>
      </c>
      <c r="I755">
        <v>58.79</v>
      </c>
      <c r="J755">
        <v>2.29</v>
      </c>
      <c r="K755">
        <v>-0.84</v>
      </c>
      <c r="L755">
        <v>0.26</v>
      </c>
      <c r="M755">
        <v>54.54</v>
      </c>
      <c r="O755">
        <v>29.71</v>
      </c>
      <c r="P755">
        <v>9.73</v>
      </c>
      <c r="Q755">
        <v>0</v>
      </c>
      <c r="R755">
        <v>0</v>
      </c>
    </row>
    <row r="756" spans="1:18" x14ac:dyDescent="0.25">
      <c r="A756">
        <v>140</v>
      </c>
      <c r="B756">
        <v>157.91999999999999</v>
      </c>
      <c r="C756">
        <f>ROUNDDOWN(7.17818181818182,0)</f>
        <v>7</v>
      </c>
      <c r="D756">
        <v>3.14</v>
      </c>
      <c r="F756">
        <v>-0.25</v>
      </c>
      <c r="G756">
        <v>-1.04</v>
      </c>
      <c r="H756">
        <v>-0.04</v>
      </c>
      <c r="I756">
        <v>59.12</v>
      </c>
      <c r="J756">
        <v>2.2999999999999998</v>
      </c>
      <c r="K756">
        <v>-1.1299999999999999</v>
      </c>
      <c r="L756">
        <v>0.15</v>
      </c>
      <c r="M756">
        <v>54.54</v>
      </c>
      <c r="O756">
        <v>29.74</v>
      </c>
      <c r="P756">
        <v>9.74</v>
      </c>
      <c r="Q756">
        <v>0</v>
      </c>
      <c r="R756">
        <v>0</v>
      </c>
    </row>
    <row r="757" spans="1:18" x14ac:dyDescent="0.25">
      <c r="A757">
        <v>140</v>
      </c>
      <c r="B757">
        <v>158.13</v>
      </c>
      <c r="C757">
        <f>ROUNDDOWN(7.18772727272727,0)</f>
        <v>7</v>
      </c>
      <c r="D757">
        <v>3.45</v>
      </c>
      <c r="F757">
        <v>-0.25</v>
      </c>
      <c r="G757">
        <v>-1.08</v>
      </c>
      <c r="H757">
        <v>-0.27</v>
      </c>
      <c r="I757">
        <v>59.45</v>
      </c>
      <c r="J757">
        <v>2.34</v>
      </c>
      <c r="K757">
        <v>-1.42</v>
      </c>
      <c r="L757">
        <v>0.03</v>
      </c>
      <c r="M757">
        <v>54.54</v>
      </c>
      <c r="O757">
        <v>29.76</v>
      </c>
      <c r="P757">
        <v>9.75</v>
      </c>
      <c r="Q757">
        <v>0</v>
      </c>
      <c r="R757">
        <v>0</v>
      </c>
    </row>
    <row r="758" spans="1:18" x14ac:dyDescent="0.25">
      <c r="A758">
        <v>140</v>
      </c>
      <c r="B758">
        <v>158.34</v>
      </c>
      <c r="C758">
        <f>ROUNDDOWN(7.19727272727273,0)</f>
        <v>7</v>
      </c>
      <c r="D758">
        <v>3.56</v>
      </c>
      <c r="F758">
        <v>-0.26</v>
      </c>
      <c r="G758">
        <v>-1.1200000000000001</v>
      </c>
      <c r="H758">
        <v>-0.45</v>
      </c>
      <c r="I758">
        <v>59.74</v>
      </c>
      <c r="J758">
        <v>2.39</v>
      </c>
      <c r="K758">
        <v>-1.61</v>
      </c>
      <c r="L758">
        <v>-7.0000000000000007E-2</v>
      </c>
      <c r="M758">
        <v>54.54</v>
      </c>
      <c r="O758">
        <v>29.79</v>
      </c>
      <c r="P758">
        <v>9.76</v>
      </c>
      <c r="Q758">
        <v>0</v>
      </c>
      <c r="R758">
        <v>0</v>
      </c>
    </row>
    <row r="759" spans="1:18" x14ac:dyDescent="0.25">
      <c r="A759">
        <v>140</v>
      </c>
      <c r="B759">
        <v>158.54999999999998</v>
      </c>
      <c r="C759">
        <f>ROUNDDOWN(7.20681818181818,0)</f>
        <v>7</v>
      </c>
      <c r="D759">
        <v>3.59</v>
      </c>
      <c r="F759">
        <v>-0.25</v>
      </c>
      <c r="G759">
        <v>-1.1499999999999999</v>
      </c>
      <c r="H759">
        <v>-0.73</v>
      </c>
      <c r="I759">
        <v>59.96</v>
      </c>
      <c r="J759">
        <v>2.4500000000000002</v>
      </c>
      <c r="K759">
        <v>-1.85</v>
      </c>
      <c r="L759">
        <v>-0.28999999999999998</v>
      </c>
      <c r="M759">
        <v>54.54</v>
      </c>
      <c r="O759">
        <v>29.81</v>
      </c>
      <c r="P759">
        <v>9.77</v>
      </c>
      <c r="Q759">
        <v>0</v>
      </c>
      <c r="R759">
        <v>0</v>
      </c>
    </row>
    <row r="760" spans="1:18" x14ac:dyDescent="0.25">
      <c r="A760">
        <v>140</v>
      </c>
      <c r="B760">
        <v>158.76</v>
      </c>
      <c r="C760">
        <f>ROUNDDOWN(7.21636363636364,0)</f>
        <v>7</v>
      </c>
      <c r="D760">
        <v>3.54</v>
      </c>
      <c r="F760">
        <v>-0.23</v>
      </c>
      <c r="G760">
        <v>-1.1599999999999999</v>
      </c>
      <c r="H760">
        <v>-1.02</v>
      </c>
      <c r="I760">
        <v>60.16</v>
      </c>
      <c r="J760">
        <v>2.52</v>
      </c>
      <c r="K760">
        <v>-2.08</v>
      </c>
      <c r="L760">
        <v>-0.52</v>
      </c>
      <c r="M760">
        <v>54.54</v>
      </c>
      <c r="O760">
        <v>29.84</v>
      </c>
      <c r="P760">
        <v>9.7799999999999994</v>
      </c>
      <c r="Q760">
        <v>0</v>
      </c>
      <c r="R760">
        <v>0</v>
      </c>
    </row>
    <row r="761" spans="1:18" x14ac:dyDescent="0.25">
      <c r="A761">
        <v>140</v>
      </c>
      <c r="B761">
        <v>158.97</v>
      </c>
      <c r="C761">
        <f>ROUNDDOWN(7.22590909090909,0)</f>
        <v>7</v>
      </c>
      <c r="D761">
        <v>3.57</v>
      </c>
      <c r="F761">
        <v>-0.15</v>
      </c>
      <c r="G761">
        <v>-1.1100000000000001</v>
      </c>
      <c r="H761">
        <v>-1.3</v>
      </c>
      <c r="I761">
        <v>60.43</v>
      </c>
      <c r="J761">
        <v>2.6</v>
      </c>
      <c r="K761">
        <v>-2.3199999999999998</v>
      </c>
      <c r="L761">
        <v>-0.71</v>
      </c>
      <c r="M761">
        <v>54.54</v>
      </c>
      <c r="O761">
        <v>29.87</v>
      </c>
      <c r="P761">
        <v>9.7899999999999991</v>
      </c>
      <c r="Q761">
        <v>0</v>
      </c>
      <c r="R761">
        <v>0</v>
      </c>
    </row>
    <row r="762" spans="1:18" x14ac:dyDescent="0.25">
      <c r="A762">
        <v>140</v>
      </c>
      <c r="B762">
        <v>159.18</v>
      </c>
      <c r="C762">
        <f>ROUNDDOWN(7.23545454545455,0)</f>
        <v>7</v>
      </c>
      <c r="D762">
        <v>3.71</v>
      </c>
      <c r="F762">
        <v>-0.03</v>
      </c>
      <c r="G762">
        <v>-1.01</v>
      </c>
      <c r="H762">
        <v>-1.49</v>
      </c>
      <c r="I762">
        <v>60.64</v>
      </c>
      <c r="J762">
        <v>2.69</v>
      </c>
      <c r="K762">
        <v>-2.42</v>
      </c>
      <c r="L762">
        <v>-0.83</v>
      </c>
      <c r="M762">
        <v>54.54</v>
      </c>
      <c r="O762">
        <v>29.89</v>
      </c>
      <c r="P762">
        <v>9.8000000000000007</v>
      </c>
      <c r="Q762">
        <v>0</v>
      </c>
      <c r="R762">
        <v>0</v>
      </c>
    </row>
    <row r="763" spans="1:18" x14ac:dyDescent="0.25">
      <c r="A763">
        <v>140</v>
      </c>
      <c r="B763">
        <v>159.38999999999999</v>
      </c>
      <c r="C763">
        <f>ROUNDDOWN(7.245,0)</f>
        <v>7</v>
      </c>
      <c r="D763">
        <v>3.79</v>
      </c>
      <c r="F763">
        <v>0.12</v>
      </c>
      <c r="G763">
        <v>-0.88</v>
      </c>
      <c r="H763">
        <v>-1.66</v>
      </c>
      <c r="I763">
        <v>60.69</v>
      </c>
      <c r="J763">
        <v>2.79</v>
      </c>
      <c r="K763">
        <v>-2.42</v>
      </c>
      <c r="L763">
        <v>-1</v>
      </c>
      <c r="M763">
        <v>54.54</v>
      </c>
      <c r="O763">
        <v>29.92</v>
      </c>
      <c r="P763">
        <v>9.81</v>
      </c>
      <c r="Q763">
        <v>0</v>
      </c>
      <c r="R763">
        <v>0</v>
      </c>
    </row>
    <row r="764" spans="1:18" x14ac:dyDescent="0.25">
      <c r="A764">
        <v>140</v>
      </c>
      <c r="B764">
        <v>159.6</v>
      </c>
      <c r="C764">
        <f>ROUNDDOWN(7.25454545454545,0)</f>
        <v>7</v>
      </c>
      <c r="D764">
        <v>3.66</v>
      </c>
      <c r="F764">
        <v>0.25</v>
      </c>
      <c r="G764">
        <v>-0.77</v>
      </c>
      <c r="H764">
        <v>-1.85</v>
      </c>
      <c r="I764">
        <v>60.64</v>
      </c>
      <c r="J764">
        <v>2.91</v>
      </c>
      <c r="K764">
        <v>-2.38</v>
      </c>
      <c r="L764">
        <v>-1.23</v>
      </c>
      <c r="M764">
        <v>54.54</v>
      </c>
      <c r="O764">
        <v>29.94</v>
      </c>
      <c r="P764">
        <v>9.82</v>
      </c>
      <c r="Q764">
        <v>0</v>
      </c>
      <c r="R764">
        <v>0</v>
      </c>
    </row>
    <row r="765" spans="1:18" x14ac:dyDescent="0.25">
      <c r="A765">
        <v>140</v>
      </c>
      <c r="B765">
        <v>159.81</v>
      </c>
      <c r="C765">
        <f>ROUNDDOWN(7.26409090909091,0)</f>
        <v>7</v>
      </c>
      <c r="D765">
        <v>3.38</v>
      </c>
      <c r="F765">
        <v>0.38</v>
      </c>
      <c r="G765">
        <v>-0.65</v>
      </c>
      <c r="H765">
        <v>-1.99</v>
      </c>
      <c r="I765">
        <v>60.62</v>
      </c>
      <c r="J765">
        <v>3.05</v>
      </c>
      <c r="K765">
        <v>-2.31</v>
      </c>
      <c r="L765">
        <v>-1.38</v>
      </c>
      <c r="M765">
        <v>54.54</v>
      </c>
      <c r="O765">
        <v>29.97</v>
      </c>
      <c r="P765">
        <v>9.83</v>
      </c>
      <c r="Q765">
        <v>0</v>
      </c>
      <c r="R765">
        <v>0</v>
      </c>
    </row>
    <row r="766" spans="1:18" x14ac:dyDescent="0.25">
      <c r="A766">
        <v>140</v>
      </c>
      <c r="B766">
        <v>160.01999999999998</v>
      </c>
      <c r="C766">
        <f>ROUNDDOWN(7.27363636363636,0)</f>
        <v>7</v>
      </c>
      <c r="D766">
        <v>3.19</v>
      </c>
      <c r="F766">
        <v>0.52</v>
      </c>
      <c r="G766">
        <v>-0.51</v>
      </c>
      <c r="H766">
        <v>-2.13</v>
      </c>
      <c r="I766">
        <v>60.72</v>
      </c>
      <c r="J766">
        <v>3.2</v>
      </c>
      <c r="K766">
        <v>-2.2999999999999998</v>
      </c>
      <c r="L766">
        <v>-1.46</v>
      </c>
      <c r="M766">
        <v>54.54</v>
      </c>
      <c r="O766">
        <v>29.99</v>
      </c>
      <c r="P766">
        <v>9.84</v>
      </c>
      <c r="Q766">
        <v>0</v>
      </c>
      <c r="R766">
        <v>0</v>
      </c>
    </row>
    <row r="767" spans="1:18" x14ac:dyDescent="0.25">
      <c r="A767">
        <v>140</v>
      </c>
      <c r="B767">
        <v>160.22999999999999</v>
      </c>
      <c r="C767">
        <f>ROUNDDOWN(7.28318181818182,0)</f>
        <v>7</v>
      </c>
      <c r="D767">
        <v>3.08</v>
      </c>
      <c r="F767">
        <v>0.68</v>
      </c>
      <c r="G767">
        <v>-0.34</v>
      </c>
      <c r="H767">
        <v>-2.2799999999999998</v>
      </c>
      <c r="I767">
        <v>60.92</v>
      </c>
      <c r="J767">
        <v>3.37</v>
      </c>
      <c r="K767">
        <v>-2.36</v>
      </c>
      <c r="L767">
        <v>-1.5</v>
      </c>
      <c r="M767">
        <v>54.54</v>
      </c>
      <c r="O767">
        <v>30.02</v>
      </c>
      <c r="P767">
        <v>9.85</v>
      </c>
      <c r="Q767">
        <v>0</v>
      </c>
      <c r="R767">
        <v>0</v>
      </c>
    </row>
    <row r="768" spans="1:18" x14ac:dyDescent="0.25">
      <c r="A768">
        <v>140</v>
      </c>
      <c r="B768">
        <v>160.44</v>
      </c>
      <c r="C768">
        <f>ROUNDDOWN(7.29272727272727,0)</f>
        <v>7</v>
      </c>
      <c r="D768">
        <v>3.07</v>
      </c>
      <c r="F768">
        <v>0.78</v>
      </c>
      <c r="G768">
        <v>-0.22</v>
      </c>
      <c r="H768">
        <v>-2.4500000000000002</v>
      </c>
      <c r="I768">
        <v>61.19</v>
      </c>
      <c r="J768">
        <v>3.56</v>
      </c>
      <c r="K768">
        <v>-2.4500000000000002</v>
      </c>
      <c r="L768">
        <v>-1.53</v>
      </c>
      <c r="M768">
        <v>54.54</v>
      </c>
      <c r="O768">
        <v>30.05</v>
      </c>
      <c r="P768">
        <v>9.86</v>
      </c>
      <c r="Q768">
        <v>0</v>
      </c>
      <c r="R768">
        <v>0</v>
      </c>
    </row>
    <row r="769" spans="1:18" x14ac:dyDescent="0.25">
      <c r="A769">
        <v>140</v>
      </c>
      <c r="B769">
        <v>160.65</v>
      </c>
      <c r="C769">
        <f>ROUNDDOWN(7.30227272727273,0)</f>
        <v>7</v>
      </c>
      <c r="D769">
        <v>3.17</v>
      </c>
      <c r="F769">
        <v>0.83</v>
      </c>
      <c r="G769">
        <v>-0.15</v>
      </c>
      <c r="H769">
        <v>-2.5499999999999998</v>
      </c>
      <c r="I769">
        <v>61.63</v>
      </c>
      <c r="J769">
        <v>3.76</v>
      </c>
      <c r="K769">
        <v>-2.5499999999999998</v>
      </c>
      <c r="L769">
        <v>-1.4</v>
      </c>
      <c r="M769">
        <v>54.54</v>
      </c>
      <c r="O769">
        <v>30.07</v>
      </c>
      <c r="P769">
        <v>9.8699999999999992</v>
      </c>
      <c r="Q769">
        <v>0</v>
      </c>
      <c r="R769">
        <v>0</v>
      </c>
    </row>
    <row r="770" spans="1:18" x14ac:dyDescent="0.25">
      <c r="A770">
        <v>140</v>
      </c>
      <c r="B770">
        <v>160.85999999999999</v>
      </c>
      <c r="C770">
        <f>ROUNDDOWN(7.31181818181818,0)</f>
        <v>7</v>
      </c>
      <c r="D770">
        <v>3.49</v>
      </c>
      <c r="F770">
        <v>0.86</v>
      </c>
      <c r="G770">
        <v>-0.1</v>
      </c>
      <c r="H770">
        <v>-2.58</v>
      </c>
      <c r="I770">
        <v>62.27</v>
      </c>
      <c r="J770">
        <v>3.97</v>
      </c>
      <c r="K770">
        <v>-2.65</v>
      </c>
      <c r="L770">
        <v>-1.1200000000000001</v>
      </c>
      <c r="M770">
        <v>54.54</v>
      </c>
      <c r="O770">
        <v>30.1</v>
      </c>
      <c r="P770">
        <v>9.89</v>
      </c>
      <c r="Q770">
        <v>0</v>
      </c>
      <c r="R770">
        <v>0</v>
      </c>
    </row>
    <row r="771" spans="1:18" x14ac:dyDescent="0.25">
      <c r="A771">
        <v>140</v>
      </c>
      <c r="B771">
        <v>161.07</v>
      </c>
      <c r="C771">
        <f>ROUNDDOWN(7.32136363636364,0)</f>
        <v>7</v>
      </c>
      <c r="D771">
        <v>3.97</v>
      </c>
      <c r="F771">
        <v>0.91</v>
      </c>
      <c r="G771">
        <v>-0.03</v>
      </c>
      <c r="H771">
        <v>-2.57</v>
      </c>
      <c r="I771">
        <v>63.09</v>
      </c>
      <c r="J771">
        <v>4.18</v>
      </c>
      <c r="K771">
        <v>-2.79</v>
      </c>
      <c r="L771">
        <v>-0.76</v>
      </c>
      <c r="M771">
        <v>54.54</v>
      </c>
      <c r="O771">
        <v>30.12</v>
      </c>
      <c r="P771">
        <v>9.9</v>
      </c>
      <c r="Q771">
        <v>0</v>
      </c>
      <c r="R771">
        <v>0</v>
      </c>
    </row>
    <row r="772" spans="1:18" x14ac:dyDescent="0.25">
      <c r="A772">
        <v>140</v>
      </c>
      <c r="B772">
        <v>161.28</v>
      </c>
      <c r="C772">
        <f>ROUNDDOWN(7.33090909090909,0)</f>
        <v>7</v>
      </c>
      <c r="D772">
        <v>4.22</v>
      </c>
      <c r="F772">
        <v>0.95</v>
      </c>
      <c r="G772">
        <v>0.05</v>
      </c>
      <c r="H772">
        <v>-2.57</v>
      </c>
      <c r="I772">
        <v>63.67</v>
      </c>
      <c r="J772">
        <v>4.38</v>
      </c>
      <c r="K772">
        <v>-2.79</v>
      </c>
      <c r="L772">
        <v>-0.53</v>
      </c>
      <c r="M772">
        <v>54.54</v>
      </c>
      <c r="O772">
        <v>30.15</v>
      </c>
      <c r="P772">
        <v>9.92</v>
      </c>
      <c r="Q772">
        <v>0</v>
      </c>
      <c r="R772">
        <v>0</v>
      </c>
    </row>
    <row r="773" spans="1:18" x14ac:dyDescent="0.25">
      <c r="A773">
        <v>140</v>
      </c>
      <c r="B773">
        <v>161.48999999999998</v>
      </c>
      <c r="C773">
        <f>ROUNDDOWN(7.34045454545454,0)</f>
        <v>7</v>
      </c>
      <c r="D773">
        <v>4.22</v>
      </c>
      <c r="F773">
        <v>0.97</v>
      </c>
      <c r="G773">
        <v>0.09</v>
      </c>
      <c r="H773">
        <v>-2.4700000000000002</v>
      </c>
      <c r="I773">
        <v>63.95</v>
      </c>
      <c r="J773">
        <v>4.58</v>
      </c>
      <c r="K773">
        <v>-2.5499999999999998</v>
      </c>
      <c r="L773">
        <v>-0.37</v>
      </c>
      <c r="M773">
        <v>54.54</v>
      </c>
      <c r="O773">
        <v>30.17</v>
      </c>
      <c r="P773">
        <v>9.93</v>
      </c>
      <c r="Q773">
        <v>0</v>
      </c>
      <c r="R773">
        <v>0</v>
      </c>
    </row>
    <row r="774" spans="1:18" x14ac:dyDescent="0.25">
      <c r="A774">
        <v>140</v>
      </c>
      <c r="B774">
        <v>161.69999999999999</v>
      </c>
      <c r="C774">
        <f>ROUNDDOWN(7.35,0)</f>
        <v>7</v>
      </c>
      <c r="D774">
        <v>4.05</v>
      </c>
      <c r="F774">
        <v>0.95</v>
      </c>
      <c r="G774">
        <v>0.1</v>
      </c>
      <c r="H774">
        <v>-2.2999999999999998</v>
      </c>
      <c r="I774">
        <v>64.010000000000005</v>
      </c>
      <c r="J774">
        <v>4.7699999999999996</v>
      </c>
      <c r="K774">
        <v>-2.13</v>
      </c>
      <c r="L774">
        <v>-0.26</v>
      </c>
      <c r="M774">
        <v>54.55</v>
      </c>
      <c r="O774">
        <v>30.2</v>
      </c>
      <c r="P774">
        <v>9.9499999999999993</v>
      </c>
      <c r="Q774">
        <v>0</v>
      </c>
      <c r="R774">
        <v>0</v>
      </c>
    </row>
    <row r="775" spans="1:18" x14ac:dyDescent="0.25">
      <c r="A775">
        <v>140</v>
      </c>
      <c r="B775">
        <v>161.91</v>
      </c>
      <c r="C775">
        <f>ROUNDDOWN(7.35954545454545,0)</f>
        <v>7</v>
      </c>
      <c r="D775">
        <v>3.88</v>
      </c>
      <c r="F775">
        <v>0.92</v>
      </c>
      <c r="G775">
        <v>0.1</v>
      </c>
      <c r="H775">
        <v>-2.06</v>
      </c>
      <c r="I775">
        <v>64.040000000000006</v>
      </c>
      <c r="J775">
        <v>4.9400000000000004</v>
      </c>
      <c r="K775">
        <v>-1.64</v>
      </c>
      <c r="L775">
        <v>-0.1</v>
      </c>
      <c r="M775">
        <v>54.55</v>
      </c>
      <c r="O775">
        <v>30.22</v>
      </c>
      <c r="P775">
        <v>9.9600000000000009</v>
      </c>
      <c r="Q775">
        <v>0</v>
      </c>
      <c r="R775">
        <v>0</v>
      </c>
    </row>
    <row r="776" spans="1:18" x14ac:dyDescent="0.25">
      <c r="A776">
        <v>140</v>
      </c>
      <c r="B776">
        <v>162.12</v>
      </c>
      <c r="C776">
        <f>ROUNDDOWN(7.36909090909091,0)</f>
        <v>7</v>
      </c>
      <c r="D776">
        <v>3.73</v>
      </c>
      <c r="F776">
        <v>0.91</v>
      </c>
      <c r="G776">
        <v>0.13</v>
      </c>
      <c r="H776">
        <v>-1.64</v>
      </c>
      <c r="I776">
        <v>64.16</v>
      </c>
      <c r="J776">
        <v>5.09</v>
      </c>
      <c r="K776">
        <v>-1.05</v>
      </c>
      <c r="L776">
        <v>0.28000000000000003</v>
      </c>
      <c r="M776">
        <v>54.55</v>
      </c>
      <c r="O776">
        <v>30.25</v>
      </c>
      <c r="P776">
        <v>9.98</v>
      </c>
      <c r="Q776">
        <v>0</v>
      </c>
      <c r="R776">
        <v>0</v>
      </c>
    </row>
    <row r="777" spans="1:18" x14ac:dyDescent="0.25">
      <c r="A777">
        <v>140</v>
      </c>
      <c r="B777">
        <v>162.32999999999998</v>
      </c>
      <c r="C777">
        <f>ROUNDDOWN(7.37863636363636,0)</f>
        <v>7</v>
      </c>
      <c r="D777">
        <v>3.5</v>
      </c>
      <c r="F777">
        <v>0.89</v>
      </c>
      <c r="G777">
        <v>0.14000000000000001</v>
      </c>
      <c r="H777">
        <v>-1.25</v>
      </c>
      <c r="I777">
        <v>64.14</v>
      </c>
      <c r="J777">
        <v>5.22</v>
      </c>
      <c r="K777">
        <v>-0.45</v>
      </c>
      <c r="L777">
        <v>0.54</v>
      </c>
      <c r="M777">
        <v>54.55</v>
      </c>
      <c r="O777">
        <v>30.27</v>
      </c>
      <c r="P777">
        <v>10</v>
      </c>
      <c r="Q777">
        <v>0</v>
      </c>
      <c r="R777">
        <v>0</v>
      </c>
    </row>
    <row r="778" spans="1:18" x14ac:dyDescent="0.25">
      <c r="A778">
        <v>140</v>
      </c>
      <c r="B778">
        <v>162.54</v>
      </c>
      <c r="C778">
        <f>ROUNDDOWN(7.38818181818182,0)</f>
        <v>7</v>
      </c>
      <c r="D778">
        <v>3.15</v>
      </c>
      <c r="F778">
        <v>0.84</v>
      </c>
      <c r="G778">
        <v>0.12</v>
      </c>
      <c r="H778">
        <v>-1.03</v>
      </c>
      <c r="I778">
        <v>63.84</v>
      </c>
      <c r="J778">
        <v>5.31</v>
      </c>
      <c r="K778">
        <v>0.08</v>
      </c>
      <c r="L778">
        <v>0.49</v>
      </c>
      <c r="M778">
        <v>54.55</v>
      </c>
      <c r="O778">
        <v>30.3</v>
      </c>
      <c r="P778">
        <v>10.01</v>
      </c>
      <c r="Q778">
        <v>0</v>
      </c>
      <c r="R778">
        <v>0</v>
      </c>
    </row>
    <row r="779" spans="1:18" x14ac:dyDescent="0.25">
      <c r="A779">
        <v>140</v>
      </c>
      <c r="B779">
        <v>162.75</v>
      </c>
      <c r="C779">
        <f>ROUNDDOWN(7.39772727272727,0)</f>
        <v>7</v>
      </c>
      <c r="D779">
        <v>2.86</v>
      </c>
      <c r="F779">
        <v>0.75</v>
      </c>
      <c r="G779">
        <v>0.06</v>
      </c>
      <c r="H779">
        <v>-0.93</v>
      </c>
      <c r="I779">
        <v>63.5</v>
      </c>
      <c r="J779">
        <v>5.36</v>
      </c>
      <c r="K779">
        <v>0.48</v>
      </c>
      <c r="L779">
        <v>0.32</v>
      </c>
      <c r="M779">
        <v>54.55</v>
      </c>
      <c r="O779">
        <v>30.33</v>
      </c>
      <c r="P779">
        <v>10.029999999999999</v>
      </c>
      <c r="Q779">
        <v>0</v>
      </c>
      <c r="R779">
        <v>0</v>
      </c>
    </row>
    <row r="780" spans="1:18" x14ac:dyDescent="0.25">
      <c r="A780">
        <v>140</v>
      </c>
      <c r="B780">
        <v>162.96</v>
      </c>
      <c r="C780">
        <f>ROUNDDOWN(7.40727272727273,0)</f>
        <v>7</v>
      </c>
      <c r="D780">
        <v>2.71</v>
      </c>
      <c r="F780">
        <v>0.72</v>
      </c>
      <c r="G780">
        <v>0.06</v>
      </c>
      <c r="H780">
        <v>-0.74</v>
      </c>
      <c r="I780">
        <v>63.33</v>
      </c>
      <c r="J780">
        <v>5.38</v>
      </c>
      <c r="K780">
        <v>0.87</v>
      </c>
      <c r="L780">
        <v>0.33</v>
      </c>
      <c r="M780">
        <v>54.55</v>
      </c>
      <c r="O780">
        <v>30.35</v>
      </c>
      <c r="P780">
        <v>10.039999999999999</v>
      </c>
      <c r="Q780">
        <v>0</v>
      </c>
      <c r="R780">
        <v>0</v>
      </c>
    </row>
    <row r="781" spans="1:18" x14ac:dyDescent="0.25">
      <c r="A781">
        <v>140</v>
      </c>
      <c r="B781">
        <v>163.16999999999999</v>
      </c>
      <c r="C781">
        <f>ROUNDDOWN(7.41681818181818,0)</f>
        <v>7</v>
      </c>
      <c r="D781">
        <v>2.5</v>
      </c>
      <c r="F781">
        <v>0.76</v>
      </c>
      <c r="G781">
        <v>0.12</v>
      </c>
      <c r="H781">
        <v>-0.43</v>
      </c>
      <c r="I781">
        <v>63.22</v>
      </c>
      <c r="J781">
        <v>5.36</v>
      </c>
      <c r="K781">
        <v>1.32</v>
      </c>
      <c r="L781">
        <v>0.51</v>
      </c>
      <c r="M781">
        <v>54.55</v>
      </c>
      <c r="O781">
        <v>30.38</v>
      </c>
      <c r="P781">
        <v>10.050000000000001</v>
      </c>
      <c r="Q781">
        <v>0</v>
      </c>
      <c r="R781">
        <v>0</v>
      </c>
    </row>
    <row r="782" spans="1:18" x14ac:dyDescent="0.25">
      <c r="A782">
        <v>140</v>
      </c>
      <c r="B782">
        <v>163.38</v>
      </c>
      <c r="C782">
        <f>ROUNDDOWN(7.42636363636364,0)</f>
        <v>7</v>
      </c>
      <c r="D782">
        <v>2.27</v>
      </c>
      <c r="F782">
        <v>0.76</v>
      </c>
      <c r="G782">
        <v>0.16</v>
      </c>
      <c r="H782">
        <v>-0.15</v>
      </c>
      <c r="I782">
        <v>63.19</v>
      </c>
      <c r="J782">
        <v>5.32</v>
      </c>
      <c r="K782">
        <v>1.67</v>
      </c>
      <c r="L782">
        <v>0.68</v>
      </c>
      <c r="M782">
        <v>54.55</v>
      </c>
      <c r="O782">
        <v>30.4</v>
      </c>
      <c r="P782">
        <v>10.07</v>
      </c>
      <c r="Q782">
        <v>0</v>
      </c>
      <c r="R782">
        <v>0</v>
      </c>
    </row>
    <row r="783" spans="1:18" x14ac:dyDescent="0.25">
      <c r="A783">
        <v>140</v>
      </c>
      <c r="B783">
        <v>163.59</v>
      </c>
      <c r="C783">
        <f>ROUNDDOWN(7.43590909090909,0)</f>
        <v>7</v>
      </c>
      <c r="D783">
        <v>2.0699999999999998</v>
      </c>
      <c r="F783">
        <v>0.5</v>
      </c>
      <c r="G783">
        <v>-7.0000000000000007E-2</v>
      </c>
      <c r="H783">
        <v>0.04</v>
      </c>
      <c r="I783">
        <v>63.26</v>
      </c>
      <c r="J783">
        <v>5.28</v>
      </c>
      <c r="K783">
        <v>1.86</v>
      </c>
      <c r="L783">
        <v>0.81</v>
      </c>
      <c r="M783">
        <v>54.55</v>
      </c>
      <c r="O783">
        <v>30.43</v>
      </c>
      <c r="P783">
        <v>10.08</v>
      </c>
      <c r="Q783">
        <v>0</v>
      </c>
      <c r="R783">
        <v>0</v>
      </c>
    </row>
    <row r="784" spans="1:18" x14ac:dyDescent="0.25">
      <c r="A784">
        <v>140</v>
      </c>
      <c r="B784">
        <v>163.79999999999998</v>
      </c>
      <c r="C784">
        <f>ROUNDDOWN(7.44545454545454,0)</f>
        <v>7</v>
      </c>
      <c r="D784">
        <v>1.82</v>
      </c>
      <c r="F784">
        <v>0.19</v>
      </c>
      <c r="G784">
        <v>-0.37</v>
      </c>
      <c r="H784">
        <v>0.17</v>
      </c>
      <c r="I784">
        <v>63.45</v>
      </c>
      <c r="J784">
        <v>5.21</v>
      </c>
      <c r="K784">
        <v>1.92</v>
      </c>
      <c r="L784">
        <v>0.93</v>
      </c>
      <c r="M784">
        <v>54.55</v>
      </c>
      <c r="O784">
        <v>30.45</v>
      </c>
      <c r="P784">
        <v>10.09</v>
      </c>
      <c r="Q784">
        <v>0</v>
      </c>
      <c r="R784">
        <v>0</v>
      </c>
    </row>
    <row r="785" spans="1:18" x14ac:dyDescent="0.25">
      <c r="A785">
        <v>140</v>
      </c>
      <c r="B785">
        <v>164.01</v>
      </c>
      <c r="C785">
        <f>ROUNDDOWN(7.455,0)</f>
        <v>7</v>
      </c>
      <c r="D785">
        <v>1.33</v>
      </c>
      <c r="F785">
        <v>-0.04</v>
      </c>
      <c r="G785">
        <v>-0.6</v>
      </c>
      <c r="H785">
        <v>0.32</v>
      </c>
      <c r="I785">
        <v>63.6</v>
      </c>
      <c r="J785">
        <v>5.0999999999999996</v>
      </c>
      <c r="K785">
        <v>2.04</v>
      </c>
      <c r="L785">
        <v>1.05</v>
      </c>
      <c r="M785">
        <v>54.55</v>
      </c>
      <c r="O785">
        <v>30.48</v>
      </c>
      <c r="P785">
        <v>10.11</v>
      </c>
      <c r="Q785">
        <v>0</v>
      </c>
      <c r="R785">
        <v>0</v>
      </c>
    </row>
    <row r="786" spans="1:18" x14ac:dyDescent="0.25">
      <c r="A786">
        <v>140</v>
      </c>
      <c r="B786">
        <v>164.22</v>
      </c>
      <c r="C786">
        <f>ROUNDDOWN(7.46454545454545,0)</f>
        <v>7</v>
      </c>
      <c r="D786">
        <v>0.63</v>
      </c>
      <c r="F786">
        <v>-0.11</v>
      </c>
      <c r="G786">
        <v>-0.68</v>
      </c>
      <c r="H786">
        <v>0.45</v>
      </c>
      <c r="I786">
        <v>63.71</v>
      </c>
      <c r="J786">
        <v>4.96</v>
      </c>
      <c r="K786">
        <v>2.12</v>
      </c>
      <c r="L786">
        <v>1.1100000000000001</v>
      </c>
      <c r="M786">
        <v>54.55</v>
      </c>
      <c r="O786">
        <v>30.5</v>
      </c>
      <c r="P786">
        <v>10.130000000000001</v>
      </c>
      <c r="Q786">
        <v>0</v>
      </c>
      <c r="R786">
        <v>0</v>
      </c>
    </row>
    <row r="787" spans="1:18" x14ac:dyDescent="0.25">
      <c r="A787">
        <v>140</v>
      </c>
      <c r="B787">
        <v>164.43</v>
      </c>
      <c r="C787">
        <f>ROUNDDOWN(7.47409090909091,0)</f>
        <v>7</v>
      </c>
      <c r="D787">
        <v>0.16</v>
      </c>
      <c r="F787">
        <v>-0.11</v>
      </c>
      <c r="G787">
        <v>-0.68</v>
      </c>
      <c r="H787">
        <v>0.52</v>
      </c>
      <c r="I787">
        <v>63.83</v>
      </c>
      <c r="J787">
        <v>4.79</v>
      </c>
      <c r="K787">
        <v>2.15</v>
      </c>
      <c r="L787">
        <v>1.1200000000000001</v>
      </c>
      <c r="M787">
        <v>54.55</v>
      </c>
      <c r="O787">
        <v>30.53</v>
      </c>
      <c r="P787">
        <v>10.14</v>
      </c>
      <c r="Q787">
        <v>0</v>
      </c>
      <c r="R787">
        <v>0</v>
      </c>
    </row>
    <row r="788" spans="1:18" x14ac:dyDescent="0.25">
      <c r="A788">
        <v>140</v>
      </c>
      <c r="B788">
        <v>164.64</v>
      </c>
      <c r="C788">
        <f>ROUNDDOWN(7.48363636363636,0)</f>
        <v>7</v>
      </c>
      <c r="D788">
        <v>-0.06</v>
      </c>
      <c r="F788">
        <v>-0.11</v>
      </c>
      <c r="G788">
        <v>-0.69</v>
      </c>
      <c r="H788">
        <v>0.65</v>
      </c>
      <c r="I788">
        <v>63.9</v>
      </c>
      <c r="J788">
        <v>4.5999999999999996</v>
      </c>
      <c r="K788">
        <v>2.25</v>
      </c>
      <c r="L788">
        <v>1.1599999999999999</v>
      </c>
      <c r="M788">
        <v>54.55</v>
      </c>
      <c r="O788">
        <v>30.55</v>
      </c>
      <c r="P788">
        <v>10.16</v>
      </c>
      <c r="Q788">
        <v>0</v>
      </c>
      <c r="R788">
        <v>0</v>
      </c>
    </row>
    <row r="789" spans="1:18" x14ac:dyDescent="0.25">
      <c r="A789">
        <v>140</v>
      </c>
      <c r="B789">
        <v>164.85</v>
      </c>
      <c r="C789">
        <f>ROUNDDOWN(7.49318181818182,0)</f>
        <v>7</v>
      </c>
      <c r="D789">
        <v>-0.23</v>
      </c>
      <c r="F789">
        <v>-0.03</v>
      </c>
      <c r="G789">
        <v>-0.62</v>
      </c>
      <c r="H789">
        <v>0.72</v>
      </c>
      <c r="I789">
        <v>63.78</v>
      </c>
      <c r="J789">
        <v>4.41</v>
      </c>
      <c r="K789">
        <v>2.38</v>
      </c>
      <c r="L789">
        <v>1.05</v>
      </c>
      <c r="M789">
        <v>54.55</v>
      </c>
      <c r="O789">
        <v>30.58</v>
      </c>
      <c r="P789">
        <v>10.18</v>
      </c>
      <c r="Q789">
        <v>0</v>
      </c>
      <c r="R789">
        <v>0</v>
      </c>
    </row>
    <row r="790" spans="1:18" x14ac:dyDescent="0.25">
      <c r="A790">
        <v>140</v>
      </c>
      <c r="B790">
        <v>165.06</v>
      </c>
      <c r="C790">
        <f>ROUNDDOWN(7.50272727272727,0)</f>
        <v>7</v>
      </c>
      <c r="D790">
        <v>-0.47</v>
      </c>
      <c r="F790">
        <v>7.0000000000000007E-2</v>
      </c>
      <c r="G790">
        <v>-0.51</v>
      </c>
      <c r="H790">
        <v>0.7</v>
      </c>
      <c r="I790">
        <v>63.57</v>
      </c>
      <c r="J790">
        <v>4.22</v>
      </c>
      <c r="K790">
        <v>2.4500000000000002</v>
      </c>
      <c r="L790">
        <v>0.82</v>
      </c>
      <c r="M790">
        <v>54.55</v>
      </c>
      <c r="O790">
        <v>30.6</v>
      </c>
      <c r="P790">
        <v>10.199999999999999</v>
      </c>
      <c r="Q790">
        <v>0</v>
      </c>
      <c r="R790">
        <v>0</v>
      </c>
    </row>
    <row r="791" spans="1:18" x14ac:dyDescent="0.25">
      <c r="A791">
        <v>140</v>
      </c>
      <c r="B791">
        <v>165.26999999999998</v>
      </c>
      <c r="C791">
        <f>ROUNDDOWN(7.51227272727273,0)</f>
        <v>7</v>
      </c>
      <c r="D791">
        <v>-0.77</v>
      </c>
      <c r="F791">
        <v>0.17</v>
      </c>
      <c r="G791">
        <v>-0.41</v>
      </c>
      <c r="H791">
        <v>0.64</v>
      </c>
      <c r="I791">
        <v>63.4</v>
      </c>
      <c r="J791">
        <v>4.05</v>
      </c>
      <c r="K791">
        <v>2.4500000000000002</v>
      </c>
      <c r="L791">
        <v>0.57999999999999996</v>
      </c>
      <c r="M791">
        <v>54.55</v>
      </c>
      <c r="O791">
        <v>30.63</v>
      </c>
      <c r="P791">
        <v>10.220000000000001</v>
      </c>
      <c r="Q791">
        <v>0</v>
      </c>
      <c r="R791">
        <v>0</v>
      </c>
    </row>
    <row r="792" spans="1:18" x14ac:dyDescent="0.25">
      <c r="A792">
        <v>140</v>
      </c>
      <c r="B792">
        <v>165.48</v>
      </c>
      <c r="C792">
        <f>ROUNDDOWN(7.52181818181818,0)</f>
        <v>7</v>
      </c>
      <c r="D792">
        <v>-0.96</v>
      </c>
      <c r="F792">
        <v>0.28999999999999998</v>
      </c>
      <c r="G792">
        <v>-0.28000000000000003</v>
      </c>
      <c r="H792">
        <v>0.59</v>
      </c>
      <c r="I792">
        <v>63.18</v>
      </c>
      <c r="J792">
        <v>3.89</v>
      </c>
      <c r="K792">
        <v>2.4700000000000002</v>
      </c>
      <c r="L792">
        <v>0.36</v>
      </c>
      <c r="M792">
        <v>54.55</v>
      </c>
      <c r="O792">
        <v>30.65</v>
      </c>
      <c r="P792">
        <v>10.24</v>
      </c>
      <c r="Q792">
        <v>0</v>
      </c>
      <c r="R792">
        <v>0</v>
      </c>
    </row>
    <row r="793" spans="1:18" x14ac:dyDescent="0.25">
      <c r="A793">
        <v>140</v>
      </c>
      <c r="B793">
        <v>165.69</v>
      </c>
      <c r="C793">
        <f>ROUNDDOWN(7.53136363636364,0)</f>
        <v>7</v>
      </c>
      <c r="D793">
        <v>-1.01</v>
      </c>
      <c r="F793">
        <v>0.4</v>
      </c>
      <c r="G793">
        <v>-0.15</v>
      </c>
      <c r="H793">
        <v>0.55000000000000004</v>
      </c>
      <c r="I793">
        <v>62.82</v>
      </c>
      <c r="J793">
        <v>3.75</v>
      </c>
      <c r="K793">
        <v>2.5499999999999998</v>
      </c>
      <c r="L793">
        <v>0.09</v>
      </c>
      <c r="M793">
        <v>54.55</v>
      </c>
      <c r="O793">
        <v>30.68</v>
      </c>
      <c r="P793">
        <v>10.26</v>
      </c>
      <c r="Q793">
        <v>0</v>
      </c>
      <c r="R793">
        <v>0</v>
      </c>
    </row>
    <row r="794" spans="1:18" x14ac:dyDescent="0.25">
      <c r="A794">
        <v>140</v>
      </c>
      <c r="B794">
        <v>165.9</v>
      </c>
      <c r="C794">
        <f>ROUNDDOWN(7.54090909090909,0)</f>
        <v>7</v>
      </c>
      <c r="D794">
        <v>-1.05</v>
      </c>
      <c r="F794">
        <v>0.44</v>
      </c>
      <c r="G794">
        <v>-0.09</v>
      </c>
      <c r="H794">
        <v>0.51</v>
      </c>
      <c r="I794">
        <v>62.45</v>
      </c>
      <c r="J794">
        <v>3.64</v>
      </c>
      <c r="K794">
        <v>2.63</v>
      </c>
      <c r="L794">
        <v>-0.17</v>
      </c>
      <c r="M794">
        <v>54.55</v>
      </c>
      <c r="O794">
        <v>30.7</v>
      </c>
      <c r="P794">
        <v>10.28</v>
      </c>
      <c r="Q794">
        <v>0</v>
      </c>
      <c r="R794">
        <v>0</v>
      </c>
    </row>
    <row r="795" spans="1:18" x14ac:dyDescent="0.25">
      <c r="A795">
        <v>140</v>
      </c>
      <c r="B795">
        <v>166.10999999999999</v>
      </c>
      <c r="C795">
        <f>ROUNDDOWN(7.55045454545454,0)</f>
        <v>7</v>
      </c>
      <c r="D795">
        <v>-1.08</v>
      </c>
      <c r="F795">
        <v>0.48</v>
      </c>
      <c r="G795">
        <v>-0.04</v>
      </c>
      <c r="H795">
        <v>0.44</v>
      </c>
      <c r="I795">
        <v>62.25</v>
      </c>
      <c r="J795">
        <v>3.55</v>
      </c>
      <c r="K795">
        <v>2.58</v>
      </c>
      <c r="L795">
        <v>-0.35</v>
      </c>
      <c r="M795">
        <v>54.55</v>
      </c>
      <c r="O795">
        <v>30.73</v>
      </c>
      <c r="P795">
        <v>10.3</v>
      </c>
      <c r="Q795">
        <v>0</v>
      </c>
      <c r="R795">
        <v>0</v>
      </c>
    </row>
    <row r="796" spans="1:18" x14ac:dyDescent="0.25">
      <c r="A796">
        <v>140</v>
      </c>
      <c r="B796">
        <v>166.32</v>
      </c>
      <c r="C796">
        <f>ROUNDDOWN(7.56,0)</f>
        <v>7</v>
      </c>
      <c r="D796">
        <v>-0.94</v>
      </c>
      <c r="F796">
        <v>0.48</v>
      </c>
      <c r="G796">
        <v>-0.01</v>
      </c>
      <c r="H796">
        <v>0.34</v>
      </c>
      <c r="I796">
        <v>62.27</v>
      </c>
      <c r="J796">
        <v>3.48</v>
      </c>
      <c r="K796">
        <v>2.38</v>
      </c>
      <c r="L796">
        <v>-0.45</v>
      </c>
      <c r="M796">
        <v>54.55</v>
      </c>
      <c r="O796">
        <v>30.75</v>
      </c>
      <c r="P796">
        <v>10.32</v>
      </c>
      <c r="Q796">
        <v>0</v>
      </c>
      <c r="R796">
        <v>0</v>
      </c>
    </row>
    <row r="797" spans="1:18" x14ac:dyDescent="0.25">
      <c r="A797">
        <v>140</v>
      </c>
      <c r="B797">
        <v>166.53</v>
      </c>
      <c r="C797">
        <f>ROUNDDOWN(7.56954545454545,0)</f>
        <v>7</v>
      </c>
      <c r="D797">
        <v>-0.77</v>
      </c>
      <c r="F797">
        <v>0.5</v>
      </c>
      <c r="G797">
        <v>0.03</v>
      </c>
      <c r="H797">
        <v>0.14000000000000001</v>
      </c>
      <c r="I797">
        <v>62.42</v>
      </c>
      <c r="J797">
        <v>3.44</v>
      </c>
      <c r="K797">
        <v>2.0299999999999998</v>
      </c>
      <c r="L797">
        <v>-0.56000000000000005</v>
      </c>
      <c r="M797">
        <v>54.56</v>
      </c>
      <c r="O797">
        <v>30.78</v>
      </c>
      <c r="P797">
        <v>10.34</v>
      </c>
      <c r="Q797">
        <v>0</v>
      </c>
      <c r="R797">
        <v>0</v>
      </c>
    </row>
    <row r="798" spans="1:18" x14ac:dyDescent="0.25">
      <c r="A798">
        <v>140</v>
      </c>
      <c r="B798">
        <v>166.73999999999998</v>
      </c>
      <c r="C798">
        <f>ROUNDDOWN(7.57909090909091,0)</f>
        <v>7</v>
      </c>
      <c r="D798">
        <v>-0.67</v>
      </c>
      <c r="F798">
        <v>0.44</v>
      </c>
      <c r="G798">
        <v>0</v>
      </c>
      <c r="H798">
        <v>-0.15</v>
      </c>
      <c r="I798">
        <v>62.59</v>
      </c>
      <c r="J798">
        <v>3.43</v>
      </c>
      <c r="K798">
        <v>1.61</v>
      </c>
      <c r="L798">
        <v>-0.76</v>
      </c>
      <c r="M798">
        <v>54.56</v>
      </c>
      <c r="O798">
        <v>30.8</v>
      </c>
      <c r="P798">
        <v>10.36</v>
      </c>
      <c r="Q798">
        <v>0</v>
      </c>
      <c r="R798">
        <v>0</v>
      </c>
    </row>
    <row r="799" spans="1:18" x14ac:dyDescent="0.25">
      <c r="A799">
        <v>140</v>
      </c>
      <c r="B799">
        <v>166.95</v>
      </c>
      <c r="C799">
        <f>ROUNDDOWN(7.58863636363636,0)</f>
        <v>7</v>
      </c>
      <c r="D799">
        <v>-0.56999999999999995</v>
      </c>
      <c r="F799">
        <v>0.33</v>
      </c>
      <c r="G799">
        <v>-0.09</v>
      </c>
      <c r="H799">
        <v>-0.39</v>
      </c>
      <c r="I799">
        <v>62.88</v>
      </c>
      <c r="J799">
        <v>3.46</v>
      </c>
      <c r="K799">
        <v>1.19</v>
      </c>
      <c r="L799">
        <v>-0.84</v>
      </c>
      <c r="M799">
        <v>54.56</v>
      </c>
      <c r="O799">
        <v>30.83</v>
      </c>
      <c r="P799">
        <v>10.38</v>
      </c>
      <c r="Q799">
        <v>0</v>
      </c>
      <c r="R799">
        <v>0</v>
      </c>
    </row>
    <row r="800" spans="1:18" x14ac:dyDescent="0.25">
      <c r="A800">
        <v>140</v>
      </c>
      <c r="B800">
        <v>167.16</v>
      </c>
      <c r="C800">
        <f>ROUNDDOWN(7.59818181818182,0)</f>
        <v>7</v>
      </c>
      <c r="D800">
        <v>-0.36</v>
      </c>
      <c r="F800">
        <v>0.24</v>
      </c>
      <c r="G800">
        <v>-0.16</v>
      </c>
      <c r="H800">
        <v>-0.53</v>
      </c>
      <c r="I800">
        <v>63.24</v>
      </c>
      <c r="J800">
        <v>3.51</v>
      </c>
      <c r="K800">
        <v>0.85</v>
      </c>
      <c r="L800">
        <v>-0.79</v>
      </c>
      <c r="M800">
        <v>54.56</v>
      </c>
      <c r="O800">
        <v>30.86</v>
      </c>
      <c r="P800">
        <v>10.4</v>
      </c>
      <c r="Q800">
        <v>0</v>
      </c>
      <c r="R800">
        <v>0</v>
      </c>
    </row>
    <row r="801" spans="1:18" x14ac:dyDescent="0.25">
      <c r="A801">
        <v>140</v>
      </c>
      <c r="B801">
        <v>167.37</v>
      </c>
      <c r="C801">
        <f>ROUNDDOWN(7.60772727272727,0)</f>
        <v>7</v>
      </c>
      <c r="D801">
        <v>-0.09</v>
      </c>
      <c r="F801">
        <v>0.25</v>
      </c>
      <c r="G801">
        <v>-0.14000000000000001</v>
      </c>
      <c r="H801">
        <v>-0.61</v>
      </c>
      <c r="I801">
        <v>63.62</v>
      </c>
      <c r="J801">
        <v>3.59</v>
      </c>
      <c r="K801">
        <v>0.59</v>
      </c>
      <c r="L801">
        <v>-0.68</v>
      </c>
      <c r="M801">
        <v>54.56</v>
      </c>
      <c r="O801">
        <v>30.88</v>
      </c>
      <c r="P801">
        <v>10.42</v>
      </c>
      <c r="Q801">
        <v>0</v>
      </c>
      <c r="R801">
        <v>0</v>
      </c>
    </row>
    <row r="802" spans="1:18" x14ac:dyDescent="0.25">
      <c r="A802">
        <v>140</v>
      </c>
      <c r="B802">
        <v>167.57999999999998</v>
      </c>
      <c r="C802">
        <f>ROUNDDOWN(7.61727272727273,0)</f>
        <v>7</v>
      </c>
      <c r="D802">
        <v>0.09</v>
      </c>
      <c r="F802">
        <v>0.39</v>
      </c>
      <c r="G802">
        <v>0.03</v>
      </c>
      <c r="H802">
        <v>-0.69</v>
      </c>
      <c r="I802">
        <v>63.92</v>
      </c>
      <c r="J802">
        <v>3.69</v>
      </c>
      <c r="K802">
        <v>0.38</v>
      </c>
      <c r="L802">
        <v>-0.62</v>
      </c>
      <c r="M802">
        <v>54.56</v>
      </c>
      <c r="O802">
        <v>30.91</v>
      </c>
      <c r="P802">
        <v>10.44</v>
      </c>
      <c r="Q802">
        <v>0</v>
      </c>
      <c r="R802">
        <v>0</v>
      </c>
    </row>
    <row r="803" spans="1:18" x14ac:dyDescent="0.25">
      <c r="A803">
        <v>140</v>
      </c>
      <c r="B803">
        <v>167.79</v>
      </c>
      <c r="C803">
        <f>ROUNDDOWN(7.62681818181818,0)</f>
        <v>7</v>
      </c>
      <c r="D803">
        <v>0.26</v>
      </c>
      <c r="F803">
        <v>0.49</v>
      </c>
      <c r="G803">
        <v>0.16</v>
      </c>
      <c r="H803">
        <v>-0.73</v>
      </c>
      <c r="I803">
        <v>64.16</v>
      </c>
      <c r="J803">
        <v>3.81</v>
      </c>
      <c r="K803">
        <v>0.25</v>
      </c>
      <c r="L803">
        <v>-0.56000000000000005</v>
      </c>
      <c r="M803">
        <v>54.56</v>
      </c>
      <c r="O803">
        <v>30.93</v>
      </c>
      <c r="P803">
        <v>10.47</v>
      </c>
      <c r="Q803">
        <v>0</v>
      </c>
      <c r="R803">
        <v>0</v>
      </c>
    </row>
    <row r="804" spans="1:18" x14ac:dyDescent="0.25">
      <c r="A804">
        <v>140</v>
      </c>
      <c r="B804">
        <v>168</v>
      </c>
      <c r="C804">
        <f>ROUNDDOWN(7.63636363636364,0)</f>
        <v>7</v>
      </c>
      <c r="D804">
        <v>0.64</v>
      </c>
      <c r="F804">
        <v>0.59</v>
      </c>
      <c r="G804">
        <v>0.28999999999999998</v>
      </c>
      <c r="H804">
        <v>-0.68</v>
      </c>
      <c r="I804">
        <v>64.42</v>
      </c>
      <c r="J804">
        <v>3.95</v>
      </c>
      <c r="K804">
        <v>0.21</v>
      </c>
      <c r="L804">
        <v>-0.4</v>
      </c>
      <c r="M804">
        <v>54.56</v>
      </c>
      <c r="O804">
        <v>30.96</v>
      </c>
      <c r="P804">
        <v>10.49</v>
      </c>
      <c r="Q804">
        <v>0</v>
      </c>
      <c r="R804">
        <v>0</v>
      </c>
    </row>
    <row r="805" spans="1:18" x14ac:dyDescent="0.25">
      <c r="A805">
        <v>140</v>
      </c>
      <c r="B805">
        <v>168.21</v>
      </c>
      <c r="C805">
        <f>ROUNDDOWN(7.64590909090909,0)</f>
        <v>7</v>
      </c>
      <c r="D805">
        <v>1.1100000000000001</v>
      </c>
      <c r="F805">
        <v>0.69</v>
      </c>
      <c r="G805">
        <v>0.42</v>
      </c>
      <c r="H805">
        <v>-0.61</v>
      </c>
      <c r="I805">
        <v>64.680000000000007</v>
      </c>
      <c r="J805">
        <v>4.1100000000000003</v>
      </c>
      <c r="K805">
        <v>0.2</v>
      </c>
      <c r="L805">
        <v>-0.24</v>
      </c>
      <c r="M805">
        <v>54.56</v>
      </c>
      <c r="O805">
        <v>30.99</v>
      </c>
      <c r="P805">
        <v>10.51</v>
      </c>
      <c r="Q805">
        <v>0</v>
      </c>
      <c r="R805">
        <v>0</v>
      </c>
    </row>
    <row r="806" spans="1:18" x14ac:dyDescent="0.25">
      <c r="A806">
        <v>140</v>
      </c>
      <c r="B806">
        <v>168.42</v>
      </c>
      <c r="C806">
        <f>ROUNDDOWN(7.65545454545455,0)</f>
        <v>7</v>
      </c>
      <c r="D806">
        <v>1.54</v>
      </c>
      <c r="F806">
        <v>0.81</v>
      </c>
      <c r="G806">
        <v>0.57999999999999996</v>
      </c>
      <c r="H806">
        <v>-0.5</v>
      </c>
      <c r="I806">
        <v>64.94</v>
      </c>
      <c r="J806">
        <v>4.29</v>
      </c>
      <c r="K806">
        <v>0.23</v>
      </c>
      <c r="L806">
        <v>-0.05</v>
      </c>
      <c r="M806">
        <v>54.56</v>
      </c>
      <c r="O806">
        <v>31.01</v>
      </c>
      <c r="P806">
        <v>10.53</v>
      </c>
      <c r="Q806">
        <v>0</v>
      </c>
      <c r="R806">
        <v>0</v>
      </c>
    </row>
    <row r="807" spans="1:18" x14ac:dyDescent="0.25">
      <c r="A807">
        <v>140</v>
      </c>
      <c r="B807">
        <v>168.63</v>
      </c>
      <c r="C807">
        <f>ROUNDDOWN(7.665,0)</f>
        <v>7</v>
      </c>
      <c r="D807">
        <v>1.98</v>
      </c>
      <c r="F807">
        <v>0.89</v>
      </c>
      <c r="G807">
        <v>0.71</v>
      </c>
      <c r="H807">
        <v>-0.47</v>
      </c>
      <c r="I807">
        <v>65.16</v>
      </c>
      <c r="J807">
        <v>4.4800000000000004</v>
      </c>
      <c r="K807">
        <v>0.2</v>
      </c>
      <c r="L807">
        <v>0.04</v>
      </c>
      <c r="M807">
        <v>54.56</v>
      </c>
      <c r="O807">
        <v>31.04</v>
      </c>
      <c r="P807">
        <v>10.55</v>
      </c>
      <c r="Q807">
        <v>0</v>
      </c>
      <c r="R807">
        <v>0</v>
      </c>
    </row>
    <row r="808" spans="1:18" x14ac:dyDescent="0.25">
      <c r="A808">
        <v>140</v>
      </c>
      <c r="B808">
        <v>168.84</v>
      </c>
      <c r="C808">
        <f>ROUNDDOWN(7.67454545454545,0)</f>
        <v>7</v>
      </c>
      <c r="D808">
        <v>2.58</v>
      </c>
      <c r="F808">
        <v>0.88</v>
      </c>
      <c r="G808">
        <v>0.75</v>
      </c>
      <c r="H808">
        <v>-0.42</v>
      </c>
      <c r="I808">
        <v>65.41</v>
      </c>
      <c r="J808">
        <v>4.68</v>
      </c>
      <c r="K808">
        <v>0.18</v>
      </c>
      <c r="L808">
        <v>0.14000000000000001</v>
      </c>
      <c r="M808">
        <v>54.56</v>
      </c>
      <c r="O808">
        <v>31.06</v>
      </c>
      <c r="P808">
        <v>10.57</v>
      </c>
      <c r="Q808">
        <v>0</v>
      </c>
      <c r="R808">
        <v>0</v>
      </c>
    </row>
    <row r="809" spans="1:18" x14ac:dyDescent="0.25">
      <c r="A809">
        <v>140</v>
      </c>
      <c r="B809">
        <v>169.04999999999998</v>
      </c>
      <c r="C809">
        <f>ROUNDDOWN(7.68409090909091,0)</f>
        <v>7</v>
      </c>
      <c r="D809">
        <v>3.14</v>
      </c>
      <c r="F809">
        <v>0.82</v>
      </c>
      <c r="G809">
        <v>0.75</v>
      </c>
      <c r="H809">
        <v>-0.38</v>
      </c>
      <c r="I809">
        <v>65.59</v>
      </c>
      <c r="J809">
        <v>4.8899999999999997</v>
      </c>
      <c r="K809">
        <v>0.18</v>
      </c>
      <c r="L809">
        <v>0.2</v>
      </c>
      <c r="M809">
        <v>54.56</v>
      </c>
      <c r="O809">
        <v>31.09</v>
      </c>
      <c r="P809">
        <v>10.59</v>
      </c>
      <c r="Q809">
        <v>0</v>
      </c>
      <c r="R809">
        <v>0</v>
      </c>
    </row>
    <row r="810" spans="1:18" x14ac:dyDescent="0.25">
      <c r="A810">
        <v>140</v>
      </c>
      <c r="B810">
        <v>169.26</v>
      </c>
      <c r="C810">
        <f>ROUNDDOWN(7.69363636363636,0)</f>
        <v>7</v>
      </c>
      <c r="D810">
        <v>3.43</v>
      </c>
      <c r="F810">
        <v>0.73</v>
      </c>
      <c r="G810">
        <v>0.7</v>
      </c>
      <c r="H810">
        <v>-0.41</v>
      </c>
      <c r="I810">
        <v>65.680000000000007</v>
      </c>
      <c r="J810">
        <v>5.1100000000000003</v>
      </c>
      <c r="K810">
        <v>0.16</v>
      </c>
      <c r="L810">
        <v>0.15</v>
      </c>
      <c r="M810">
        <v>54.56</v>
      </c>
      <c r="O810">
        <v>31.12</v>
      </c>
      <c r="P810">
        <v>10.62</v>
      </c>
      <c r="Q810">
        <v>0</v>
      </c>
      <c r="R810">
        <v>0</v>
      </c>
    </row>
    <row r="811" spans="1:18" x14ac:dyDescent="0.25">
      <c r="A811">
        <v>140</v>
      </c>
      <c r="B811">
        <v>169.47</v>
      </c>
      <c r="C811">
        <f>ROUNDDOWN(7.70318181818182,0)</f>
        <v>7</v>
      </c>
      <c r="D811">
        <v>3.5</v>
      </c>
      <c r="F811">
        <v>0.55000000000000004</v>
      </c>
      <c r="G811">
        <v>0.56999999999999995</v>
      </c>
      <c r="H811">
        <v>-0.48</v>
      </c>
      <c r="I811">
        <v>65.77</v>
      </c>
      <c r="J811">
        <v>5.32</v>
      </c>
      <c r="K811">
        <v>0.11</v>
      </c>
      <c r="L811">
        <v>0.06</v>
      </c>
      <c r="M811">
        <v>54.56</v>
      </c>
      <c r="O811">
        <v>31.14</v>
      </c>
      <c r="P811">
        <v>10.64</v>
      </c>
      <c r="Q811">
        <v>0</v>
      </c>
      <c r="R811">
        <v>0</v>
      </c>
    </row>
    <row r="812" spans="1:18" x14ac:dyDescent="0.25">
      <c r="A812">
        <v>140</v>
      </c>
      <c r="B812">
        <v>169.68</v>
      </c>
      <c r="C812">
        <f>ROUNDDOWN(7.71272727272727,0)</f>
        <v>7</v>
      </c>
      <c r="D812">
        <v>3.51</v>
      </c>
      <c r="F812">
        <v>0.37</v>
      </c>
      <c r="G812">
        <v>0.42</v>
      </c>
      <c r="H812">
        <v>-0.53</v>
      </c>
      <c r="I812">
        <v>65.930000000000007</v>
      </c>
      <c r="J812">
        <v>5.54</v>
      </c>
      <c r="K812">
        <v>0.04</v>
      </c>
      <c r="L812">
        <v>0.02</v>
      </c>
      <c r="M812">
        <v>54.56</v>
      </c>
      <c r="O812">
        <v>31.17</v>
      </c>
      <c r="P812">
        <v>10.66</v>
      </c>
      <c r="Q812">
        <v>0</v>
      </c>
      <c r="R812">
        <v>0</v>
      </c>
    </row>
    <row r="813" spans="1:18" x14ac:dyDescent="0.25">
      <c r="A813">
        <v>140</v>
      </c>
      <c r="B813">
        <v>169.89</v>
      </c>
      <c r="C813">
        <f>ROUNDDOWN(7.72227272727273,0)</f>
        <v>7</v>
      </c>
      <c r="D813">
        <v>3.53</v>
      </c>
      <c r="F813">
        <v>0.21</v>
      </c>
      <c r="G813">
        <v>0.3</v>
      </c>
      <c r="H813">
        <v>-0.52</v>
      </c>
      <c r="I813">
        <v>66.12</v>
      </c>
      <c r="J813">
        <v>5.73</v>
      </c>
      <c r="K813">
        <v>0.02</v>
      </c>
      <c r="L813">
        <v>0.06</v>
      </c>
      <c r="M813">
        <v>54.56</v>
      </c>
      <c r="O813">
        <v>31.2</v>
      </c>
      <c r="P813">
        <v>10.69</v>
      </c>
      <c r="Q813">
        <v>0</v>
      </c>
      <c r="R813">
        <v>0</v>
      </c>
    </row>
    <row r="814" spans="1:18" x14ac:dyDescent="0.25">
      <c r="A814">
        <v>140</v>
      </c>
      <c r="B814">
        <v>170.1</v>
      </c>
      <c r="C814">
        <f>ROUNDDOWN(7.73181818181818,0)</f>
        <v>7</v>
      </c>
      <c r="D814">
        <v>3.36</v>
      </c>
      <c r="F814">
        <v>0.1</v>
      </c>
      <c r="G814">
        <v>0.21</v>
      </c>
      <c r="H814">
        <v>-0.53</v>
      </c>
      <c r="I814">
        <v>66.239999999999995</v>
      </c>
      <c r="J814">
        <v>5.91</v>
      </c>
      <c r="K814">
        <v>0.02</v>
      </c>
      <c r="L814">
        <v>0.04</v>
      </c>
      <c r="M814">
        <v>54.56</v>
      </c>
      <c r="O814">
        <v>31.22</v>
      </c>
      <c r="P814">
        <v>10.71</v>
      </c>
      <c r="Q814">
        <v>0</v>
      </c>
      <c r="R814">
        <v>0</v>
      </c>
    </row>
    <row r="815" spans="1:18" x14ac:dyDescent="0.25">
      <c r="A815">
        <v>140</v>
      </c>
      <c r="B815">
        <v>170.31</v>
      </c>
      <c r="C815">
        <f>ROUNDDOWN(7.74136363636364,0)</f>
        <v>7</v>
      </c>
      <c r="D815">
        <v>3.12</v>
      </c>
      <c r="F815">
        <v>0.03</v>
      </c>
      <c r="G815">
        <v>0.15</v>
      </c>
      <c r="H815">
        <v>-0.55000000000000004</v>
      </c>
      <c r="I815">
        <v>66.36</v>
      </c>
      <c r="J815">
        <v>6.06</v>
      </c>
      <c r="K815">
        <v>0</v>
      </c>
      <c r="L815">
        <v>0.01</v>
      </c>
      <c r="M815">
        <v>54.56</v>
      </c>
      <c r="O815">
        <v>31.25</v>
      </c>
      <c r="P815">
        <v>10.73</v>
      </c>
      <c r="Q815">
        <v>0</v>
      </c>
      <c r="R815">
        <v>0</v>
      </c>
    </row>
    <row r="816" spans="1:18" x14ac:dyDescent="0.25">
      <c r="A816">
        <v>140</v>
      </c>
      <c r="B816">
        <v>170.51999999999998</v>
      </c>
      <c r="C816">
        <f>ROUNDDOWN(7.75090909090909,0)</f>
        <v>7</v>
      </c>
      <c r="D816">
        <v>2.91</v>
      </c>
      <c r="F816">
        <v>-0.03</v>
      </c>
      <c r="G816">
        <v>0.11</v>
      </c>
      <c r="H816">
        <v>-0.55000000000000004</v>
      </c>
      <c r="I816">
        <v>66.53</v>
      </c>
      <c r="J816">
        <v>6.18</v>
      </c>
      <c r="K816">
        <v>-0.02</v>
      </c>
      <c r="L816">
        <v>0.03</v>
      </c>
      <c r="M816">
        <v>54.56</v>
      </c>
      <c r="O816">
        <v>31.28</v>
      </c>
      <c r="P816">
        <v>10.76</v>
      </c>
      <c r="Q816">
        <v>0</v>
      </c>
      <c r="R816">
        <v>0</v>
      </c>
    </row>
    <row r="817" spans="1:18" x14ac:dyDescent="0.25">
      <c r="A817">
        <v>140</v>
      </c>
      <c r="B817">
        <v>170.73</v>
      </c>
      <c r="C817">
        <f>ROUNDDOWN(7.76045454545454,0)</f>
        <v>7</v>
      </c>
      <c r="D817">
        <v>2.81</v>
      </c>
      <c r="F817">
        <v>-0.03</v>
      </c>
      <c r="G817">
        <v>0.12</v>
      </c>
      <c r="H817">
        <v>-0.44</v>
      </c>
      <c r="I817">
        <v>66.739999999999995</v>
      </c>
      <c r="J817">
        <v>6.27</v>
      </c>
      <c r="K817">
        <v>0.05</v>
      </c>
      <c r="L817">
        <v>0.16</v>
      </c>
      <c r="M817">
        <v>54.56</v>
      </c>
      <c r="O817">
        <v>31.31</v>
      </c>
      <c r="P817">
        <v>10.78</v>
      </c>
      <c r="Q817">
        <v>0</v>
      </c>
      <c r="R817">
        <v>0</v>
      </c>
    </row>
    <row r="818" spans="1:18" x14ac:dyDescent="0.25">
      <c r="A818">
        <v>140</v>
      </c>
      <c r="B818">
        <v>170.94</v>
      </c>
      <c r="C818">
        <f>ROUNDDOWN(7.77,0)</f>
        <v>7</v>
      </c>
      <c r="D818">
        <v>2.71</v>
      </c>
      <c r="F818">
        <v>-0.03</v>
      </c>
      <c r="G818">
        <v>0.14000000000000001</v>
      </c>
      <c r="H818">
        <v>-0.32</v>
      </c>
      <c r="I818">
        <v>66.87</v>
      </c>
      <c r="J818">
        <v>6.32</v>
      </c>
      <c r="K818">
        <v>0.16</v>
      </c>
      <c r="L818">
        <v>0.27</v>
      </c>
      <c r="M818">
        <v>54.56</v>
      </c>
      <c r="O818">
        <v>31.33</v>
      </c>
      <c r="P818">
        <v>10.8</v>
      </c>
      <c r="Q818">
        <v>0</v>
      </c>
      <c r="R818">
        <v>0</v>
      </c>
    </row>
    <row r="819" spans="1:18" x14ac:dyDescent="0.25">
      <c r="A819">
        <v>140</v>
      </c>
      <c r="B819">
        <v>171.15</v>
      </c>
      <c r="C819">
        <f>ROUNDDOWN(7.77954545454546,0)</f>
        <v>7</v>
      </c>
      <c r="D819">
        <v>2.5299999999999998</v>
      </c>
      <c r="F819">
        <v>0</v>
      </c>
      <c r="G819">
        <v>0.18</v>
      </c>
      <c r="H819">
        <v>-0.25</v>
      </c>
      <c r="I819">
        <v>66.95</v>
      </c>
      <c r="J819">
        <v>6.33</v>
      </c>
      <c r="K819">
        <v>0.25</v>
      </c>
      <c r="L819">
        <v>0.3</v>
      </c>
      <c r="M819">
        <v>54.56</v>
      </c>
      <c r="O819">
        <v>31.36</v>
      </c>
      <c r="P819">
        <v>10.82</v>
      </c>
      <c r="Q819">
        <v>0</v>
      </c>
      <c r="R819">
        <v>0</v>
      </c>
    </row>
    <row r="820" spans="1:18" x14ac:dyDescent="0.25">
      <c r="A820">
        <v>140</v>
      </c>
      <c r="B820">
        <v>171.35999999999999</v>
      </c>
      <c r="C820">
        <f>ROUNDDOWN(7.78909090909091,0)</f>
        <v>7</v>
      </c>
      <c r="D820">
        <v>2.38</v>
      </c>
      <c r="F820">
        <v>0.03</v>
      </c>
      <c r="G820">
        <v>0.23</v>
      </c>
      <c r="H820">
        <v>-0.17</v>
      </c>
      <c r="I820">
        <v>67.069999999999993</v>
      </c>
      <c r="J820">
        <v>6.29</v>
      </c>
      <c r="K820">
        <v>0.32</v>
      </c>
      <c r="L820">
        <v>0.35</v>
      </c>
      <c r="M820">
        <v>54.56</v>
      </c>
      <c r="O820">
        <v>31.39</v>
      </c>
      <c r="P820">
        <v>10.84</v>
      </c>
      <c r="Q820">
        <v>0</v>
      </c>
      <c r="R820">
        <v>0</v>
      </c>
    </row>
    <row r="821" spans="1:18" x14ac:dyDescent="0.25">
      <c r="A821">
        <v>140</v>
      </c>
      <c r="B821">
        <v>171.57</v>
      </c>
      <c r="C821">
        <f>ROUNDDOWN(7.79863636363636,0)</f>
        <v>7</v>
      </c>
      <c r="D821">
        <v>2.2400000000000002</v>
      </c>
      <c r="F821">
        <v>0.12</v>
      </c>
      <c r="G821">
        <v>0.34</v>
      </c>
      <c r="H821">
        <v>-0.02</v>
      </c>
      <c r="I821">
        <v>67.180000000000007</v>
      </c>
      <c r="J821">
        <v>6.23</v>
      </c>
      <c r="K821">
        <v>0.46</v>
      </c>
      <c r="L821">
        <v>0.47</v>
      </c>
      <c r="M821">
        <v>54.57</v>
      </c>
      <c r="O821">
        <v>31.42</v>
      </c>
      <c r="P821">
        <v>10.86</v>
      </c>
      <c r="Q821">
        <v>0</v>
      </c>
      <c r="R821">
        <v>0</v>
      </c>
    </row>
    <row r="822" spans="1:18" x14ac:dyDescent="0.25">
      <c r="A822">
        <v>140</v>
      </c>
      <c r="B822">
        <v>171.78</v>
      </c>
      <c r="C822">
        <f>ROUNDDOWN(7.80818181818182,0)</f>
        <v>7</v>
      </c>
      <c r="D822">
        <v>2.06</v>
      </c>
      <c r="F822">
        <v>0.18</v>
      </c>
      <c r="G822">
        <v>0.42</v>
      </c>
      <c r="H822">
        <v>0.16</v>
      </c>
      <c r="I822">
        <v>67.22</v>
      </c>
      <c r="J822">
        <v>6.15</v>
      </c>
      <c r="K822">
        <v>0.66</v>
      </c>
      <c r="L822">
        <v>0.56999999999999995</v>
      </c>
      <c r="M822">
        <v>54.57</v>
      </c>
      <c r="O822">
        <v>31.44</v>
      </c>
      <c r="P822">
        <v>10.88</v>
      </c>
      <c r="Q822">
        <v>0</v>
      </c>
      <c r="R822">
        <v>0</v>
      </c>
    </row>
    <row r="823" spans="1:18" x14ac:dyDescent="0.25">
      <c r="A823">
        <v>140</v>
      </c>
      <c r="B823">
        <v>171.98999999999998</v>
      </c>
      <c r="C823">
        <f>ROUNDDOWN(7.81772727272727,0)</f>
        <v>7</v>
      </c>
      <c r="D823">
        <v>1.76</v>
      </c>
      <c r="F823">
        <v>0.21</v>
      </c>
      <c r="G823">
        <v>0.47</v>
      </c>
      <c r="H823">
        <v>0.28000000000000003</v>
      </c>
      <c r="I823">
        <v>67.17</v>
      </c>
      <c r="J823">
        <v>6.05</v>
      </c>
      <c r="K823">
        <v>0.83</v>
      </c>
      <c r="L823">
        <v>0.56999999999999995</v>
      </c>
      <c r="M823">
        <v>54.57</v>
      </c>
      <c r="O823">
        <v>31.47</v>
      </c>
      <c r="P823">
        <v>10.9</v>
      </c>
      <c r="Q823">
        <v>0</v>
      </c>
      <c r="R823">
        <v>0</v>
      </c>
    </row>
    <row r="824" spans="1:18" x14ac:dyDescent="0.25">
      <c r="A824">
        <v>140</v>
      </c>
      <c r="B824">
        <v>172.2</v>
      </c>
      <c r="C824">
        <f>ROUNDDOWN(7.82727272727273,0)</f>
        <v>7</v>
      </c>
      <c r="D824">
        <v>1.55</v>
      </c>
      <c r="F824">
        <v>0.22</v>
      </c>
      <c r="G824">
        <v>0.51</v>
      </c>
      <c r="H824">
        <v>0.37</v>
      </c>
      <c r="I824">
        <v>67.150000000000006</v>
      </c>
      <c r="J824">
        <v>5.95</v>
      </c>
      <c r="K824">
        <v>0.94</v>
      </c>
      <c r="L824">
        <v>0.56000000000000005</v>
      </c>
      <c r="M824">
        <v>54.57</v>
      </c>
      <c r="O824">
        <v>31.5</v>
      </c>
      <c r="P824">
        <v>10.91</v>
      </c>
      <c r="Q824">
        <v>0</v>
      </c>
      <c r="R824">
        <v>0</v>
      </c>
    </row>
    <row r="825" spans="1:18" x14ac:dyDescent="0.25">
      <c r="A825">
        <v>140</v>
      </c>
      <c r="B825">
        <v>172.41</v>
      </c>
      <c r="C825">
        <f>ROUNDDOWN(7.83681818181818,0)</f>
        <v>7</v>
      </c>
      <c r="D825">
        <v>1.51</v>
      </c>
      <c r="F825">
        <v>0.28999999999999998</v>
      </c>
      <c r="G825">
        <v>0.61</v>
      </c>
      <c r="H825">
        <v>0.48</v>
      </c>
      <c r="I825">
        <v>67.19</v>
      </c>
      <c r="J825">
        <v>5.84</v>
      </c>
      <c r="K825">
        <v>1.03</v>
      </c>
      <c r="L825">
        <v>0.61</v>
      </c>
      <c r="M825">
        <v>54.57</v>
      </c>
      <c r="O825">
        <v>31.53</v>
      </c>
      <c r="P825">
        <v>10.93</v>
      </c>
      <c r="Q825">
        <v>0</v>
      </c>
      <c r="R825">
        <v>0</v>
      </c>
    </row>
    <row r="826" spans="1:18" x14ac:dyDescent="0.25">
      <c r="A826">
        <v>140</v>
      </c>
      <c r="B826">
        <v>172.62</v>
      </c>
      <c r="C826">
        <f>ROUNDDOWN(7.84636363636364,0)</f>
        <v>7</v>
      </c>
      <c r="D826">
        <v>1.44</v>
      </c>
      <c r="F826">
        <v>0.41</v>
      </c>
      <c r="G826">
        <v>0.77</v>
      </c>
      <c r="H826">
        <v>0.6</v>
      </c>
      <c r="I826">
        <v>67.209999999999994</v>
      </c>
      <c r="J826">
        <v>5.74</v>
      </c>
      <c r="K826">
        <v>1.1399999999999999</v>
      </c>
      <c r="L826">
        <v>0.65</v>
      </c>
      <c r="M826">
        <v>54.57</v>
      </c>
      <c r="O826">
        <v>31.56</v>
      </c>
      <c r="P826">
        <v>10.95</v>
      </c>
      <c r="Q826">
        <v>0</v>
      </c>
      <c r="R826">
        <v>0</v>
      </c>
    </row>
    <row r="827" spans="1:18" x14ac:dyDescent="0.25">
      <c r="A827">
        <v>140</v>
      </c>
      <c r="B827">
        <v>172.82999999999998</v>
      </c>
      <c r="C827">
        <f>ROUNDDOWN(7.85590909090909,0)</f>
        <v>7</v>
      </c>
      <c r="D827">
        <v>1.21</v>
      </c>
      <c r="F827">
        <v>0.43</v>
      </c>
      <c r="G827">
        <v>0.82</v>
      </c>
      <c r="H827">
        <v>0.66</v>
      </c>
      <c r="I827">
        <v>67.14</v>
      </c>
      <c r="J827">
        <v>5.67</v>
      </c>
      <c r="K827">
        <v>1.21</v>
      </c>
      <c r="L827">
        <v>0.57999999999999996</v>
      </c>
      <c r="M827">
        <v>54.57</v>
      </c>
      <c r="O827">
        <v>31.59</v>
      </c>
      <c r="P827">
        <v>10.97</v>
      </c>
      <c r="Q827">
        <v>0</v>
      </c>
      <c r="R827">
        <v>0</v>
      </c>
    </row>
    <row r="828" spans="1:18" x14ac:dyDescent="0.25">
      <c r="A828">
        <v>140</v>
      </c>
      <c r="B828">
        <v>173.04</v>
      </c>
      <c r="C828">
        <f>ROUNDDOWN(7.86545454545455,0)</f>
        <v>7</v>
      </c>
      <c r="D828">
        <v>0.92</v>
      </c>
      <c r="F828">
        <v>0.28999999999999998</v>
      </c>
      <c r="G828">
        <v>0.72</v>
      </c>
      <c r="H828">
        <v>0.67</v>
      </c>
      <c r="I828">
        <v>67.040000000000006</v>
      </c>
      <c r="J828">
        <v>5.63</v>
      </c>
      <c r="K828">
        <v>1.25</v>
      </c>
      <c r="L828">
        <v>0.46</v>
      </c>
      <c r="M828">
        <v>54.57</v>
      </c>
      <c r="O828">
        <v>31.62</v>
      </c>
      <c r="P828">
        <v>10.98</v>
      </c>
      <c r="Q828">
        <v>0</v>
      </c>
      <c r="R828">
        <v>0</v>
      </c>
    </row>
    <row r="829" spans="1:18" x14ac:dyDescent="0.25">
      <c r="A829">
        <v>140</v>
      </c>
      <c r="B829">
        <v>173.25</v>
      </c>
      <c r="C829">
        <f>ROUNDDOWN(7.875,0)</f>
        <v>7</v>
      </c>
      <c r="D829">
        <v>0.69</v>
      </c>
      <c r="F829">
        <v>0.11</v>
      </c>
      <c r="G829">
        <v>0.56999999999999995</v>
      </c>
      <c r="H829">
        <v>0.72</v>
      </c>
      <c r="I829">
        <v>66.94</v>
      </c>
      <c r="J829">
        <v>5.61</v>
      </c>
      <c r="K829">
        <v>1.32</v>
      </c>
      <c r="L829">
        <v>0.38</v>
      </c>
      <c r="M829">
        <v>54.57</v>
      </c>
      <c r="O829">
        <v>31.65</v>
      </c>
      <c r="P829">
        <v>11</v>
      </c>
      <c r="Q829">
        <v>0</v>
      </c>
      <c r="R829">
        <v>0</v>
      </c>
    </row>
    <row r="830" spans="1:18" x14ac:dyDescent="0.25">
      <c r="A830">
        <v>140</v>
      </c>
      <c r="B830">
        <v>173.45999999999998</v>
      </c>
      <c r="C830">
        <f>ROUNDDOWN(7.88454545454545,0)</f>
        <v>7</v>
      </c>
      <c r="D830">
        <v>0.46</v>
      </c>
      <c r="F830">
        <v>-7.0000000000000007E-2</v>
      </c>
      <c r="G830">
        <v>0.41</v>
      </c>
      <c r="H830">
        <v>0.81</v>
      </c>
      <c r="I830">
        <v>66.83</v>
      </c>
      <c r="J830">
        <v>5.6</v>
      </c>
      <c r="K830">
        <v>1.43</v>
      </c>
      <c r="L830">
        <v>0.36</v>
      </c>
      <c r="M830">
        <v>54.57</v>
      </c>
      <c r="O830">
        <v>31.67</v>
      </c>
      <c r="P830">
        <v>11.02</v>
      </c>
      <c r="Q830">
        <v>0</v>
      </c>
      <c r="R830">
        <v>0</v>
      </c>
    </row>
    <row r="831" spans="1:18" x14ac:dyDescent="0.25">
      <c r="A831">
        <v>140</v>
      </c>
      <c r="B831">
        <v>173.67</v>
      </c>
      <c r="C831">
        <f>ROUNDDOWN(7.89409090909091,0)</f>
        <v>7</v>
      </c>
      <c r="D831">
        <v>0.15</v>
      </c>
      <c r="F831">
        <v>-0.21</v>
      </c>
      <c r="G831">
        <v>0.28000000000000003</v>
      </c>
      <c r="H831">
        <v>0.91</v>
      </c>
      <c r="I831">
        <v>66.69</v>
      </c>
      <c r="J831">
        <v>5.58</v>
      </c>
      <c r="K831">
        <v>1.54</v>
      </c>
      <c r="L831">
        <v>0.33</v>
      </c>
      <c r="M831">
        <v>54.57</v>
      </c>
      <c r="O831">
        <v>31.7</v>
      </c>
      <c r="P831">
        <v>11.03</v>
      </c>
      <c r="Q831">
        <v>0</v>
      </c>
      <c r="R831">
        <v>0</v>
      </c>
    </row>
    <row r="832" spans="1:18" x14ac:dyDescent="0.25">
      <c r="A832">
        <v>140</v>
      </c>
      <c r="B832">
        <v>173.88</v>
      </c>
      <c r="C832">
        <f>ROUNDDOWN(7.90363636363636,0)</f>
        <v>7</v>
      </c>
      <c r="D832">
        <v>-0.14000000000000001</v>
      </c>
      <c r="F832">
        <v>-0.3</v>
      </c>
      <c r="G832">
        <v>0.2</v>
      </c>
      <c r="H832">
        <v>1.06</v>
      </c>
      <c r="I832">
        <v>66.59</v>
      </c>
      <c r="J832">
        <v>5.55</v>
      </c>
      <c r="K832">
        <v>1.67</v>
      </c>
      <c r="L832">
        <v>0.37</v>
      </c>
      <c r="M832">
        <v>54.57</v>
      </c>
      <c r="O832">
        <v>31.73</v>
      </c>
      <c r="P832">
        <v>11.05</v>
      </c>
      <c r="Q832">
        <v>0</v>
      </c>
      <c r="R832">
        <v>0</v>
      </c>
    </row>
    <row r="833" spans="1:18" x14ac:dyDescent="0.25">
      <c r="A833">
        <v>140</v>
      </c>
      <c r="B833">
        <v>174.09</v>
      </c>
      <c r="C833">
        <f>ROUNDDOWN(7.91318181818182,0)</f>
        <v>7</v>
      </c>
      <c r="D833">
        <v>-0.31</v>
      </c>
      <c r="F833">
        <v>-0.34</v>
      </c>
      <c r="G833">
        <v>0.16</v>
      </c>
      <c r="H833">
        <v>1.25</v>
      </c>
      <c r="I833">
        <v>66.56</v>
      </c>
      <c r="J833">
        <v>5.5</v>
      </c>
      <c r="K833">
        <v>1.8</v>
      </c>
      <c r="L833">
        <v>0.49</v>
      </c>
      <c r="M833">
        <v>54.57</v>
      </c>
      <c r="O833">
        <v>31.76</v>
      </c>
      <c r="P833">
        <v>11.06</v>
      </c>
      <c r="Q833">
        <v>0</v>
      </c>
      <c r="R833">
        <v>0</v>
      </c>
    </row>
    <row r="834" spans="1:18" x14ac:dyDescent="0.25">
      <c r="A834">
        <v>140</v>
      </c>
      <c r="B834">
        <v>174.29999999999998</v>
      </c>
      <c r="C834">
        <f>ROUNDDOWN(7.92272727272727,0)</f>
        <v>7</v>
      </c>
      <c r="D834">
        <v>-0.42</v>
      </c>
      <c r="F834">
        <v>-0.36</v>
      </c>
      <c r="G834">
        <v>0.15</v>
      </c>
      <c r="H834">
        <v>1.44</v>
      </c>
      <c r="I834">
        <v>66.53</v>
      </c>
      <c r="J834">
        <v>5.43</v>
      </c>
      <c r="K834">
        <v>1.92</v>
      </c>
      <c r="L834">
        <v>0.62</v>
      </c>
      <c r="M834">
        <v>54.57</v>
      </c>
      <c r="O834">
        <v>31.79</v>
      </c>
      <c r="P834">
        <v>11.08</v>
      </c>
      <c r="Q834">
        <v>0</v>
      </c>
      <c r="R834">
        <v>0</v>
      </c>
    </row>
    <row r="835" spans="1:18" x14ac:dyDescent="0.25">
      <c r="A835">
        <v>140</v>
      </c>
      <c r="B835">
        <v>174.51</v>
      </c>
      <c r="C835">
        <f>ROUNDDOWN(7.93227272727273,0)</f>
        <v>7</v>
      </c>
      <c r="D835">
        <v>-0.52</v>
      </c>
      <c r="F835">
        <v>-0.36</v>
      </c>
      <c r="G835">
        <v>0.14000000000000001</v>
      </c>
      <c r="H835">
        <v>1.56</v>
      </c>
      <c r="I835">
        <v>66.55</v>
      </c>
      <c r="J835">
        <v>5.34</v>
      </c>
      <c r="K835">
        <v>1.93</v>
      </c>
      <c r="L835">
        <v>0.68</v>
      </c>
      <c r="M835">
        <v>54.57</v>
      </c>
      <c r="O835">
        <v>31.82</v>
      </c>
      <c r="P835">
        <v>11.09</v>
      </c>
      <c r="Q835">
        <v>0</v>
      </c>
      <c r="R835">
        <v>0</v>
      </c>
    </row>
    <row r="836" spans="1:18" x14ac:dyDescent="0.25">
      <c r="A836">
        <v>140</v>
      </c>
      <c r="B836">
        <v>174.72</v>
      </c>
      <c r="C836">
        <f>ROUNDDOWN(7.94181818181818,0)</f>
        <v>7</v>
      </c>
      <c r="D836">
        <v>-0.5</v>
      </c>
      <c r="F836">
        <v>-0.38</v>
      </c>
      <c r="G836">
        <v>0.12</v>
      </c>
      <c r="H836">
        <v>1.7</v>
      </c>
      <c r="I836">
        <v>66.69</v>
      </c>
      <c r="J836">
        <v>5.25</v>
      </c>
      <c r="K836">
        <v>1.9</v>
      </c>
      <c r="L836">
        <v>0.81</v>
      </c>
      <c r="M836">
        <v>54.57</v>
      </c>
      <c r="O836">
        <v>31.85</v>
      </c>
      <c r="P836">
        <v>11.11</v>
      </c>
      <c r="Q836">
        <v>0</v>
      </c>
      <c r="R836">
        <v>0</v>
      </c>
    </row>
    <row r="837" spans="1:18" x14ac:dyDescent="0.25">
      <c r="A837">
        <v>140</v>
      </c>
      <c r="B837">
        <v>174.93</v>
      </c>
      <c r="C837">
        <f>ROUNDDOWN(7.95136363636364,0)</f>
        <v>7</v>
      </c>
      <c r="D837">
        <v>-0.34</v>
      </c>
      <c r="F837">
        <v>-0.38</v>
      </c>
      <c r="G837">
        <v>0.12</v>
      </c>
      <c r="H837">
        <v>1.88</v>
      </c>
      <c r="I837">
        <v>66.87</v>
      </c>
      <c r="J837">
        <v>5.17</v>
      </c>
      <c r="K837">
        <v>1.89</v>
      </c>
      <c r="L837">
        <v>1.02</v>
      </c>
      <c r="M837">
        <v>54.57</v>
      </c>
      <c r="O837">
        <v>31.88</v>
      </c>
      <c r="P837">
        <v>11.12</v>
      </c>
      <c r="Q837">
        <v>0</v>
      </c>
      <c r="R837">
        <v>0</v>
      </c>
    </row>
    <row r="838" spans="1:18" x14ac:dyDescent="0.25">
      <c r="A838">
        <v>140</v>
      </c>
      <c r="B838">
        <v>175.14</v>
      </c>
      <c r="C838">
        <f>ROUNDDOWN(7.96090909090909,0)</f>
        <v>7</v>
      </c>
      <c r="D838">
        <v>-0.17</v>
      </c>
      <c r="F838">
        <v>-0.39</v>
      </c>
      <c r="G838">
        <v>0.1</v>
      </c>
      <c r="H838">
        <v>2.0699999999999998</v>
      </c>
      <c r="I838">
        <v>66.989999999999995</v>
      </c>
      <c r="J838">
        <v>5.08</v>
      </c>
      <c r="K838">
        <v>1.92</v>
      </c>
      <c r="L838">
        <v>1.17</v>
      </c>
      <c r="M838">
        <v>54.57</v>
      </c>
      <c r="O838">
        <v>31.91</v>
      </c>
      <c r="P838">
        <v>11.14</v>
      </c>
      <c r="Q838">
        <v>0</v>
      </c>
      <c r="R838">
        <v>0</v>
      </c>
    </row>
    <row r="839" spans="1:18" x14ac:dyDescent="0.25">
      <c r="A839">
        <v>140</v>
      </c>
      <c r="B839">
        <v>175.35</v>
      </c>
      <c r="C839">
        <f>ROUNDDOWN(7.97045454545454,0)</f>
        <v>7</v>
      </c>
      <c r="D839">
        <v>-0.09</v>
      </c>
      <c r="F839">
        <v>-0.44</v>
      </c>
      <c r="G839">
        <v>0.06</v>
      </c>
      <c r="H839">
        <v>2.17</v>
      </c>
      <c r="I839">
        <v>67.06</v>
      </c>
      <c r="J839">
        <v>5</v>
      </c>
      <c r="K839">
        <v>1.88</v>
      </c>
      <c r="L839">
        <v>1.21</v>
      </c>
      <c r="M839">
        <v>54.57</v>
      </c>
      <c r="O839">
        <v>31.94</v>
      </c>
      <c r="P839">
        <v>11.15</v>
      </c>
      <c r="Q839">
        <v>0</v>
      </c>
      <c r="R839">
        <v>0</v>
      </c>
    </row>
    <row r="840" spans="1:18" x14ac:dyDescent="0.25">
      <c r="A840">
        <v>140</v>
      </c>
      <c r="B840">
        <v>175.56</v>
      </c>
      <c r="C840">
        <f>ROUNDDOWN(7.98,0)</f>
        <v>7</v>
      </c>
      <c r="D840">
        <v>0.02</v>
      </c>
      <c r="F840">
        <v>-0.5</v>
      </c>
      <c r="G840">
        <v>-0.01</v>
      </c>
      <c r="H840">
        <v>2.21</v>
      </c>
      <c r="I840">
        <v>67.209999999999994</v>
      </c>
      <c r="J840">
        <v>4.93</v>
      </c>
      <c r="K840">
        <v>1.75</v>
      </c>
      <c r="L840">
        <v>1.22</v>
      </c>
      <c r="M840">
        <v>54.57</v>
      </c>
      <c r="O840">
        <v>31.98</v>
      </c>
      <c r="P840">
        <v>11.17</v>
      </c>
      <c r="Q840">
        <v>0</v>
      </c>
      <c r="R840">
        <v>0</v>
      </c>
    </row>
    <row r="841" spans="1:18" x14ac:dyDescent="0.25">
      <c r="A841">
        <v>140</v>
      </c>
      <c r="B841">
        <v>175.76999999999998</v>
      </c>
      <c r="C841">
        <f>ROUNDDOWN(7.98954545454545,0)</f>
        <v>7</v>
      </c>
      <c r="D841">
        <v>0.28999999999999998</v>
      </c>
      <c r="F841">
        <v>-0.54</v>
      </c>
      <c r="G841">
        <v>-7.0000000000000007E-2</v>
      </c>
      <c r="H841">
        <v>2.2599999999999998</v>
      </c>
      <c r="I841">
        <v>67.5</v>
      </c>
      <c r="J841">
        <v>4.8600000000000003</v>
      </c>
      <c r="K841">
        <v>1.56</v>
      </c>
      <c r="L841">
        <v>1.31</v>
      </c>
      <c r="M841">
        <v>54.57</v>
      </c>
      <c r="O841">
        <v>32.01</v>
      </c>
      <c r="P841">
        <v>11.18</v>
      </c>
      <c r="Q841">
        <v>0</v>
      </c>
      <c r="R841">
        <v>0</v>
      </c>
    </row>
    <row r="842" spans="1:18" x14ac:dyDescent="0.25">
      <c r="A842">
        <v>140</v>
      </c>
      <c r="B842">
        <v>175.98</v>
      </c>
      <c r="C842">
        <f>ROUNDDOWN(7.99909090909091,0)</f>
        <v>7</v>
      </c>
      <c r="D842">
        <v>0.62</v>
      </c>
      <c r="F842">
        <v>-0.56999999999999995</v>
      </c>
      <c r="G842">
        <v>-0.11</v>
      </c>
      <c r="H842">
        <v>2.25</v>
      </c>
      <c r="I842">
        <v>67.760000000000005</v>
      </c>
      <c r="J842">
        <v>4.79</v>
      </c>
      <c r="K842">
        <v>1.35</v>
      </c>
      <c r="L842">
        <v>1.32</v>
      </c>
      <c r="M842">
        <v>54.57</v>
      </c>
      <c r="O842">
        <v>32.04</v>
      </c>
      <c r="P842">
        <v>11.2</v>
      </c>
      <c r="Q842">
        <v>0</v>
      </c>
      <c r="R842">
        <v>0</v>
      </c>
    </row>
    <row r="843" spans="1:18" x14ac:dyDescent="0.25">
      <c r="A843">
        <v>140</v>
      </c>
      <c r="B843">
        <v>176.19</v>
      </c>
      <c r="C843">
        <f>ROUNDDOWN(8.00863636363636,0)</f>
        <v>8</v>
      </c>
      <c r="D843">
        <v>0.88</v>
      </c>
      <c r="F843">
        <v>-0.64</v>
      </c>
      <c r="G843">
        <v>-0.19</v>
      </c>
      <c r="H843">
        <v>2.17</v>
      </c>
      <c r="I843">
        <v>67.92</v>
      </c>
      <c r="J843">
        <v>4.72</v>
      </c>
      <c r="K843">
        <v>1.1200000000000001</v>
      </c>
      <c r="L843">
        <v>1.2</v>
      </c>
      <c r="M843">
        <v>54.57</v>
      </c>
      <c r="O843">
        <v>32.07</v>
      </c>
      <c r="P843">
        <v>11.21</v>
      </c>
      <c r="Q843">
        <v>0</v>
      </c>
      <c r="R843">
        <v>0</v>
      </c>
    </row>
    <row r="844" spans="1:18" x14ac:dyDescent="0.25">
      <c r="A844">
        <v>140</v>
      </c>
      <c r="B844">
        <v>176.4</v>
      </c>
      <c r="C844">
        <f>ROUNDDOWN(8.01818181818182,0)</f>
        <v>8</v>
      </c>
      <c r="D844">
        <v>1.1200000000000001</v>
      </c>
      <c r="F844">
        <v>-0.71</v>
      </c>
      <c r="G844">
        <v>-0.28000000000000003</v>
      </c>
      <c r="H844">
        <v>2.0699999999999998</v>
      </c>
      <c r="I844">
        <v>68.06</v>
      </c>
      <c r="J844">
        <v>4.6500000000000004</v>
      </c>
      <c r="K844">
        <v>0.9</v>
      </c>
      <c r="L844">
        <v>1.06</v>
      </c>
      <c r="M844">
        <v>54.57</v>
      </c>
      <c r="O844">
        <v>32.1</v>
      </c>
      <c r="P844">
        <v>11.22</v>
      </c>
      <c r="Q844">
        <v>0</v>
      </c>
      <c r="R844">
        <v>0</v>
      </c>
    </row>
    <row r="845" spans="1:18" x14ac:dyDescent="0.25">
      <c r="A845">
        <v>140</v>
      </c>
      <c r="B845">
        <v>176.60999999999999</v>
      </c>
      <c r="C845">
        <f>ROUNDDOWN(8.02772727272727,0)</f>
        <v>8</v>
      </c>
      <c r="D845">
        <v>1.42</v>
      </c>
      <c r="F845">
        <v>-0.73</v>
      </c>
      <c r="G845">
        <v>-0.33</v>
      </c>
      <c r="H845">
        <v>2.0099999999999998</v>
      </c>
      <c r="I845">
        <v>68.25</v>
      </c>
      <c r="J845">
        <v>4.57</v>
      </c>
      <c r="K845">
        <v>0.7</v>
      </c>
      <c r="L845">
        <v>0.99</v>
      </c>
      <c r="M845">
        <v>54.58</v>
      </c>
      <c r="O845">
        <v>32.130000000000003</v>
      </c>
      <c r="P845">
        <v>11.24</v>
      </c>
      <c r="Q845">
        <v>0</v>
      </c>
      <c r="R845">
        <v>0</v>
      </c>
    </row>
    <row r="846" spans="1:18" x14ac:dyDescent="0.25">
      <c r="A846">
        <v>140</v>
      </c>
      <c r="B846">
        <v>176.82</v>
      </c>
      <c r="C846">
        <f>ROUNDDOWN(8.03727272727273,0)</f>
        <v>8</v>
      </c>
      <c r="D846">
        <v>1.74</v>
      </c>
      <c r="F846">
        <v>-0.68</v>
      </c>
      <c r="G846">
        <v>-0.3</v>
      </c>
      <c r="H846">
        <v>2</v>
      </c>
      <c r="I846">
        <v>68.430000000000007</v>
      </c>
      <c r="J846">
        <v>4.49</v>
      </c>
      <c r="K846">
        <v>0.56000000000000005</v>
      </c>
      <c r="L846">
        <v>0.95</v>
      </c>
      <c r="M846">
        <v>54.58</v>
      </c>
      <c r="O846">
        <v>32.159999999999997</v>
      </c>
      <c r="P846">
        <v>11.25</v>
      </c>
      <c r="Q846">
        <v>0</v>
      </c>
      <c r="R846">
        <v>0</v>
      </c>
    </row>
    <row r="847" spans="1:18" x14ac:dyDescent="0.25">
      <c r="A847">
        <v>140</v>
      </c>
      <c r="B847">
        <v>177.03</v>
      </c>
      <c r="C847">
        <f>ROUNDDOWN(8.04681818181818,0)</f>
        <v>8</v>
      </c>
      <c r="D847">
        <v>1.94</v>
      </c>
      <c r="F847">
        <v>-0.64</v>
      </c>
      <c r="G847">
        <v>-0.27</v>
      </c>
      <c r="H847">
        <v>1.99</v>
      </c>
      <c r="I847">
        <v>68.53</v>
      </c>
      <c r="J847">
        <v>4.41</v>
      </c>
      <c r="K847">
        <v>0.47</v>
      </c>
      <c r="L847">
        <v>0.88</v>
      </c>
      <c r="M847">
        <v>54.58</v>
      </c>
      <c r="O847">
        <v>32.19</v>
      </c>
      <c r="P847">
        <v>11.26</v>
      </c>
      <c r="Q847">
        <v>0</v>
      </c>
      <c r="R847">
        <v>0</v>
      </c>
    </row>
    <row r="848" spans="1:18" x14ac:dyDescent="0.25">
      <c r="A848">
        <v>140</v>
      </c>
      <c r="B848">
        <v>177.23999999999998</v>
      </c>
      <c r="C848">
        <f>ROUNDDOWN(8.05636363636363,0)</f>
        <v>8</v>
      </c>
      <c r="D848">
        <v>2</v>
      </c>
      <c r="F848">
        <v>-0.63</v>
      </c>
      <c r="G848">
        <v>-0.28999999999999998</v>
      </c>
      <c r="H848">
        <v>2.02</v>
      </c>
      <c r="I848">
        <v>68.56</v>
      </c>
      <c r="J848">
        <v>4.3499999999999996</v>
      </c>
      <c r="K848">
        <v>0.45</v>
      </c>
      <c r="L848">
        <v>0.82</v>
      </c>
      <c r="M848">
        <v>54.58</v>
      </c>
      <c r="O848">
        <v>32.229999999999997</v>
      </c>
      <c r="P848">
        <v>11.28</v>
      </c>
      <c r="Q848">
        <v>0</v>
      </c>
      <c r="R848">
        <v>0</v>
      </c>
    </row>
    <row r="849" spans="1:18" x14ac:dyDescent="0.25">
      <c r="A849">
        <v>140</v>
      </c>
      <c r="B849">
        <v>177.45</v>
      </c>
      <c r="C849">
        <f>ROUNDDOWN(8.06590909090909,0)</f>
        <v>8</v>
      </c>
      <c r="D849">
        <v>2.0499999999999998</v>
      </c>
      <c r="F849">
        <v>-0.6</v>
      </c>
      <c r="G849">
        <v>-0.28000000000000003</v>
      </c>
      <c r="H849">
        <v>2.08</v>
      </c>
      <c r="I849">
        <v>68.58</v>
      </c>
      <c r="J849">
        <v>4.28</v>
      </c>
      <c r="K849">
        <v>0.47</v>
      </c>
      <c r="L849">
        <v>0.78</v>
      </c>
      <c r="M849">
        <v>54.58</v>
      </c>
      <c r="O849">
        <v>32.26</v>
      </c>
      <c r="P849">
        <v>11.29</v>
      </c>
      <c r="Q849">
        <v>0</v>
      </c>
      <c r="R849">
        <v>0</v>
      </c>
    </row>
    <row r="850" spans="1:18" x14ac:dyDescent="0.25">
      <c r="A850">
        <v>140</v>
      </c>
      <c r="B850">
        <v>177.66</v>
      </c>
      <c r="C850">
        <f>ROUNDDOWN(8.07545454545455,0)</f>
        <v>8</v>
      </c>
      <c r="D850">
        <v>2.0699999999999998</v>
      </c>
      <c r="F850">
        <v>-0.53</v>
      </c>
      <c r="G850">
        <v>-0.22</v>
      </c>
      <c r="H850">
        <v>2.13</v>
      </c>
      <c r="I850">
        <v>68.62</v>
      </c>
      <c r="J850">
        <v>4.22</v>
      </c>
      <c r="K850">
        <v>0.47</v>
      </c>
      <c r="L850">
        <v>0.74</v>
      </c>
      <c r="M850">
        <v>54.58</v>
      </c>
      <c r="O850">
        <v>32.29</v>
      </c>
      <c r="P850">
        <v>11.3</v>
      </c>
      <c r="Q850">
        <v>0</v>
      </c>
      <c r="R850">
        <v>0</v>
      </c>
    </row>
    <row r="851" spans="1:18" x14ac:dyDescent="0.25">
      <c r="A851">
        <v>140</v>
      </c>
      <c r="B851">
        <v>177.87</v>
      </c>
      <c r="C851">
        <f>ROUNDDOWN(8.085,0)</f>
        <v>8</v>
      </c>
      <c r="D851">
        <v>1.97</v>
      </c>
      <c r="F851">
        <v>-0.43</v>
      </c>
      <c r="G851">
        <v>-0.14000000000000001</v>
      </c>
      <c r="H851">
        <v>2.14</v>
      </c>
      <c r="I851">
        <v>68.650000000000006</v>
      </c>
      <c r="J851">
        <v>4.18</v>
      </c>
      <c r="K851">
        <v>0.43</v>
      </c>
      <c r="L851">
        <v>0.68</v>
      </c>
      <c r="M851">
        <v>54.58</v>
      </c>
      <c r="O851">
        <v>32.32</v>
      </c>
      <c r="P851">
        <v>11.31</v>
      </c>
      <c r="Q851">
        <v>0</v>
      </c>
      <c r="R851">
        <v>0</v>
      </c>
    </row>
    <row r="852" spans="1:18" x14ac:dyDescent="0.25">
      <c r="A852">
        <v>140</v>
      </c>
      <c r="B852">
        <v>178.07999999999998</v>
      </c>
      <c r="C852">
        <f>ROUNDDOWN(8.09454545454545,0)</f>
        <v>8</v>
      </c>
      <c r="D852">
        <v>1.83</v>
      </c>
      <c r="F852">
        <v>-0.37</v>
      </c>
      <c r="G852">
        <v>-0.1</v>
      </c>
      <c r="H852">
        <v>2.14</v>
      </c>
      <c r="I852">
        <v>68.7</v>
      </c>
      <c r="J852">
        <v>4.1500000000000004</v>
      </c>
      <c r="K852">
        <v>0.37</v>
      </c>
      <c r="L852">
        <v>0.6</v>
      </c>
      <c r="M852">
        <v>54.58</v>
      </c>
      <c r="O852">
        <v>32.35</v>
      </c>
      <c r="P852">
        <v>11.33</v>
      </c>
      <c r="Q852">
        <v>0</v>
      </c>
      <c r="R852">
        <v>0</v>
      </c>
    </row>
    <row r="853" spans="1:18" x14ac:dyDescent="0.25">
      <c r="A853">
        <v>140</v>
      </c>
      <c r="B853">
        <v>178.29</v>
      </c>
      <c r="C853">
        <f>ROUNDDOWN(8.10409090909091,0)</f>
        <v>8</v>
      </c>
      <c r="D853">
        <v>1.83</v>
      </c>
      <c r="F853">
        <v>-0.34</v>
      </c>
      <c r="G853">
        <v>-0.08</v>
      </c>
      <c r="H853">
        <v>2.09</v>
      </c>
      <c r="I853">
        <v>68.819999999999993</v>
      </c>
      <c r="J853">
        <v>4.1500000000000004</v>
      </c>
      <c r="K853">
        <v>0.23</v>
      </c>
      <c r="L853">
        <v>0.52</v>
      </c>
      <c r="M853">
        <v>54.58</v>
      </c>
      <c r="O853">
        <v>32.39</v>
      </c>
      <c r="P853">
        <v>11.34</v>
      </c>
      <c r="Q853">
        <v>0</v>
      </c>
      <c r="R853">
        <v>0</v>
      </c>
    </row>
    <row r="854" spans="1:18" x14ac:dyDescent="0.25">
      <c r="A854">
        <v>140</v>
      </c>
      <c r="B854">
        <v>178.5</v>
      </c>
      <c r="C854">
        <f>ROUNDDOWN(8.11363636363636,0)</f>
        <v>8</v>
      </c>
      <c r="D854">
        <v>1.97</v>
      </c>
      <c r="F854">
        <v>-0.33</v>
      </c>
      <c r="G854">
        <v>-0.08</v>
      </c>
      <c r="H854">
        <v>1.99</v>
      </c>
      <c r="I854">
        <v>69.03</v>
      </c>
      <c r="J854">
        <v>4.17</v>
      </c>
      <c r="K854">
        <v>0.01</v>
      </c>
      <c r="L854">
        <v>0.44</v>
      </c>
      <c r="M854">
        <v>54.58</v>
      </c>
      <c r="O854">
        <v>32.42</v>
      </c>
      <c r="P854">
        <v>11.36</v>
      </c>
      <c r="Q854">
        <v>0</v>
      </c>
      <c r="R854">
        <v>0</v>
      </c>
    </row>
    <row r="855" spans="1:18" x14ac:dyDescent="0.25">
      <c r="A855">
        <v>140</v>
      </c>
      <c r="B855">
        <v>178.70999999999998</v>
      </c>
      <c r="C855">
        <f>ROUNDDOWN(8.12318181818182,0)</f>
        <v>8</v>
      </c>
      <c r="D855">
        <v>2.08</v>
      </c>
      <c r="F855">
        <v>-0.35</v>
      </c>
      <c r="G855">
        <v>-0.11</v>
      </c>
      <c r="H855">
        <v>1.86</v>
      </c>
      <c r="I855">
        <v>69.290000000000006</v>
      </c>
      <c r="J855">
        <v>4.22</v>
      </c>
      <c r="K855">
        <v>-0.26</v>
      </c>
      <c r="L855">
        <v>0.34</v>
      </c>
      <c r="M855">
        <v>54.58</v>
      </c>
      <c r="O855">
        <v>32.450000000000003</v>
      </c>
      <c r="P855">
        <v>11.37</v>
      </c>
      <c r="Q855">
        <v>0</v>
      </c>
      <c r="R855">
        <v>0</v>
      </c>
    </row>
    <row r="856" spans="1:18" x14ac:dyDescent="0.25">
      <c r="A856">
        <v>140</v>
      </c>
      <c r="B856">
        <v>178.92</v>
      </c>
      <c r="C856">
        <f>ROUNDDOWN(8.13272727272727,0)</f>
        <v>8</v>
      </c>
      <c r="D856">
        <v>2.02</v>
      </c>
      <c r="F856">
        <v>-0.37</v>
      </c>
      <c r="G856">
        <v>-0.14000000000000001</v>
      </c>
      <c r="H856">
        <v>1.7</v>
      </c>
      <c r="I856">
        <v>69.52</v>
      </c>
      <c r="J856">
        <v>4.29</v>
      </c>
      <c r="K856">
        <v>-0.52</v>
      </c>
      <c r="L856">
        <v>0.21</v>
      </c>
      <c r="M856">
        <v>54.58</v>
      </c>
      <c r="O856">
        <v>32.479999999999997</v>
      </c>
      <c r="P856">
        <v>11.39</v>
      </c>
      <c r="Q856">
        <v>0</v>
      </c>
      <c r="R856">
        <v>0</v>
      </c>
    </row>
    <row r="857" spans="1:18" x14ac:dyDescent="0.25">
      <c r="A857">
        <v>140</v>
      </c>
      <c r="B857">
        <v>179.13</v>
      </c>
      <c r="C857">
        <f>ROUNDDOWN(8.14227272727273,0)</f>
        <v>8</v>
      </c>
      <c r="D857">
        <v>1.91</v>
      </c>
      <c r="F857">
        <v>-0.34</v>
      </c>
      <c r="G857">
        <v>-0.13</v>
      </c>
      <c r="H857">
        <v>1.53</v>
      </c>
      <c r="I857">
        <v>69.680000000000007</v>
      </c>
      <c r="J857">
        <v>4.37</v>
      </c>
      <c r="K857">
        <v>-0.75</v>
      </c>
      <c r="L857">
        <v>0.03</v>
      </c>
      <c r="M857">
        <v>54.58</v>
      </c>
      <c r="O857">
        <v>32.520000000000003</v>
      </c>
      <c r="P857">
        <v>11.4</v>
      </c>
      <c r="Q857">
        <v>0</v>
      </c>
      <c r="R857">
        <v>0</v>
      </c>
    </row>
    <row r="858" spans="1:18" x14ac:dyDescent="0.25">
      <c r="A858">
        <v>140</v>
      </c>
      <c r="B858">
        <v>179.34</v>
      </c>
      <c r="C858">
        <f>ROUNDDOWN(8.15181818181818,0)</f>
        <v>8</v>
      </c>
      <c r="D858">
        <v>1.9</v>
      </c>
      <c r="F858">
        <v>-0.28000000000000003</v>
      </c>
      <c r="G858">
        <v>-0.08</v>
      </c>
      <c r="H858">
        <v>1.29</v>
      </c>
      <c r="I858">
        <v>69.819999999999993</v>
      </c>
      <c r="J858">
        <v>4.46</v>
      </c>
      <c r="K858">
        <v>-1.02</v>
      </c>
      <c r="L858">
        <v>-0.21</v>
      </c>
      <c r="M858">
        <v>54.58</v>
      </c>
      <c r="O858">
        <v>32.549999999999997</v>
      </c>
      <c r="P858">
        <v>11.41</v>
      </c>
      <c r="Q858">
        <v>0</v>
      </c>
      <c r="R858">
        <v>0</v>
      </c>
    </row>
    <row r="859" spans="1:18" x14ac:dyDescent="0.25">
      <c r="A859">
        <v>140</v>
      </c>
      <c r="B859">
        <v>179.54999999999998</v>
      </c>
      <c r="C859">
        <f>ROUNDDOWN(8.16136363636364,0)</f>
        <v>8</v>
      </c>
      <c r="D859">
        <v>1.85</v>
      </c>
      <c r="F859">
        <v>-0.21</v>
      </c>
      <c r="G859">
        <v>-0.02</v>
      </c>
      <c r="H859">
        <v>1.05</v>
      </c>
      <c r="I859">
        <v>69.91</v>
      </c>
      <c r="J859">
        <v>4.5599999999999996</v>
      </c>
      <c r="K859">
        <v>-1.24</v>
      </c>
      <c r="L859">
        <v>-0.47</v>
      </c>
      <c r="M859">
        <v>54.58</v>
      </c>
      <c r="O859">
        <v>32.58</v>
      </c>
      <c r="P859">
        <v>11.42</v>
      </c>
      <c r="Q859">
        <v>0</v>
      </c>
      <c r="R859">
        <v>0</v>
      </c>
    </row>
    <row r="860" spans="1:18" x14ac:dyDescent="0.25">
      <c r="A860">
        <v>140</v>
      </c>
      <c r="B860">
        <v>179.76</v>
      </c>
      <c r="C860">
        <f>ROUNDDOWN(8.17090909090909,0)</f>
        <v>8</v>
      </c>
      <c r="D860">
        <v>1.66</v>
      </c>
      <c r="F860">
        <v>-0.15</v>
      </c>
      <c r="G860">
        <v>0.04</v>
      </c>
      <c r="H860">
        <v>0.88</v>
      </c>
      <c r="I860">
        <v>69.91</v>
      </c>
      <c r="J860">
        <v>4.67</v>
      </c>
      <c r="K860">
        <v>-1.36</v>
      </c>
      <c r="L860">
        <v>-0.7</v>
      </c>
      <c r="M860">
        <v>54.58</v>
      </c>
      <c r="O860">
        <v>32.619999999999997</v>
      </c>
      <c r="P860">
        <v>11.43</v>
      </c>
      <c r="Q860">
        <v>0</v>
      </c>
      <c r="R860">
        <v>0</v>
      </c>
    </row>
    <row r="861" spans="1:18" x14ac:dyDescent="0.25">
      <c r="A861">
        <v>140</v>
      </c>
      <c r="B861">
        <v>179.97</v>
      </c>
      <c r="C861">
        <f>ROUNDDOWN(8.18045454545454,0)</f>
        <v>8</v>
      </c>
      <c r="D861">
        <v>1.46</v>
      </c>
      <c r="F861">
        <v>-0.09</v>
      </c>
      <c r="G861">
        <v>0.09</v>
      </c>
      <c r="H861">
        <v>0.7</v>
      </c>
      <c r="I861">
        <v>69.89</v>
      </c>
      <c r="J861">
        <v>4.7699999999999996</v>
      </c>
      <c r="K861">
        <v>-1.46</v>
      </c>
      <c r="L861">
        <v>-0.91</v>
      </c>
      <c r="M861">
        <v>54.58</v>
      </c>
      <c r="O861">
        <v>32.65</v>
      </c>
      <c r="P861">
        <v>11.44</v>
      </c>
      <c r="Q861">
        <v>0</v>
      </c>
      <c r="R861">
        <v>0</v>
      </c>
    </row>
    <row r="862" spans="1:18" x14ac:dyDescent="0.25">
      <c r="A862">
        <v>140</v>
      </c>
      <c r="B862">
        <v>180.18</v>
      </c>
      <c r="C862">
        <f>ROUNDDOWN(8.19,0)</f>
        <v>8</v>
      </c>
      <c r="D862">
        <v>1.4</v>
      </c>
      <c r="F862">
        <v>0</v>
      </c>
      <c r="G862">
        <v>0.18</v>
      </c>
      <c r="H862">
        <v>0.52</v>
      </c>
      <c r="I862">
        <v>69.930000000000007</v>
      </c>
      <c r="J862">
        <v>4.88</v>
      </c>
      <c r="K862">
        <v>-1.59</v>
      </c>
      <c r="L862">
        <v>-1.1000000000000001</v>
      </c>
      <c r="M862">
        <v>54.58</v>
      </c>
      <c r="O862">
        <v>32.68</v>
      </c>
      <c r="P862">
        <v>11.45</v>
      </c>
      <c r="Q862">
        <v>0</v>
      </c>
      <c r="R862">
        <v>0</v>
      </c>
    </row>
    <row r="863" spans="1:18" x14ac:dyDescent="0.25">
      <c r="A863">
        <v>140</v>
      </c>
      <c r="B863">
        <v>180.39</v>
      </c>
      <c r="C863">
        <f>ROUNDDOWN(8.19954545454545,0)</f>
        <v>8</v>
      </c>
      <c r="D863">
        <v>1.44</v>
      </c>
      <c r="F863">
        <v>0.06</v>
      </c>
      <c r="G863">
        <v>0.24</v>
      </c>
      <c r="H863">
        <v>0.32</v>
      </c>
      <c r="I863">
        <v>70</v>
      </c>
      <c r="J863">
        <v>4.97</v>
      </c>
      <c r="K863">
        <v>-1.74</v>
      </c>
      <c r="L863">
        <v>-1.28</v>
      </c>
      <c r="M863">
        <v>54.58</v>
      </c>
      <c r="O863">
        <v>32.72</v>
      </c>
      <c r="P863">
        <v>11.46</v>
      </c>
      <c r="Q863">
        <v>0</v>
      </c>
      <c r="R863">
        <v>0</v>
      </c>
    </row>
    <row r="864" spans="1:18" x14ac:dyDescent="0.25">
      <c r="A864">
        <v>140</v>
      </c>
      <c r="B864">
        <v>180.6</v>
      </c>
      <c r="C864">
        <f>ROUNDDOWN(8.20909090909091,0)</f>
        <v>8</v>
      </c>
      <c r="D864">
        <v>1.44</v>
      </c>
      <c r="F864">
        <v>0.06</v>
      </c>
      <c r="G864">
        <v>0.25</v>
      </c>
      <c r="H864">
        <v>0.15</v>
      </c>
      <c r="I864">
        <v>70.02</v>
      </c>
      <c r="J864">
        <v>5.0599999999999996</v>
      </c>
      <c r="K864">
        <v>-1.85</v>
      </c>
      <c r="L864">
        <v>-1.44</v>
      </c>
      <c r="M864">
        <v>54.58</v>
      </c>
      <c r="O864">
        <v>32.75</v>
      </c>
      <c r="P864">
        <v>11.47</v>
      </c>
      <c r="Q864">
        <v>0</v>
      </c>
      <c r="R864">
        <v>0</v>
      </c>
    </row>
    <row r="865" spans="1:18" x14ac:dyDescent="0.25">
      <c r="A865">
        <v>140</v>
      </c>
      <c r="B865">
        <v>180.81</v>
      </c>
      <c r="C865">
        <f>ROUNDDOWN(8.21863636363636,0)</f>
        <v>8</v>
      </c>
      <c r="D865">
        <v>1.43</v>
      </c>
      <c r="F865">
        <v>-0.06</v>
      </c>
      <c r="G865">
        <v>0.12</v>
      </c>
      <c r="H865">
        <v>-0.05</v>
      </c>
      <c r="I865">
        <v>70.05</v>
      </c>
      <c r="J865">
        <v>5.13</v>
      </c>
      <c r="K865">
        <v>-1.97</v>
      </c>
      <c r="L865">
        <v>-1.62</v>
      </c>
      <c r="M865">
        <v>54.58</v>
      </c>
      <c r="O865">
        <v>32.78</v>
      </c>
      <c r="P865">
        <v>11.48</v>
      </c>
      <c r="Q865">
        <v>0</v>
      </c>
      <c r="R865">
        <v>0</v>
      </c>
    </row>
    <row r="866" spans="1:18" x14ac:dyDescent="0.25">
      <c r="A866">
        <v>140</v>
      </c>
      <c r="B866">
        <v>181.01999999999998</v>
      </c>
      <c r="C866">
        <f>ROUNDDOWN(8.22818181818182,0)</f>
        <v>8</v>
      </c>
      <c r="D866">
        <v>1.46</v>
      </c>
      <c r="F866">
        <v>-0.28000000000000003</v>
      </c>
      <c r="G866">
        <v>-0.1</v>
      </c>
      <c r="H866">
        <v>-0.21</v>
      </c>
      <c r="I866">
        <v>70.11</v>
      </c>
      <c r="J866">
        <v>5.18</v>
      </c>
      <c r="K866">
        <v>-2.06</v>
      </c>
      <c r="L866">
        <v>-1.73</v>
      </c>
      <c r="M866">
        <v>54.58</v>
      </c>
      <c r="O866">
        <v>32.82</v>
      </c>
      <c r="P866">
        <v>11.49</v>
      </c>
      <c r="Q866">
        <v>0</v>
      </c>
      <c r="R866">
        <v>0</v>
      </c>
    </row>
    <row r="867" spans="1:18" x14ac:dyDescent="0.25">
      <c r="A867">
        <v>140</v>
      </c>
      <c r="B867">
        <v>181.23</v>
      </c>
      <c r="C867">
        <f>ROUNDDOWN(8.23772727272727,0)</f>
        <v>8</v>
      </c>
      <c r="D867">
        <v>1.43</v>
      </c>
      <c r="F867">
        <v>-0.46</v>
      </c>
      <c r="G867">
        <v>-0.3</v>
      </c>
      <c r="H867">
        <v>-0.28999999999999998</v>
      </c>
      <c r="I867">
        <v>70.13</v>
      </c>
      <c r="J867">
        <v>5.21</v>
      </c>
      <c r="K867">
        <v>-2.0499999999999998</v>
      </c>
      <c r="L867">
        <v>-1.77</v>
      </c>
      <c r="M867">
        <v>54.58</v>
      </c>
      <c r="O867">
        <v>32.85</v>
      </c>
      <c r="P867">
        <v>11.51</v>
      </c>
      <c r="Q867">
        <v>0</v>
      </c>
      <c r="R867">
        <v>0</v>
      </c>
    </row>
    <row r="868" spans="1:18" x14ac:dyDescent="0.25">
      <c r="A868">
        <v>140</v>
      </c>
      <c r="B868">
        <v>181.44</v>
      </c>
      <c r="C868">
        <f>ROUNDDOWN(8.24727272727273,0)</f>
        <v>8</v>
      </c>
      <c r="D868">
        <v>1.2</v>
      </c>
      <c r="F868">
        <v>-0.52</v>
      </c>
      <c r="G868">
        <v>-0.38</v>
      </c>
      <c r="H868">
        <v>-0.26</v>
      </c>
      <c r="I868">
        <v>70.02</v>
      </c>
      <c r="J868">
        <v>5.2</v>
      </c>
      <c r="K868">
        <v>-1.87</v>
      </c>
      <c r="L868">
        <v>-1.76</v>
      </c>
      <c r="M868">
        <v>54.58</v>
      </c>
      <c r="O868">
        <v>32.89</v>
      </c>
      <c r="P868">
        <v>11.52</v>
      </c>
      <c r="Q868">
        <v>0</v>
      </c>
      <c r="R868">
        <v>0</v>
      </c>
    </row>
    <row r="869" spans="1:18" x14ac:dyDescent="0.25">
      <c r="A869">
        <v>140</v>
      </c>
      <c r="B869">
        <v>181.65</v>
      </c>
      <c r="C869">
        <f>ROUNDDOWN(8.25681818181818,0)</f>
        <v>8</v>
      </c>
      <c r="D869">
        <v>0.82</v>
      </c>
      <c r="F869">
        <v>-0.52</v>
      </c>
      <c r="G869">
        <v>-0.4</v>
      </c>
      <c r="H869">
        <v>-0.26</v>
      </c>
      <c r="I869">
        <v>69.849999999999994</v>
      </c>
      <c r="J869">
        <v>5.16</v>
      </c>
      <c r="K869">
        <v>-1.69</v>
      </c>
      <c r="L869">
        <v>-1.8</v>
      </c>
      <c r="M869">
        <v>54.58</v>
      </c>
      <c r="O869">
        <v>32.92</v>
      </c>
      <c r="P869">
        <v>11.54</v>
      </c>
      <c r="Q869">
        <v>0</v>
      </c>
      <c r="R869">
        <v>0</v>
      </c>
    </row>
    <row r="870" spans="1:18" x14ac:dyDescent="0.25">
      <c r="A870">
        <v>140</v>
      </c>
      <c r="B870">
        <v>181.85999999999999</v>
      </c>
      <c r="C870">
        <f>ROUNDDOWN(8.26636363636364,0)</f>
        <v>8</v>
      </c>
      <c r="D870">
        <v>0.41</v>
      </c>
      <c r="F870">
        <v>-0.5</v>
      </c>
      <c r="G870">
        <v>-0.41</v>
      </c>
      <c r="H870">
        <v>-0.22</v>
      </c>
      <c r="I870">
        <v>69.709999999999994</v>
      </c>
      <c r="J870">
        <v>5.1100000000000003</v>
      </c>
      <c r="K870">
        <v>-1.51</v>
      </c>
      <c r="L870">
        <v>-1.79</v>
      </c>
      <c r="M870">
        <v>54.59</v>
      </c>
      <c r="O870">
        <v>32.96</v>
      </c>
      <c r="P870">
        <v>11.55</v>
      </c>
      <c r="Q870">
        <v>0</v>
      </c>
      <c r="R870">
        <v>0</v>
      </c>
    </row>
    <row r="871" spans="1:18" x14ac:dyDescent="0.25">
      <c r="A871">
        <v>140</v>
      </c>
      <c r="B871">
        <v>182.07</v>
      </c>
      <c r="C871">
        <f>ROUNDDOWN(8.27590909090909,0)</f>
        <v>8</v>
      </c>
      <c r="D871">
        <v>0.11</v>
      </c>
      <c r="F871">
        <v>-0.42</v>
      </c>
      <c r="G871">
        <v>-0.36</v>
      </c>
      <c r="H871">
        <v>-0.13</v>
      </c>
      <c r="I871">
        <v>69.63</v>
      </c>
      <c r="J871">
        <v>5.05</v>
      </c>
      <c r="K871">
        <v>-1.32</v>
      </c>
      <c r="L871">
        <v>-1.69</v>
      </c>
      <c r="M871">
        <v>54.59</v>
      </c>
      <c r="O871">
        <v>32.99</v>
      </c>
      <c r="P871">
        <v>11.57</v>
      </c>
      <c r="Q871">
        <v>0</v>
      </c>
      <c r="R871">
        <v>0</v>
      </c>
    </row>
    <row r="872" spans="1:18" x14ac:dyDescent="0.25">
      <c r="A872">
        <v>140</v>
      </c>
      <c r="B872">
        <v>182.28</v>
      </c>
      <c r="C872">
        <f>ROUNDDOWN(8.28545454545455,0)</f>
        <v>8</v>
      </c>
      <c r="D872">
        <v>-0.14000000000000001</v>
      </c>
      <c r="F872">
        <v>-0.32</v>
      </c>
      <c r="G872">
        <v>-0.28000000000000003</v>
      </c>
      <c r="H872">
        <v>-0.03</v>
      </c>
      <c r="I872">
        <v>69.53</v>
      </c>
      <c r="J872">
        <v>5</v>
      </c>
      <c r="K872">
        <v>-1.1200000000000001</v>
      </c>
      <c r="L872">
        <v>-1.58</v>
      </c>
      <c r="M872">
        <v>54.59</v>
      </c>
      <c r="O872">
        <v>33.03</v>
      </c>
      <c r="P872">
        <v>11.59</v>
      </c>
      <c r="Q872">
        <v>0</v>
      </c>
      <c r="R872">
        <v>0</v>
      </c>
    </row>
    <row r="873" spans="1:18" x14ac:dyDescent="0.25">
      <c r="A873">
        <v>140</v>
      </c>
      <c r="B873">
        <v>182.48999999999998</v>
      </c>
      <c r="C873">
        <f>ROUNDDOWN(8.295,0)</f>
        <v>8</v>
      </c>
      <c r="D873">
        <v>-0.47</v>
      </c>
      <c r="F873">
        <v>-0.21</v>
      </c>
      <c r="G873">
        <v>-0.18</v>
      </c>
      <c r="H873">
        <v>0.02</v>
      </c>
      <c r="I873">
        <v>69.36</v>
      </c>
      <c r="J873">
        <v>4.9800000000000004</v>
      </c>
      <c r="K873">
        <v>-0.94</v>
      </c>
      <c r="L873">
        <v>-1.56</v>
      </c>
      <c r="M873">
        <v>54.59</v>
      </c>
      <c r="O873">
        <v>33.06</v>
      </c>
      <c r="P873">
        <v>11.6</v>
      </c>
      <c r="Q873">
        <v>0</v>
      </c>
      <c r="R873">
        <v>0</v>
      </c>
    </row>
    <row r="874" spans="1:18" x14ac:dyDescent="0.25">
      <c r="A874">
        <v>140</v>
      </c>
      <c r="B874">
        <v>182.7</v>
      </c>
      <c r="C874">
        <f>ROUNDDOWN(8.30454545454545,0)</f>
        <v>8</v>
      </c>
      <c r="D874">
        <v>-0.69</v>
      </c>
      <c r="F874">
        <v>-0.13</v>
      </c>
      <c r="G874">
        <v>-0.12</v>
      </c>
      <c r="H874">
        <v>-0.01</v>
      </c>
      <c r="I874">
        <v>69.209999999999994</v>
      </c>
      <c r="J874">
        <v>4.9800000000000004</v>
      </c>
      <c r="K874">
        <v>-0.86</v>
      </c>
      <c r="L874">
        <v>-1.6</v>
      </c>
      <c r="M874">
        <v>54.59</v>
      </c>
      <c r="O874">
        <v>33.1</v>
      </c>
      <c r="P874">
        <v>11.62</v>
      </c>
      <c r="Q874">
        <v>0</v>
      </c>
      <c r="R874">
        <v>0</v>
      </c>
    </row>
    <row r="875" spans="1:18" x14ac:dyDescent="0.25">
      <c r="A875">
        <v>140</v>
      </c>
      <c r="B875">
        <v>182.91</v>
      </c>
      <c r="C875">
        <f>ROUNDDOWN(8.31409090909091,0)</f>
        <v>8</v>
      </c>
      <c r="D875">
        <v>-0.77</v>
      </c>
      <c r="F875">
        <v>-0.04</v>
      </c>
      <c r="G875">
        <v>-0.04</v>
      </c>
      <c r="H875">
        <v>0.03</v>
      </c>
      <c r="I875">
        <v>69.13</v>
      </c>
      <c r="J875">
        <v>5.0199999999999996</v>
      </c>
      <c r="K875">
        <v>-0.77</v>
      </c>
      <c r="L875">
        <v>-1.53</v>
      </c>
      <c r="M875">
        <v>54.59</v>
      </c>
      <c r="O875">
        <v>33.130000000000003</v>
      </c>
      <c r="P875">
        <v>11.64</v>
      </c>
      <c r="Q875">
        <v>0</v>
      </c>
      <c r="R875">
        <v>0</v>
      </c>
    </row>
    <row r="876" spans="1:18" x14ac:dyDescent="0.25">
      <c r="A876">
        <v>140</v>
      </c>
      <c r="B876">
        <v>183.12</v>
      </c>
      <c r="C876">
        <f>ROUNDDOWN(8.32363636363636,0)</f>
        <v>8</v>
      </c>
      <c r="D876">
        <v>-0.76</v>
      </c>
      <c r="F876">
        <v>0.02</v>
      </c>
      <c r="G876">
        <v>0.02</v>
      </c>
      <c r="H876">
        <v>0.12</v>
      </c>
      <c r="I876">
        <v>69.13</v>
      </c>
      <c r="J876">
        <v>5.08</v>
      </c>
      <c r="K876">
        <v>-0.66</v>
      </c>
      <c r="L876">
        <v>-1.37</v>
      </c>
      <c r="M876">
        <v>54.59</v>
      </c>
      <c r="O876">
        <v>33.17</v>
      </c>
      <c r="P876">
        <v>11.65</v>
      </c>
      <c r="Q876">
        <v>0</v>
      </c>
      <c r="R876">
        <v>0</v>
      </c>
    </row>
    <row r="877" spans="1:18" x14ac:dyDescent="0.25">
      <c r="A877">
        <v>140</v>
      </c>
      <c r="B877">
        <v>183.32999999999998</v>
      </c>
      <c r="C877">
        <f>ROUNDDOWN(8.33318181818182,0)</f>
        <v>8</v>
      </c>
      <c r="D877">
        <v>-0.83</v>
      </c>
      <c r="F877">
        <v>0.01</v>
      </c>
      <c r="G877">
        <v>0.01</v>
      </c>
      <c r="H877">
        <v>0.22</v>
      </c>
      <c r="I877">
        <v>69.11</v>
      </c>
      <c r="J877">
        <v>5.17</v>
      </c>
      <c r="K877">
        <v>-0.53</v>
      </c>
      <c r="L877">
        <v>-1.22</v>
      </c>
      <c r="M877">
        <v>54.59</v>
      </c>
      <c r="O877">
        <v>33.200000000000003</v>
      </c>
      <c r="P877">
        <v>11.67</v>
      </c>
      <c r="Q877">
        <v>0</v>
      </c>
      <c r="R877">
        <v>0</v>
      </c>
    </row>
    <row r="878" spans="1:18" x14ac:dyDescent="0.25">
      <c r="A878">
        <v>140</v>
      </c>
      <c r="B878">
        <v>183.54</v>
      </c>
      <c r="C878">
        <f>ROUNDDOWN(8.34272727272727,0)</f>
        <v>8</v>
      </c>
      <c r="D878">
        <v>-0.87</v>
      </c>
      <c r="F878">
        <v>0.01</v>
      </c>
      <c r="G878">
        <v>0.01</v>
      </c>
      <c r="H878">
        <v>0.3</v>
      </c>
      <c r="I878">
        <v>69.13</v>
      </c>
      <c r="J878">
        <v>5.26</v>
      </c>
      <c r="K878">
        <v>-0.45</v>
      </c>
      <c r="L878">
        <v>-1.07</v>
      </c>
      <c r="M878">
        <v>54.59</v>
      </c>
      <c r="O878">
        <v>33.24</v>
      </c>
      <c r="P878">
        <v>11.69</v>
      </c>
      <c r="Q878">
        <v>0</v>
      </c>
      <c r="R878">
        <v>0</v>
      </c>
    </row>
    <row r="879" spans="1:18" x14ac:dyDescent="0.25">
      <c r="A879">
        <v>140</v>
      </c>
      <c r="B879">
        <v>183.75</v>
      </c>
      <c r="C879">
        <f>ROUNDDOWN(8.35227272727273,0)</f>
        <v>8</v>
      </c>
      <c r="D879">
        <v>-0.8</v>
      </c>
      <c r="F879">
        <v>7.0000000000000007E-2</v>
      </c>
      <c r="G879">
        <v>0.06</v>
      </c>
      <c r="H879">
        <v>0.41</v>
      </c>
      <c r="I879">
        <v>69.22</v>
      </c>
      <c r="J879">
        <v>5.35</v>
      </c>
      <c r="K879">
        <v>-0.39</v>
      </c>
      <c r="L879">
        <v>-0.86</v>
      </c>
      <c r="M879">
        <v>54.59</v>
      </c>
      <c r="O879">
        <v>33.28</v>
      </c>
      <c r="P879">
        <v>11.71</v>
      </c>
      <c r="Q879">
        <v>0</v>
      </c>
      <c r="R879">
        <v>0</v>
      </c>
    </row>
    <row r="880" spans="1:18" x14ac:dyDescent="0.25">
      <c r="A880">
        <v>140</v>
      </c>
      <c r="B880">
        <v>183.95999999999998</v>
      </c>
      <c r="C880">
        <f>ROUNDDOWN(8.36181818181818,0)</f>
        <v>8</v>
      </c>
      <c r="D880">
        <v>-0.76</v>
      </c>
      <c r="F880">
        <v>0.16</v>
      </c>
      <c r="G880">
        <v>0.15</v>
      </c>
      <c r="H880">
        <v>0.51</v>
      </c>
      <c r="I880">
        <v>69.290000000000006</v>
      </c>
      <c r="J880">
        <v>5.43</v>
      </c>
      <c r="K880">
        <v>-0.32</v>
      </c>
      <c r="L880">
        <v>-0.67</v>
      </c>
      <c r="M880">
        <v>54.59</v>
      </c>
      <c r="O880">
        <v>33.32</v>
      </c>
      <c r="P880">
        <v>11.73</v>
      </c>
      <c r="Q880">
        <v>0</v>
      </c>
      <c r="R880">
        <v>0</v>
      </c>
    </row>
    <row r="881" spans="1:18" x14ac:dyDescent="0.25">
      <c r="A881">
        <v>140</v>
      </c>
      <c r="B881">
        <v>184.17</v>
      </c>
      <c r="C881">
        <f>ROUNDDOWN(8.37136363636364,0)</f>
        <v>8</v>
      </c>
      <c r="D881">
        <v>-0.84</v>
      </c>
      <c r="F881">
        <v>0.16</v>
      </c>
      <c r="G881">
        <v>0.16</v>
      </c>
      <c r="H881">
        <v>0.59</v>
      </c>
      <c r="I881">
        <v>69.27</v>
      </c>
      <c r="J881">
        <v>5.5</v>
      </c>
      <c r="K881">
        <v>-0.23</v>
      </c>
      <c r="L881">
        <v>-0.56999999999999995</v>
      </c>
      <c r="M881">
        <v>54.59</v>
      </c>
      <c r="O881">
        <v>33.35</v>
      </c>
      <c r="P881">
        <v>11.75</v>
      </c>
      <c r="Q881">
        <v>0</v>
      </c>
      <c r="R881">
        <v>0</v>
      </c>
    </row>
    <row r="882" spans="1:18" x14ac:dyDescent="0.25">
      <c r="A882">
        <v>140</v>
      </c>
      <c r="B882">
        <v>184.38</v>
      </c>
      <c r="C882">
        <f>ROUNDDOWN(8.38090909090909,0)</f>
        <v>8</v>
      </c>
      <c r="D882">
        <v>-0.84</v>
      </c>
      <c r="F882">
        <v>0.14000000000000001</v>
      </c>
      <c r="G882">
        <v>0.14000000000000001</v>
      </c>
      <c r="H882">
        <v>0.67</v>
      </c>
      <c r="I882">
        <v>69.290000000000006</v>
      </c>
      <c r="J882">
        <v>5.56</v>
      </c>
      <c r="K882">
        <v>-0.16</v>
      </c>
      <c r="L882">
        <v>-0.45</v>
      </c>
      <c r="M882">
        <v>54.59</v>
      </c>
      <c r="O882">
        <v>33.39</v>
      </c>
      <c r="P882">
        <v>11.76</v>
      </c>
      <c r="Q882">
        <v>0</v>
      </c>
      <c r="R882">
        <v>0</v>
      </c>
    </row>
    <row r="883" spans="1:18" x14ac:dyDescent="0.25">
      <c r="A883">
        <v>140</v>
      </c>
      <c r="B883">
        <v>184.59</v>
      </c>
      <c r="C883">
        <f>ROUNDDOWN(8.39045454545455,0)</f>
        <v>8</v>
      </c>
      <c r="D883">
        <v>-0.59</v>
      </c>
      <c r="F883">
        <v>0.17</v>
      </c>
      <c r="G883">
        <v>0.17</v>
      </c>
      <c r="H883">
        <v>0.79</v>
      </c>
      <c r="I883">
        <v>69.42</v>
      </c>
      <c r="J883">
        <v>5.6</v>
      </c>
      <c r="K883">
        <v>-0.12</v>
      </c>
      <c r="L883">
        <v>-0.23</v>
      </c>
      <c r="M883">
        <v>54.59</v>
      </c>
      <c r="O883">
        <v>33.43</v>
      </c>
      <c r="P883">
        <v>11.79</v>
      </c>
      <c r="Q883">
        <v>0</v>
      </c>
      <c r="R883">
        <v>0</v>
      </c>
    </row>
    <row r="884" spans="1:18" x14ac:dyDescent="0.25">
      <c r="A884">
        <v>140</v>
      </c>
      <c r="B884">
        <v>184.79999999999998</v>
      </c>
      <c r="C884">
        <f>ROUNDDOWN(8.4,0)</f>
        <v>8</v>
      </c>
      <c r="D884">
        <v>-0.21</v>
      </c>
      <c r="F884">
        <v>0.25</v>
      </c>
      <c r="G884">
        <v>0.25</v>
      </c>
      <c r="H884">
        <v>0.85</v>
      </c>
      <c r="I884">
        <v>69.64</v>
      </c>
      <c r="J884">
        <v>5.63</v>
      </c>
      <c r="K884">
        <v>-0.17</v>
      </c>
      <c r="L884">
        <v>-0.05</v>
      </c>
      <c r="M884">
        <v>54.59</v>
      </c>
      <c r="O884">
        <v>33.47</v>
      </c>
      <c r="P884">
        <v>11.8</v>
      </c>
      <c r="Q884">
        <v>0</v>
      </c>
      <c r="R884">
        <v>0</v>
      </c>
    </row>
    <row r="885" spans="1:18" x14ac:dyDescent="0.25">
      <c r="A885">
        <v>140</v>
      </c>
      <c r="B885">
        <v>185.01</v>
      </c>
      <c r="C885">
        <f>ROUNDDOWN(8.40954545454545,0)</f>
        <v>8</v>
      </c>
      <c r="D885">
        <v>0.22</v>
      </c>
      <c r="F885">
        <v>0.22</v>
      </c>
      <c r="G885">
        <v>0.24</v>
      </c>
      <c r="H885">
        <v>0.83</v>
      </c>
      <c r="I885">
        <v>69.930000000000007</v>
      </c>
      <c r="J885">
        <v>5.65</v>
      </c>
      <c r="K885">
        <v>-0.32</v>
      </c>
      <c r="L885">
        <v>0.08</v>
      </c>
      <c r="M885">
        <v>54.59</v>
      </c>
      <c r="O885">
        <v>33.51</v>
      </c>
      <c r="P885">
        <v>11.82</v>
      </c>
      <c r="Q885">
        <v>0</v>
      </c>
      <c r="R885">
        <v>0</v>
      </c>
    </row>
    <row r="886" spans="1:18" x14ac:dyDescent="0.25">
      <c r="A886">
        <v>140</v>
      </c>
      <c r="B886">
        <v>185.22</v>
      </c>
      <c r="C886">
        <f>ROUNDDOWN(8.41909090909091,0)</f>
        <v>8</v>
      </c>
      <c r="D886">
        <v>0.67</v>
      </c>
      <c r="F886">
        <v>0.09</v>
      </c>
      <c r="G886">
        <v>0.11</v>
      </c>
      <c r="H886">
        <v>0.74</v>
      </c>
      <c r="I886">
        <v>70.3</v>
      </c>
      <c r="J886">
        <v>5.65</v>
      </c>
      <c r="K886">
        <v>-0.56000000000000005</v>
      </c>
      <c r="L886">
        <v>0.17</v>
      </c>
      <c r="M886">
        <v>54.59</v>
      </c>
      <c r="O886">
        <v>33.54</v>
      </c>
      <c r="P886">
        <v>11.84</v>
      </c>
      <c r="Q886">
        <v>0</v>
      </c>
      <c r="R886">
        <v>0</v>
      </c>
    </row>
    <row r="887" spans="1:18" x14ac:dyDescent="0.25">
      <c r="A887">
        <v>140</v>
      </c>
      <c r="B887">
        <v>185.43</v>
      </c>
      <c r="C887">
        <f>ROUNDDOWN(8.42863636363636,0)</f>
        <v>8</v>
      </c>
      <c r="D887">
        <v>1.1399999999999999</v>
      </c>
      <c r="F887">
        <v>-0.01</v>
      </c>
      <c r="G887">
        <v>0</v>
      </c>
      <c r="H887">
        <v>0.73</v>
      </c>
      <c r="I887">
        <v>70.67</v>
      </c>
      <c r="J887">
        <v>5.64</v>
      </c>
      <c r="K887">
        <v>-0.72</v>
      </c>
      <c r="L887">
        <v>0.33</v>
      </c>
      <c r="M887">
        <v>54.59</v>
      </c>
      <c r="O887">
        <v>33.58</v>
      </c>
      <c r="P887">
        <v>11.85</v>
      </c>
      <c r="Q887">
        <v>0</v>
      </c>
      <c r="R887">
        <v>0</v>
      </c>
    </row>
    <row r="888" spans="1:18" x14ac:dyDescent="0.25">
      <c r="A888">
        <v>140</v>
      </c>
      <c r="B888">
        <v>185.64</v>
      </c>
      <c r="C888">
        <f>ROUNDDOWN(8.43818181818182,0)</f>
        <v>8</v>
      </c>
      <c r="D888">
        <v>1.59</v>
      </c>
      <c r="F888">
        <v>-0.06</v>
      </c>
      <c r="G888">
        <v>-0.06</v>
      </c>
      <c r="H888">
        <v>0.69</v>
      </c>
      <c r="I888">
        <v>70.95</v>
      </c>
      <c r="J888">
        <v>5.6</v>
      </c>
      <c r="K888">
        <v>-0.84</v>
      </c>
      <c r="L888">
        <v>0.39</v>
      </c>
      <c r="M888">
        <v>54.59</v>
      </c>
      <c r="O888">
        <v>33.619999999999997</v>
      </c>
      <c r="P888">
        <v>11.86</v>
      </c>
      <c r="Q888">
        <v>0</v>
      </c>
      <c r="R888">
        <v>0</v>
      </c>
    </row>
    <row r="889" spans="1:18" x14ac:dyDescent="0.25">
      <c r="A889">
        <v>140</v>
      </c>
      <c r="B889">
        <v>185.85</v>
      </c>
      <c r="C889">
        <f>ROUNDDOWN(8.44772727272727,0)</f>
        <v>8</v>
      </c>
      <c r="D889">
        <v>1.91</v>
      </c>
      <c r="F889">
        <v>-0.11</v>
      </c>
      <c r="G889">
        <v>-0.11</v>
      </c>
      <c r="H889">
        <v>0.57999999999999996</v>
      </c>
      <c r="I889">
        <v>71.12</v>
      </c>
      <c r="J889">
        <v>5.53</v>
      </c>
      <c r="K889">
        <v>-0.96</v>
      </c>
      <c r="L889">
        <v>0.33</v>
      </c>
      <c r="M889">
        <v>54.59</v>
      </c>
      <c r="O889">
        <v>33.659999999999997</v>
      </c>
      <c r="P889">
        <v>11.88</v>
      </c>
      <c r="Q889">
        <v>0</v>
      </c>
      <c r="R889">
        <v>0</v>
      </c>
    </row>
    <row r="890" spans="1:18" x14ac:dyDescent="0.25">
      <c r="A890">
        <v>140</v>
      </c>
      <c r="B890">
        <v>186.06</v>
      </c>
      <c r="C890">
        <f>ROUNDDOWN(8.45727272727273,0)</f>
        <v>8</v>
      </c>
      <c r="D890">
        <v>2.1800000000000002</v>
      </c>
      <c r="F890">
        <v>-0.2</v>
      </c>
      <c r="G890">
        <v>-0.21</v>
      </c>
      <c r="H890">
        <v>0.42</v>
      </c>
      <c r="I890">
        <v>71.31</v>
      </c>
      <c r="J890">
        <v>5.45</v>
      </c>
      <c r="K890">
        <v>-1.1399999999999999</v>
      </c>
      <c r="L890">
        <v>0.23</v>
      </c>
      <c r="M890">
        <v>54.59</v>
      </c>
      <c r="O890">
        <v>33.700000000000003</v>
      </c>
      <c r="P890">
        <v>11.89</v>
      </c>
      <c r="Q890">
        <v>0</v>
      </c>
      <c r="R890">
        <v>0</v>
      </c>
    </row>
    <row r="891" spans="1:18" x14ac:dyDescent="0.25">
      <c r="A891">
        <v>140</v>
      </c>
      <c r="B891">
        <v>186.26999999999998</v>
      </c>
      <c r="C891">
        <f>ROUNDDOWN(8.46681818181818,0)</f>
        <v>8</v>
      </c>
      <c r="D891">
        <v>2.4700000000000002</v>
      </c>
      <c r="F891">
        <v>-0.27</v>
      </c>
      <c r="G891">
        <v>-0.3</v>
      </c>
      <c r="H891">
        <v>0.31</v>
      </c>
      <c r="I891">
        <v>71.599999999999994</v>
      </c>
      <c r="J891">
        <v>5.36</v>
      </c>
      <c r="K891">
        <v>-1.3</v>
      </c>
      <c r="L891">
        <v>0.24</v>
      </c>
      <c r="M891">
        <v>54.59</v>
      </c>
      <c r="O891">
        <v>33.74</v>
      </c>
      <c r="P891">
        <v>11.9</v>
      </c>
      <c r="Q891">
        <v>0</v>
      </c>
      <c r="R891">
        <v>0</v>
      </c>
    </row>
    <row r="892" spans="1:18" x14ac:dyDescent="0.25">
      <c r="A892">
        <v>140</v>
      </c>
      <c r="B892">
        <v>186.48</v>
      </c>
      <c r="C892">
        <f>ROUNDDOWN(8.47636363636364,0)</f>
        <v>8</v>
      </c>
      <c r="D892">
        <v>2.76</v>
      </c>
      <c r="F892">
        <v>-0.26</v>
      </c>
      <c r="G892">
        <v>-0.31</v>
      </c>
      <c r="H892">
        <v>0.24</v>
      </c>
      <c r="I892">
        <v>71.87</v>
      </c>
      <c r="J892">
        <v>5.25</v>
      </c>
      <c r="K892">
        <v>-1.4</v>
      </c>
      <c r="L892">
        <v>0.25</v>
      </c>
      <c r="M892">
        <v>54.59</v>
      </c>
      <c r="O892">
        <v>33.79</v>
      </c>
      <c r="P892">
        <v>11.92</v>
      </c>
      <c r="Q892">
        <v>0</v>
      </c>
      <c r="R892">
        <v>0</v>
      </c>
    </row>
    <row r="893" spans="1:18" x14ac:dyDescent="0.25">
      <c r="A893">
        <v>140</v>
      </c>
      <c r="B893">
        <v>186.69</v>
      </c>
      <c r="C893">
        <f>ROUNDDOWN(8.48590909090909,0)</f>
        <v>8</v>
      </c>
      <c r="D893">
        <v>2.88</v>
      </c>
      <c r="F893">
        <v>-0.19</v>
      </c>
      <c r="G893">
        <v>-0.25</v>
      </c>
      <c r="H893">
        <v>0.1</v>
      </c>
      <c r="I893">
        <v>72.010000000000005</v>
      </c>
      <c r="J893">
        <v>5.14</v>
      </c>
      <c r="K893">
        <v>-1.49</v>
      </c>
      <c r="L893">
        <v>0.15</v>
      </c>
      <c r="M893">
        <v>54.59</v>
      </c>
      <c r="O893">
        <v>33.83</v>
      </c>
      <c r="P893">
        <v>11.93</v>
      </c>
      <c r="Q893">
        <v>0</v>
      </c>
      <c r="R893">
        <v>0</v>
      </c>
    </row>
    <row r="894" spans="1:18" x14ac:dyDescent="0.25">
      <c r="A894">
        <v>140</v>
      </c>
      <c r="B894">
        <v>186.9</v>
      </c>
      <c r="C894">
        <f>ROUNDDOWN(8.49545454545455,0)</f>
        <v>8</v>
      </c>
      <c r="D894">
        <v>2.87</v>
      </c>
      <c r="F894">
        <v>-0.12</v>
      </c>
      <c r="G894">
        <v>-0.19</v>
      </c>
      <c r="H894">
        <v>-0.04</v>
      </c>
      <c r="I894">
        <v>72.09</v>
      </c>
      <c r="J894">
        <v>5.03</v>
      </c>
      <c r="K894">
        <v>-1.55</v>
      </c>
      <c r="L894">
        <v>0.01</v>
      </c>
      <c r="M894">
        <v>54.59</v>
      </c>
      <c r="O894">
        <v>33.869999999999997</v>
      </c>
      <c r="P894">
        <v>11.95</v>
      </c>
      <c r="Q894">
        <v>0</v>
      </c>
      <c r="R894">
        <v>0</v>
      </c>
    </row>
    <row r="895" spans="1:18" x14ac:dyDescent="0.25">
      <c r="A895">
        <v>140</v>
      </c>
      <c r="B895">
        <v>187.10999999999999</v>
      </c>
      <c r="C895">
        <f>ROUNDDOWN(8.505,0)</f>
        <v>8</v>
      </c>
      <c r="D895">
        <v>2.93</v>
      </c>
      <c r="F895">
        <v>-0.01</v>
      </c>
      <c r="G895">
        <v>-0.1</v>
      </c>
      <c r="H895">
        <v>-0.14000000000000001</v>
      </c>
      <c r="I895">
        <v>72.22</v>
      </c>
      <c r="J895">
        <v>4.92</v>
      </c>
      <c r="K895">
        <v>-1.6</v>
      </c>
      <c r="L895">
        <v>-0.06</v>
      </c>
      <c r="M895">
        <v>54.59</v>
      </c>
      <c r="O895">
        <v>33.909999999999997</v>
      </c>
      <c r="P895">
        <v>11.96</v>
      </c>
      <c r="Q895">
        <v>0</v>
      </c>
      <c r="R895">
        <v>0</v>
      </c>
    </row>
    <row r="896" spans="1:18" x14ac:dyDescent="0.25">
      <c r="A896">
        <v>140</v>
      </c>
      <c r="B896">
        <v>187.32</v>
      </c>
      <c r="C896">
        <f>ROUNDDOWN(8.51454545454545,0)</f>
        <v>8</v>
      </c>
      <c r="D896">
        <v>3.05</v>
      </c>
      <c r="F896">
        <v>0.09</v>
      </c>
      <c r="G896">
        <v>0</v>
      </c>
      <c r="H896">
        <v>-0.2</v>
      </c>
      <c r="I896">
        <v>72.319999999999993</v>
      </c>
      <c r="J896">
        <v>4.82</v>
      </c>
      <c r="K896">
        <v>-1.57</v>
      </c>
      <c r="L896">
        <v>-0.1</v>
      </c>
      <c r="M896">
        <v>54.6</v>
      </c>
      <c r="O896">
        <v>33.950000000000003</v>
      </c>
      <c r="P896">
        <v>11.98</v>
      </c>
      <c r="Q896">
        <v>0</v>
      </c>
      <c r="R896">
        <v>0</v>
      </c>
    </row>
    <row r="897" spans="1:18" x14ac:dyDescent="0.25">
      <c r="A897">
        <v>140</v>
      </c>
      <c r="B897">
        <v>187.53</v>
      </c>
      <c r="C897">
        <f>ROUNDDOWN(8.52409090909091,0)</f>
        <v>8</v>
      </c>
      <c r="D897">
        <v>3.03</v>
      </c>
      <c r="F897">
        <v>0.18</v>
      </c>
      <c r="G897">
        <v>0.09</v>
      </c>
      <c r="H897">
        <v>-0.27</v>
      </c>
      <c r="I897">
        <v>72.319999999999993</v>
      </c>
      <c r="J897">
        <v>4.7300000000000004</v>
      </c>
      <c r="K897">
        <v>-1.51</v>
      </c>
      <c r="L897">
        <v>-0.2</v>
      </c>
      <c r="M897">
        <v>54.6</v>
      </c>
      <c r="O897">
        <v>34</v>
      </c>
      <c r="P897">
        <v>12</v>
      </c>
      <c r="Q897">
        <v>0</v>
      </c>
      <c r="R897">
        <v>0</v>
      </c>
    </row>
    <row r="898" spans="1:18" x14ac:dyDescent="0.25">
      <c r="A898">
        <v>140</v>
      </c>
      <c r="B898">
        <v>187.73999999999998</v>
      </c>
      <c r="C898">
        <f>ROUNDDOWN(8.53363636363636,0)</f>
        <v>8</v>
      </c>
      <c r="D898">
        <v>2.84</v>
      </c>
      <c r="F898">
        <v>0.22</v>
      </c>
      <c r="G898">
        <v>0.13</v>
      </c>
      <c r="H898">
        <v>-0.33</v>
      </c>
      <c r="I898">
        <v>72.260000000000005</v>
      </c>
      <c r="J898">
        <v>4.68</v>
      </c>
      <c r="K898">
        <v>-1.42</v>
      </c>
      <c r="L898">
        <v>-0.3</v>
      </c>
      <c r="M898">
        <v>54.6</v>
      </c>
      <c r="O898">
        <v>34.04</v>
      </c>
      <c r="P898">
        <v>12.01</v>
      </c>
      <c r="Q898">
        <v>0</v>
      </c>
      <c r="R898">
        <v>0</v>
      </c>
    </row>
    <row r="899" spans="1:18" x14ac:dyDescent="0.25">
      <c r="A899">
        <v>140</v>
      </c>
      <c r="B899">
        <v>187.95</v>
      </c>
      <c r="C899">
        <f>ROUNDDOWN(8.54318181818182,0)</f>
        <v>8</v>
      </c>
      <c r="D899">
        <v>2.64</v>
      </c>
      <c r="F899">
        <v>0.24</v>
      </c>
      <c r="G899">
        <v>0.16</v>
      </c>
      <c r="H899">
        <v>-0.33</v>
      </c>
      <c r="I899">
        <v>72.28</v>
      </c>
      <c r="J899">
        <v>4.6500000000000004</v>
      </c>
      <c r="K899">
        <v>-1.31</v>
      </c>
      <c r="L899">
        <v>-0.3</v>
      </c>
      <c r="M899">
        <v>54.6</v>
      </c>
      <c r="O899">
        <v>34.08</v>
      </c>
      <c r="P899">
        <v>12.03</v>
      </c>
      <c r="Q899">
        <v>0</v>
      </c>
      <c r="R899">
        <v>0</v>
      </c>
    </row>
    <row r="900" spans="1:18" x14ac:dyDescent="0.25">
      <c r="A900">
        <v>140</v>
      </c>
      <c r="B900">
        <v>188.16</v>
      </c>
      <c r="C900">
        <f>ROUNDDOWN(8.55272727272727,0)</f>
        <v>8</v>
      </c>
      <c r="D900">
        <v>2.48</v>
      </c>
      <c r="F900">
        <v>0.28999999999999998</v>
      </c>
      <c r="G900">
        <v>0.22</v>
      </c>
      <c r="H900">
        <v>-0.27</v>
      </c>
      <c r="I900">
        <v>72.41</v>
      </c>
      <c r="J900">
        <v>4.6500000000000004</v>
      </c>
      <c r="K900">
        <v>-1.2</v>
      </c>
      <c r="L900">
        <v>-0.2</v>
      </c>
      <c r="M900">
        <v>54.6</v>
      </c>
      <c r="O900">
        <v>34.130000000000003</v>
      </c>
      <c r="P900">
        <v>12.04</v>
      </c>
      <c r="Q900">
        <v>0</v>
      </c>
      <c r="R900">
        <v>0</v>
      </c>
    </row>
    <row r="901" spans="1:18" x14ac:dyDescent="0.25">
      <c r="A901">
        <v>140</v>
      </c>
      <c r="B901">
        <v>188.37</v>
      </c>
      <c r="C901">
        <f>ROUNDDOWN(8.56227272727273,0)</f>
        <v>8</v>
      </c>
      <c r="D901">
        <v>2.2000000000000002</v>
      </c>
      <c r="F901">
        <v>0.34</v>
      </c>
      <c r="G901">
        <v>0.28000000000000003</v>
      </c>
      <c r="H901">
        <v>-0.26</v>
      </c>
      <c r="I901">
        <v>72.5</v>
      </c>
      <c r="J901">
        <v>4.66</v>
      </c>
      <c r="K901">
        <v>-1.1200000000000001</v>
      </c>
      <c r="L901">
        <v>-0.16</v>
      </c>
      <c r="M901">
        <v>54.6</v>
      </c>
      <c r="O901">
        <v>34.17</v>
      </c>
      <c r="P901">
        <v>12.06</v>
      </c>
      <c r="Q901">
        <v>0</v>
      </c>
      <c r="R901">
        <v>0</v>
      </c>
    </row>
    <row r="902" spans="1:18" x14ac:dyDescent="0.25">
      <c r="A902">
        <v>140</v>
      </c>
      <c r="B902">
        <v>188.57999999999998</v>
      </c>
      <c r="C902">
        <f>ROUNDDOWN(8.57181818181818,0)</f>
        <v>8</v>
      </c>
      <c r="D902">
        <v>1.84</v>
      </c>
      <c r="F902">
        <v>0.39</v>
      </c>
      <c r="G902">
        <v>0.34</v>
      </c>
      <c r="H902">
        <v>-0.25</v>
      </c>
      <c r="I902">
        <v>72.510000000000005</v>
      </c>
      <c r="J902">
        <v>4.7</v>
      </c>
      <c r="K902">
        <v>-1.01</v>
      </c>
      <c r="L902">
        <v>-0.16</v>
      </c>
      <c r="M902">
        <v>54.6</v>
      </c>
      <c r="O902">
        <v>34.22</v>
      </c>
      <c r="P902">
        <v>12.07</v>
      </c>
      <c r="Q902">
        <v>0</v>
      </c>
      <c r="R902">
        <v>0</v>
      </c>
    </row>
    <row r="903" spans="1:18" x14ac:dyDescent="0.25">
      <c r="A903">
        <v>140</v>
      </c>
      <c r="B903">
        <v>188.79</v>
      </c>
      <c r="C903">
        <f>ROUNDDOWN(8.58136363636364,0)</f>
        <v>8</v>
      </c>
      <c r="D903">
        <v>1.54</v>
      </c>
      <c r="F903">
        <v>0.46</v>
      </c>
      <c r="G903">
        <v>0.42</v>
      </c>
      <c r="H903">
        <v>-0.22</v>
      </c>
      <c r="I903">
        <v>72.48</v>
      </c>
      <c r="J903">
        <v>4.74</v>
      </c>
      <c r="K903">
        <v>-0.85</v>
      </c>
      <c r="L903">
        <v>-0.16</v>
      </c>
      <c r="M903">
        <v>54.6</v>
      </c>
      <c r="O903">
        <v>34.26</v>
      </c>
      <c r="P903">
        <v>12.08</v>
      </c>
      <c r="Q903">
        <v>0</v>
      </c>
      <c r="R903">
        <v>0</v>
      </c>
    </row>
    <row r="904" spans="1:18" x14ac:dyDescent="0.25">
      <c r="A904">
        <v>140</v>
      </c>
      <c r="B904">
        <v>189</v>
      </c>
      <c r="C904">
        <f>ROUNDDOWN(8.59090909090909,0)</f>
        <v>8</v>
      </c>
      <c r="D904">
        <v>1.33</v>
      </c>
      <c r="F904">
        <v>0.54</v>
      </c>
      <c r="G904">
        <v>0.52</v>
      </c>
      <c r="H904">
        <v>-0.23</v>
      </c>
      <c r="I904">
        <v>72.45</v>
      </c>
      <c r="J904">
        <v>4.79</v>
      </c>
      <c r="K904">
        <v>-0.75</v>
      </c>
      <c r="L904">
        <v>-0.19</v>
      </c>
      <c r="M904">
        <v>54.6</v>
      </c>
      <c r="O904">
        <v>34.31</v>
      </c>
      <c r="P904">
        <v>12.1</v>
      </c>
      <c r="Q904">
        <v>0</v>
      </c>
      <c r="R904">
        <v>0</v>
      </c>
    </row>
    <row r="905" spans="1:18" x14ac:dyDescent="0.25">
      <c r="A905">
        <v>140</v>
      </c>
      <c r="B905">
        <v>189.20999999999998</v>
      </c>
      <c r="C905">
        <f>ROUNDDOWN(8.60045454545454,0)</f>
        <v>8</v>
      </c>
      <c r="D905">
        <v>1.1100000000000001</v>
      </c>
      <c r="F905">
        <v>0.57999999999999996</v>
      </c>
      <c r="G905">
        <v>0.59</v>
      </c>
      <c r="H905">
        <v>-0.36</v>
      </c>
      <c r="I905">
        <v>72.42</v>
      </c>
      <c r="J905">
        <v>4.83</v>
      </c>
      <c r="K905">
        <v>-0.78</v>
      </c>
      <c r="L905">
        <v>-0.35</v>
      </c>
      <c r="M905">
        <v>54.6</v>
      </c>
      <c r="O905">
        <v>34.35</v>
      </c>
      <c r="P905">
        <v>12.11</v>
      </c>
      <c r="Q905">
        <v>0</v>
      </c>
      <c r="R905">
        <v>0</v>
      </c>
    </row>
    <row r="906" spans="1:18" x14ac:dyDescent="0.25">
      <c r="A906">
        <v>140</v>
      </c>
      <c r="B906">
        <v>189.42</v>
      </c>
      <c r="C906">
        <f>ROUNDDOWN(8.61,0)</f>
        <v>8</v>
      </c>
      <c r="D906">
        <v>0.85</v>
      </c>
      <c r="F906">
        <v>0.6</v>
      </c>
      <c r="G906">
        <v>0.63</v>
      </c>
      <c r="H906">
        <v>-0.56000000000000005</v>
      </c>
      <c r="I906">
        <v>72.45</v>
      </c>
      <c r="J906">
        <v>4.8600000000000003</v>
      </c>
      <c r="K906">
        <v>-0.89</v>
      </c>
      <c r="L906">
        <v>-0.52</v>
      </c>
      <c r="M906">
        <v>54.6</v>
      </c>
      <c r="O906">
        <v>34.4</v>
      </c>
      <c r="P906">
        <v>12.12</v>
      </c>
      <c r="Q906">
        <v>0</v>
      </c>
      <c r="R906">
        <v>0</v>
      </c>
    </row>
    <row r="907" spans="1:18" x14ac:dyDescent="0.25">
      <c r="A907">
        <v>140</v>
      </c>
      <c r="B907">
        <v>189.63</v>
      </c>
      <c r="C907">
        <f>ROUNDDOWN(8.61954545454545,0)</f>
        <v>8</v>
      </c>
      <c r="D907">
        <v>0.74</v>
      </c>
      <c r="F907">
        <v>0.56999999999999995</v>
      </c>
      <c r="G907">
        <v>0.63</v>
      </c>
      <c r="H907">
        <v>-0.7</v>
      </c>
      <c r="I907">
        <v>72.61</v>
      </c>
      <c r="J907">
        <v>4.88</v>
      </c>
      <c r="K907">
        <v>-1</v>
      </c>
      <c r="L907">
        <v>-0.56999999999999995</v>
      </c>
      <c r="M907">
        <v>54.6</v>
      </c>
      <c r="O907">
        <v>34.450000000000003</v>
      </c>
      <c r="P907">
        <v>12.14</v>
      </c>
      <c r="Q907">
        <v>0</v>
      </c>
      <c r="R907">
        <v>0</v>
      </c>
    </row>
    <row r="908" spans="1:18" x14ac:dyDescent="0.25">
      <c r="A908">
        <v>140</v>
      </c>
      <c r="B908">
        <v>189.84</v>
      </c>
      <c r="C908">
        <f>ROUNDDOWN(8.62909090909091,0)</f>
        <v>8</v>
      </c>
      <c r="D908">
        <v>0.81</v>
      </c>
      <c r="F908">
        <v>0.59</v>
      </c>
      <c r="G908">
        <v>0.67</v>
      </c>
      <c r="H908">
        <v>-0.78</v>
      </c>
      <c r="I908">
        <v>72.81</v>
      </c>
      <c r="J908">
        <v>4.8899999999999997</v>
      </c>
      <c r="K908">
        <v>-1.08</v>
      </c>
      <c r="L908">
        <v>-0.55000000000000004</v>
      </c>
      <c r="M908">
        <v>54.6</v>
      </c>
      <c r="O908">
        <v>34.49</v>
      </c>
      <c r="P908">
        <v>12.16</v>
      </c>
      <c r="Q908">
        <v>0</v>
      </c>
      <c r="R908">
        <v>0</v>
      </c>
    </row>
    <row r="909" spans="1:18" x14ac:dyDescent="0.25">
      <c r="A909">
        <v>140</v>
      </c>
      <c r="B909">
        <v>190.04999999999998</v>
      </c>
      <c r="C909">
        <f>ROUNDDOWN(8.63863636363636,0)</f>
        <v>8</v>
      </c>
      <c r="D909">
        <v>0.92</v>
      </c>
      <c r="F909">
        <v>0.61</v>
      </c>
      <c r="G909">
        <v>0.71</v>
      </c>
      <c r="H909">
        <v>-0.9</v>
      </c>
      <c r="I909">
        <v>73.010000000000005</v>
      </c>
      <c r="J909">
        <v>4.88</v>
      </c>
      <c r="K909">
        <v>-1.17</v>
      </c>
      <c r="L909">
        <v>-0.56000000000000005</v>
      </c>
      <c r="M909">
        <v>54.6</v>
      </c>
      <c r="O909">
        <v>34.54</v>
      </c>
      <c r="P909">
        <v>12.17</v>
      </c>
      <c r="Q909">
        <v>0</v>
      </c>
      <c r="R909">
        <v>0</v>
      </c>
    </row>
    <row r="910" spans="1:18" x14ac:dyDescent="0.25">
      <c r="A910">
        <v>140</v>
      </c>
      <c r="B910">
        <v>190.26</v>
      </c>
      <c r="C910">
        <f>ROUNDDOWN(8.64818181818182,0)</f>
        <v>8</v>
      </c>
      <c r="D910">
        <v>0.97</v>
      </c>
      <c r="F910">
        <v>0.61</v>
      </c>
      <c r="G910">
        <v>0.74</v>
      </c>
      <c r="H910">
        <v>-1.02</v>
      </c>
      <c r="I910">
        <v>73.19</v>
      </c>
      <c r="J910">
        <v>4.87</v>
      </c>
      <c r="K910">
        <v>-1.25</v>
      </c>
      <c r="L910">
        <v>-0.57999999999999996</v>
      </c>
      <c r="M910">
        <v>54.6</v>
      </c>
      <c r="O910">
        <v>34.590000000000003</v>
      </c>
      <c r="P910">
        <v>12.19</v>
      </c>
      <c r="Q910">
        <v>0</v>
      </c>
      <c r="R910">
        <v>0</v>
      </c>
    </row>
    <row r="911" spans="1:18" x14ac:dyDescent="0.25">
      <c r="A911">
        <v>140</v>
      </c>
      <c r="B911">
        <v>190.47</v>
      </c>
      <c r="C911">
        <f>ROUNDDOWN(8.65772727272727,0)</f>
        <v>8</v>
      </c>
      <c r="D911">
        <v>1.08</v>
      </c>
      <c r="F911">
        <v>0.62</v>
      </c>
      <c r="G911">
        <v>0.78</v>
      </c>
      <c r="H911">
        <v>-1.02</v>
      </c>
      <c r="I911">
        <v>73.400000000000006</v>
      </c>
      <c r="J911">
        <v>4.8499999999999996</v>
      </c>
      <c r="K911">
        <v>-1.22</v>
      </c>
      <c r="L911">
        <v>-0.48</v>
      </c>
      <c r="M911">
        <v>54.6</v>
      </c>
      <c r="O911">
        <v>34.630000000000003</v>
      </c>
      <c r="P911">
        <v>12.21</v>
      </c>
      <c r="Q911">
        <v>0</v>
      </c>
      <c r="R911">
        <v>0</v>
      </c>
    </row>
    <row r="912" spans="1:18" x14ac:dyDescent="0.25">
      <c r="A912">
        <v>140</v>
      </c>
      <c r="B912">
        <v>190.68</v>
      </c>
      <c r="C912">
        <f>ROUNDDOWN(8.66727272727273,0)</f>
        <v>8</v>
      </c>
      <c r="D912">
        <v>1.24</v>
      </c>
      <c r="F912">
        <v>0.63</v>
      </c>
      <c r="G912">
        <v>0.82</v>
      </c>
      <c r="H912">
        <v>-0.92</v>
      </c>
      <c r="I912">
        <v>73.56</v>
      </c>
      <c r="J912">
        <v>4.82</v>
      </c>
      <c r="K912">
        <v>-1.07</v>
      </c>
      <c r="L912">
        <v>-0.31</v>
      </c>
      <c r="M912">
        <v>54.6</v>
      </c>
      <c r="O912">
        <v>34.68</v>
      </c>
      <c r="P912">
        <v>12.22</v>
      </c>
      <c r="Q912">
        <v>0</v>
      </c>
      <c r="R912">
        <v>0</v>
      </c>
    </row>
    <row r="913" spans="1:18" x14ac:dyDescent="0.25">
      <c r="A913">
        <v>140</v>
      </c>
      <c r="B913">
        <v>190.89</v>
      </c>
      <c r="C913">
        <f>ROUNDDOWN(8.67681818181818,0)</f>
        <v>8</v>
      </c>
      <c r="D913">
        <v>1.39</v>
      </c>
      <c r="F913">
        <v>0.62</v>
      </c>
      <c r="G913">
        <v>0.84</v>
      </c>
      <c r="H913">
        <v>-0.8</v>
      </c>
      <c r="I913">
        <v>73.650000000000006</v>
      </c>
      <c r="J913">
        <v>4.79</v>
      </c>
      <c r="K913">
        <v>-0.87</v>
      </c>
      <c r="L913">
        <v>-0.15</v>
      </c>
      <c r="M913">
        <v>54.6</v>
      </c>
      <c r="O913">
        <v>34.729999999999997</v>
      </c>
      <c r="P913">
        <v>12.24</v>
      </c>
      <c r="Q913">
        <v>0</v>
      </c>
      <c r="R913">
        <v>0</v>
      </c>
    </row>
    <row r="914" spans="1:18" x14ac:dyDescent="0.25">
      <c r="A914">
        <v>140</v>
      </c>
      <c r="B914">
        <v>191.1</v>
      </c>
      <c r="C914">
        <f>ROUNDDOWN(8.68636363636364,0)</f>
        <v>8</v>
      </c>
      <c r="D914">
        <v>1.43</v>
      </c>
      <c r="F914">
        <v>0.53</v>
      </c>
      <c r="G914">
        <v>0.79</v>
      </c>
      <c r="H914">
        <v>-0.71</v>
      </c>
      <c r="I914">
        <v>73.709999999999994</v>
      </c>
      <c r="J914">
        <v>4.76</v>
      </c>
      <c r="K914">
        <v>-0.68</v>
      </c>
      <c r="L914">
        <v>-0.05</v>
      </c>
      <c r="M914">
        <v>54.6</v>
      </c>
      <c r="O914">
        <v>34.78</v>
      </c>
      <c r="P914">
        <v>12.26</v>
      </c>
      <c r="Q914">
        <v>0</v>
      </c>
      <c r="R914">
        <v>0</v>
      </c>
    </row>
    <row r="915" spans="1:18" x14ac:dyDescent="0.25">
      <c r="A915">
        <v>140</v>
      </c>
      <c r="B915">
        <v>191.31</v>
      </c>
      <c r="C915">
        <f>ROUNDDOWN(8.69590909090909,0)</f>
        <v>8</v>
      </c>
      <c r="D915">
        <v>1.34</v>
      </c>
      <c r="F915">
        <v>0.44</v>
      </c>
      <c r="G915">
        <v>0.72</v>
      </c>
      <c r="H915">
        <v>-0.64</v>
      </c>
      <c r="I915">
        <v>73.75</v>
      </c>
      <c r="J915">
        <v>4.72</v>
      </c>
      <c r="K915">
        <v>-0.51</v>
      </c>
      <c r="L915">
        <v>0.02</v>
      </c>
      <c r="M915">
        <v>54.6</v>
      </c>
      <c r="O915">
        <v>34.83</v>
      </c>
      <c r="P915">
        <v>12.27</v>
      </c>
      <c r="Q915">
        <v>0</v>
      </c>
      <c r="R915">
        <v>0</v>
      </c>
    </row>
    <row r="916" spans="1:18" x14ac:dyDescent="0.25">
      <c r="A916">
        <v>140</v>
      </c>
      <c r="B916">
        <v>191.51999999999998</v>
      </c>
      <c r="C916">
        <f>ROUNDDOWN(8.70545454545455,0)</f>
        <v>8</v>
      </c>
      <c r="D916">
        <v>1.1599999999999999</v>
      </c>
      <c r="F916">
        <v>0.41</v>
      </c>
      <c r="G916">
        <v>0.71</v>
      </c>
      <c r="H916">
        <v>-0.55000000000000004</v>
      </c>
      <c r="I916">
        <v>73.66</v>
      </c>
      <c r="J916">
        <v>4.68</v>
      </c>
      <c r="K916">
        <v>-0.28000000000000003</v>
      </c>
      <c r="L916">
        <v>0.04</v>
      </c>
      <c r="M916">
        <v>54.6</v>
      </c>
      <c r="O916">
        <v>34.880000000000003</v>
      </c>
      <c r="P916">
        <v>12.28</v>
      </c>
      <c r="Q916">
        <v>0</v>
      </c>
      <c r="R916">
        <v>0</v>
      </c>
    </row>
    <row r="917" spans="1:18" x14ac:dyDescent="0.25">
      <c r="A917">
        <v>140</v>
      </c>
      <c r="B917">
        <v>191.73</v>
      </c>
      <c r="C917">
        <f>ROUNDDOWN(8.715,0)</f>
        <v>8</v>
      </c>
      <c r="D917">
        <v>0.97</v>
      </c>
      <c r="F917">
        <v>0.42</v>
      </c>
      <c r="G917">
        <v>0.75</v>
      </c>
      <c r="H917">
        <v>-0.45</v>
      </c>
      <c r="I917">
        <v>73.48</v>
      </c>
      <c r="J917">
        <v>4.62</v>
      </c>
      <c r="K917">
        <v>-0.01</v>
      </c>
      <c r="L917">
        <v>0.03</v>
      </c>
      <c r="M917">
        <v>54.6</v>
      </c>
      <c r="O917">
        <v>34.93</v>
      </c>
      <c r="P917">
        <v>12.3</v>
      </c>
      <c r="Q917">
        <v>0</v>
      </c>
      <c r="R917">
        <v>0</v>
      </c>
    </row>
    <row r="918" spans="1:18" x14ac:dyDescent="0.25">
      <c r="A918">
        <v>140</v>
      </c>
      <c r="B918">
        <v>191.94</v>
      </c>
      <c r="C918">
        <f>ROUNDDOWN(8.72454545454545,0)</f>
        <v>8</v>
      </c>
      <c r="D918">
        <v>0.85</v>
      </c>
      <c r="F918">
        <v>0.42</v>
      </c>
      <c r="G918">
        <v>0.78</v>
      </c>
      <c r="H918">
        <v>-0.35</v>
      </c>
      <c r="I918">
        <v>73.33</v>
      </c>
      <c r="J918">
        <v>4.57</v>
      </c>
      <c r="K918">
        <v>0.24</v>
      </c>
      <c r="L918">
        <v>0.05</v>
      </c>
      <c r="M918">
        <v>54.6</v>
      </c>
      <c r="O918">
        <v>34.979999999999997</v>
      </c>
      <c r="P918">
        <v>12.31</v>
      </c>
      <c r="Q918">
        <v>0</v>
      </c>
      <c r="R918">
        <v>0</v>
      </c>
    </row>
    <row r="919" spans="1:18" x14ac:dyDescent="0.25">
      <c r="A919">
        <v>140</v>
      </c>
      <c r="B919">
        <v>192.15</v>
      </c>
      <c r="C919">
        <f>ROUNDDOWN(8.73409090909091,0)</f>
        <v>8</v>
      </c>
      <c r="D919">
        <v>0.81</v>
      </c>
      <c r="F919">
        <v>0.4</v>
      </c>
      <c r="G919">
        <v>0.78</v>
      </c>
      <c r="H919">
        <v>-0.23</v>
      </c>
      <c r="I919">
        <v>73.27</v>
      </c>
      <c r="J919">
        <v>4.5199999999999996</v>
      </c>
      <c r="K919">
        <v>0.44</v>
      </c>
      <c r="L919">
        <v>0.12</v>
      </c>
      <c r="M919">
        <v>54.6</v>
      </c>
      <c r="O919">
        <v>35.03</v>
      </c>
      <c r="P919">
        <v>12.32</v>
      </c>
      <c r="Q919">
        <v>0</v>
      </c>
      <c r="R919">
        <v>0</v>
      </c>
    </row>
    <row r="920" spans="1:18" x14ac:dyDescent="0.25">
      <c r="A920">
        <v>140</v>
      </c>
      <c r="B920">
        <v>192.35999999999999</v>
      </c>
      <c r="C920">
        <f>ROUNDDOWN(8.74363636363636,0)</f>
        <v>8</v>
      </c>
      <c r="D920">
        <v>0.73</v>
      </c>
      <c r="F920">
        <v>0.36</v>
      </c>
      <c r="G920">
        <v>0.76</v>
      </c>
      <c r="H920">
        <v>-0.14000000000000001</v>
      </c>
      <c r="I920">
        <v>73.150000000000006</v>
      </c>
      <c r="J920">
        <v>4.46</v>
      </c>
      <c r="K920">
        <v>0.63</v>
      </c>
      <c r="L920">
        <v>0.15</v>
      </c>
      <c r="M920">
        <v>54.6</v>
      </c>
      <c r="O920">
        <v>35.08</v>
      </c>
      <c r="P920">
        <v>12.34</v>
      </c>
      <c r="Q920">
        <v>0</v>
      </c>
      <c r="R920">
        <v>0</v>
      </c>
    </row>
    <row r="921" spans="1:18" x14ac:dyDescent="0.25">
      <c r="A921">
        <v>140</v>
      </c>
      <c r="B921">
        <v>192.57</v>
      </c>
      <c r="C921">
        <f>ROUNDDOWN(8.75318181818182,0)</f>
        <v>8</v>
      </c>
      <c r="D921">
        <v>0.42</v>
      </c>
      <c r="F921">
        <v>0.28999999999999998</v>
      </c>
      <c r="G921">
        <v>0.71</v>
      </c>
      <c r="H921">
        <v>-0.09</v>
      </c>
      <c r="I921">
        <v>72.88</v>
      </c>
      <c r="J921">
        <v>4.41</v>
      </c>
      <c r="K921">
        <v>0.84</v>
      </c>
      <c r="L921">
        <v>0.06</v>
      </c>
      <c r="M921">
        <v>54.61</v>
      </c>
      <c r="O921">
        <v>35.130000000000003</v>
      </c>
      <c r="P921">
        <v>12.35</v>
      </c>
      <c r="Q921">
        <v>0</v>
      </c>
      <c r="R921">
        <v>0</v>
      </c>
    </row>
    <row r="922" spans="1:18" x14ac:dyDescent="0.25">
      <c r="A922">
        <v>140</v>
      </c>
      <c r="B922">
        <v>192.78</v>
      </c>
      <c r="C922">
        <f>ROUNDDOWN(8.76272727272727,0)</f>
        <v>8</v>
      </c>
      <c r="D922">
        <v>-0.09</v>
      </c>
      <c r="F922">
        <v>0.24</v>
      </c>
      <c r="G922">
        <v>0.68</v>
      </c>
      <c r="H922">
        <v>-0.1</v>
      </c>
      <c r="I922">
        <v>72.52</v>
      </c>
      <c r="J922">
        <v>4.3600000000000003</v>
      </c>
      <c r="K922">
        <v>1.02</v>
      </c>
      <c r="L922">
        <v>-0.11</v>
      </c>
      <c r="M922">
        <v>54.61</v>
      </c>
      <c r="O922">
        <v>35.18</v>
      </c>
      <c r="P922">
        <v>12.37</v>
      </c>
      <c r="Q922">
        <v>0</v>
      </c>
      <c r="R922">
        <v>0</v>
      </c>
    </row>
    <row r="923" spans="1:18" x14ac:dyDescent="0.25">
      <c r="A923">
        <v>140</v>
      </c>
      <c r="B923">
        <v>192.98999999999998</v>
      </c>
      <c r="C923">
        <f>ROUNDDOWN(8.77227272727273,0)</f>
        <v>8</v>
      </c>
      <c r="D923">
        <v>-0.41</v>
      </c>
      <c r="F923">
        <v>0.24</v>
      </c>
      <c r="G923">
        <v>0.7</v>
      </c>
      <c r="H923">
        <v>-7.0000000000000007E-2</v>
      </c>
      <c r="I923">
        <v>72.400000000000006</v>
      </c>
      <c r="J923">
        <v>4.3099999999999996</v>
      </c>
      <c r="K923">
        <v>1.1000000000000001</v>
      </c>
      <c r="L923">
        <v>-0.12</v>
      </c>
      <c r="M923">
        <v>54.61</v>
      </c>
      <c r="O923">
        <v>35.24</v>
      </c>
      <c r="P923">
        <v>12.38</v>
      </c>
      <c r="Q923">
        <v>0</v>
      </c>
      <c r="R923">
        <v>0</v>
      </c>
    </row>
    <row r="924" spans="1:18" x14ac:dyDescent="0.25">
      <c r="A924">
        <v>140</v>
      </c>
      <c r="B924">
        <v>193.2</v>
      </c>
      <c r="C924">
        <f>ROUNDDOWN(8.78181818181818,0)</f>
        <v>8</v>
      </c>
      <c r="D924">
        <v>-0.46</v>
      </c>
      <c r="F924">
        <v>0.28999999999999998</v>
      </c>
      <c r="G924">
        <v>0.76</v>
      </c>
      <c r="H924">
        <v>-0.04</v>
      </c>
      <c r="I924">
        <v>72.55</v>
      </c>
      <c r="J924">
        <v>4.28</v>
      </c>
      <c r="K924">
        <v>1.04</v>
      </c>
      <c r="L924">
        <v>0</v>
      </c>
      <c r="M924">
        <v>54.61</v>
      </c>
      <c r="O924">
        <v>35.29</v>
      </c>
      <c r="P924">
        <v>12.4</v>
      </c>
      <c r="Q924">
        <v>0</v>
      </c>
      <c r="R924">
        <v>0</v>
      </c>
    </row>
    <row r="925" spans="1:18" x14ac:dyDescent="0.25">
      <c r="A925">
        <v>140</v>
      </c>
      <c r="B925">
        <v>193.41</v>
      </c>
      <c r="C925">
        <f>ROUNDDOWN(8.79136363636364,0)</f>
        <v>8</v>
      </c>
      <c r="D925">
        <v>-0.37</v>
      </c>
      <c r="F925">
        <v>0.34</v>
      </c>
      <c r="G925">
        <v>0.83</v>
      </c>
      <c r="H925">
        <v>-0.09</v>
      </c>
      <c r="I925">
        <v>72.819999999999993</v>
      </c>
      <c r="J925">
        <v>4.2699999999999996</v>
      </c>
      <c r="K925">
        <v>0.85</v>
      </c>
      <c r="L925">
        <v>0.1</v>
      </c>
      <c r="M925">
        <v>54.61</v>
      </c>
      <c r="O925">
        <v>35.340000000000003</v>
      </c>
      <c r="P925">
        <v>12.41</v>
      </c>
      <c r="Q925">
        <v>0</v>
      </c>
      <c r="R925">
        <v>0</v>
      </c>
    </row>
    <row r="926" spans="1:18" x14ac:dyDescent="0.25">
      <c r="A926">
        <v>140</v>
      </c>
      <c r="B926">
        <v>193.62</v>
      </c>
      <c r="C926">
        <f>ROUNDDOWN(8.80090909090909,0)</f>
        <v>8</v>
      </c>
      <c r="D926">
        <v>-0.25</v>
      </c>
      <c r="F926">
        <v>0.34</v>
      </c>
      <c r="G926">
        <v>0.86</v>
      </c>
      <c r="H926">
        <v>-0.2</v>
      </c>
      <c r="I926">
        <v>73.150000000000006</v>
      </c>
      <c r="J926">
        <v>4.3</v>
      </c>
      <c r="K926">
        <v>0.6</v>
      </c>
      <c r="L926">
        <v>0.16</v>
      </c>
      <c r="M926">
        <v>54.61</v>
      </c>
      <c r="O926">
        <v>35.39</v>
      </c>
      <c r="P926">
        <v>12.43</v>
      </c>
      <c r="Q926">
        <v>0</v>
      </c>
      <c r="R926">
        <v>0</v>
      </c>
    </row>
    <row r="927" spans="1:18" x14ac:dyDescent="0.25">
      <c r="A927">
        <v>140</v>
      </c>
      <c r="B927">
        <v>193.82999999999998</v>
      </c>
      <c r="C927">
        <f>ROUNDDOWN(8.81045454545455,0)</f>
        <v>8</v>
      </c>
      <c r="D927">
        <v>-0.08</v>
      </c>
      <c r="F927">
        <v>0.32</v>
      </c>
      <c r="G927">
        <v>0.87</v>
      </c>
      <c r="H927">
        <v>-0.27</v>
      </c>
      <c r="I927">
        <v>73.47</v>
      </c>
      <c r="J927">
        <v>4.3499999999999996</v>
      </c>
      <c r="K927">
        <v>0.39</v>
      </c>
      <c r="L927">
        <v>0.24</v>
      </c>
      <c r="M927">
        <v>54.61</v>
      </c>
      <c r="O927">
        <v>35.450000000000003</v>
      </c>
      <c r="P927">
        <v>12.44</v>
      </c>
      <c r="Q927">
        <v>0</v>
      </c>
      <c r="R927">
        <v>0</v>
      </c>
    </row>
    <row r="928" spans="1:18" x14ac:dyDescent="0.25">
      <c r="A928">
        <v>140</v>
      </c>
      <c r="B928">
        <v>194.04</v>
      </c>
      <c r="C928">
        <f>ROUNDDOWN(8.82,0)</f>
        <v>8</v>
      </c>
      <c r="D928">
        <v>0.1</v>
      </c>
      <c r="F928">
        <v>0.34</v>
      </c>
      <c r="G928">
        <v>0.9</v>
      </c>
      <c r="H928">
        <v>-0.23</v>
      </c>
      <c r="I928">
        <v>73.75</v>
      </c>
      <c r="J928">
        <v>4.42</v>
      </c>
      <c r="K928">
        <v>0.33</v>
      </c>
      <c r="L928">
        <v>0.4</v>
      </c>
      <c r="M928">
        <v>54.61</v>
      </c>
      <c r="O928">
        <v>35.5</v>
      </c>
      <c r="P928">
        <v>12.46</v>
      </c>
      <c r="Q928">
        <v>0</v>
      </c>
      <c r="R928">
        <v>0</v>
      </c>
    </row>
    <row r="929" spans="1:18" x14ac:dyDescent="0.25">
      <c r="A929">
        <v>140</v>
      </c>
      <c r="B929">
        <v>194.25</v>
      </c>
      <c r="C929">
        <f>ROUNDDOWN(8.82954545454546,0)</f>
        <v>8</v>
      </c>
      <c r="D929">
        <v>0.27</v>
      </c>
      <c r="F929">
        <v>0.36</v>
      </c>
      <c r="G929">
        <v>0.95</v>
      </c>
      <c r="H929">
        <v>-0.16</v>
      </c>
      <c r="I929">
        <v>73.98</v>
      </c>
      <c r="J929">
        <v>4.5</v>
      </c>
      <c r="K929">
        <v>0.34</v>
      </c>
      <c r="L929">
        <v>0.56000000000000005</v>
      </c>
      <c r="M929">
        <v>54.61</v>
      </c>
      <c r="O929">
        <v>35.549999999999997</v>
      </c>
      <c r="P929">
        <v>12.47</v>
      </c>
      <c r="Q929">
        <v>0</v>
      </c>
      <c r="R929">
        <v>0</v>
      </c>
    </row>
    <row r="930" spans="1:18" x14ac:dyDescent="0.25">
      <c r="A930">
        <v>140</v>
      </c>
      <c r="B930">
        <v>194.45999999999998</v>
      </c>
      <c r="C930">
        <f>ROUNDDOWN(8.83909090909091,0)</f>
        <v>8</v>
      </c>
      <c r="D930">
        <v>0.5</v>
      </c>
      <c r="F930">
        <v>0.35</v>
      </c>
      <c r="G930">
        <v>0.96</v>
      </c>
      <c r="H930">
        <v>-0.14000000000000001</v>
      </c>
      <c r="I930">
        <v>74.25</v>
      </c>
      <c r="J930">
        <v>4.59</v>
      </c>
      <c r="K930">
        <v>0.28000000000000003</v>
      </c>
      <c r="L930">
        <v>0.67</v>
      </c>
      <c r="M930">
        <v>54.61</v>
      </c>
      <c r="O930">
        <v>35.61</v>
      </c>
      <c r="P930">
        <v>12.49</v>
      </c>
      <c r="Q930">
        <v>0</v>
      </c>
      <c r="R930">
        <v>0</v>
      </c>
    </row>
    <row r="931" spans="1:18" x14ac:dyDescent="0.25">
      <c r="A931">
        <v>140</v>
      </c>
      <c r="B931">
        <v>194.67</v>
      </c>
      <c r="C931">
        <f>ROUNDDOWN(8.84863636363636,0)</f>
        <v>8</v>
      </c>
      <c r="D931">
        <v>0.89</v>
      </c>
      <c r="F931">
        <v>0.3</v>
      </c>
      <c r="G931">
        <v>0.93</v>
      </c>
      <c r="H931">
        <v>-0.13</v>
      </c>
      <c r="I931">
        <v>74.56</v>
      </c>
      <c r="J931">
        <v>4.68</v>
      </c>
      <c r="K931">
        <v>0.19</v>
      </c>
      <c r="L931">
        <v>0.78</v>
      </c>
      <c r="M931">
        <v>54.61</v>
      </c>
      <c r="O931">
        <v>35.659999999999997</v>
      </c>
      <c r="P931">
        <v>12.5</v>
      </c>
      <c r="Q931">
        <v>0</v>
      </c>
      <c r="R931">
        <v>0</v>
      </c>
    </row>
    <row r="932" spans="1:18" x14ac:dyDescent="0.25">
      <c r="A932">
        <v>140</v>
      </c>
      <c r="B932">
        <v>194.88</v>
      </c>
      <c r="C932">
        <f>ROUNDDOWN(8.85818181818182,0)</f>
        <v>8</v>
      </c>
      <c r="D932">
        <v>1.3</v>
      </c>
      <c r="F932">
        <v>0.31</v>
      </c>
      <c r="G932">
        <v>0.97</v>
      </c>
      <c r="H932">
        <v>-0.13</v>
      </c>
      <c r="I932">
        <v>74.78</v>
      </c>
      <c r="J932">
        <v>4.76</v>
      </c>
      <c r="K932">
        <v>0.14000000000000001</v>
      </c>
      <c r="L932">
        <v>0.83</v>
      </c>
      <c r="M932">
        <v>54.61</v>
      </c>
      <c r="O932">
        <v>35.72</v>
      </c>
      <c r="P932">
        <v>12.51</v>
      </c>
      <c r="Q932">
        <v>0</v>
      </c>
      <c r="R932">
        <v>0</v>
      </c>
    </row>
    <row r="933" spans="1:18" x14ac:dyDescent="0.25">
      <c r="A933">
        <v>140</v>
      </c>
      <c r="B933">
        <v>195.09</v>
      </c>
      <c r="C933">
        <f>ROUNDDOWN(8.86772727272727,0)</f>
        <v>8</v>
      </c>
      <c r="D933">
        <v>1.55</v>
      </c>
      <c r="F933">
        <v>0.4</v>
      </c>
      <c r="G933">
        <v>1.0900000000000001</v>
      </c>
      <c r="H933">
        <v>-0.15</v>
      </c>
      <c r="I933">
        <v>74.88</v>
      </c>
      <c r="J933">
        <v>4.82</v>
      </c>
      <c r="K933">
        <v>0.15</v>
      </c>
      <c r="L933">
        <v>0.79</v>
      </c>
      <c r="M933">
        <v>54.61</v>
      </c>
      <c r="O933">
        <v>35.770000000000003</v>
      </c>
      <c r="P933">
        <v>12.52</v>
      </c>
      <c r="Q933">
        <v>0</v>
      </c>
      <c r="R933">
        <v>0</v>
      </c>
    </row>
    <row r="934" spans="1:18" x14ac:dyDescent="0.25">
      <c r="A934">
        <v>140</v>
      </c>
      <c r="B934">
        <v>195.29999999999998</v>
      </c>
      <c r="C934">
        <f>ROUNDDOWN(8.87727272727273,0)</f>
        <v>8</v>
      </c>
      <c r="D934">
        <v>1.74</v>
      </c>
      <c r="F934">
        <v>0.49</v>
      </c>
      <c r="G934">
        <v>1.21</v>
      </c>
      <c r="H934">
        <v>-0.15</v>
      </c>
      <c r="I934">
        <v>75.010000000000005</v>
      </c>
      <c r="J934">
        <v>4.88</v>
      </c>
      <c r="K934">
        <v>0.16</v>
      </c>
      <c r="L934">
        <v>0.79</v>
      </c>
      <c r="M934">
        <v>54.61</v>
      </c>
      <c r="O934">
        <v>35.83</v>
      </c>
      <c r="P934">
        <v>12.54</v>
      </c>
      <c r="Q934">
        <v>0</v>
      </c>
      <c r="R934">
        <v>0</v>
      </c>
    </row>
    <row r="935" spans="1:18" x14ac:dyDescent="0.25">
      <c r="A935">
        <v>140</v>
      </c>
      <c r="B935">
        <v>195.51</v>
      </c>
      <c r="C935">
        <f>ROUNDDOWN(8.88681818181818,0)</f>
        <v>8</v>
      </c>
      <c r="D935">
        <v>2.1</v>
      </c>
      <c r="F935">
        <v>0.49</v>
      </c>
      <c r="G935">
        <v>1.25</v>
      </c>
      <c r="H935">
        <v>-0.11</v>
      </c>
      <c r="I935">
        <v>75.25</v>
      </c>
      <c r="J935">
        <v>4.9400000000000004</v>
      </c>
      <c r="K935">
        <v>0.14000000000000001</v>
      </c>
      <c r="L935">
        <v>0.88</v>
      </c>
      <c r="M935">
        <v>54.61</v>
      </c>
      <c r="O935">
        <v>35.89</v>
      </c>
      <c r="P935">
        <v>12.55</v>
      </c>
      <c r="Q935">
        <v>0</v>
      </c>
      <c r="R935">
        <v>0</v>
      </c>
    </row>
    <row r="936" spans="1:18" x14ac:dyDescent="0.25">
      <c r="A936">
        <v>140</v>
      </c>
      <c r="B936">
        <v>195.72</v>
      </c>
      <c r="C936">
        <f>ROUNDDOWN(8.89636363636364,0)</f>
        <v>8</v>
      </c>
      <c r="D936">
        <v>2.57</v>
      </c>
      <c r="F936">
        <v>0.39</v>
      </c>
      <c r="G936">
        <v>1.18</v>
      </c>
      <c r="H936">
        <v>-0.06</v>
      </c>
      <c r="I936">
        <v>75.45</v>
      </c>
      <c r="J936">
        <v>5</v>
      </c>
      <c r="K936">
        <v>0.17</v>
      </c>
      <c r="L936">
        <v>0.94</v>
      </c>
      <c r="M936">
        <v>54.61</v>
      </c>
      <c r="O936">
        <v>35.94</v>
      </c>
      <c r="P936">
        <v>12.57</v>
      </c>
      <c r="Q936">
        <v>0</v>
      </c>
      <c r="R936">
        <v>0</v>
      </c>
    </row>
    <row r="937" spans="1:18" x14ac:dyDescent="0.25">
      <c r="A937">
        <v>140</v>
      </c>
      <c r="B937">
        <v>195.93</v>
      </c>
      <c r="C937">
        <f>ROUNDDOWN(8.90590909090909,0)</f>
        <v>8</v>
      </c>
      <c r="D937">
        <v>2.92</v>
      </c>
      <c r="F937">
        <v>0.3</v>
      </c>
      <c r="G937">
        <v>1.1100000000000001</v>
      </c>
      <c r="H937">
        <v>-0.02</v>
      </c>
      <c r="I937">
        <v>75.430000000000007</v>
      </c>
      <c r="J937">
        <v>5.0599999999999996</v>
      </c>
      <c r="K937">
        <v>0.3</v>
      </c>
      <c r="L937">
        <v>0.9</v>
      </c>
      <c r="M937">
        <v>54.61</v>
      </c>
      <c r="O937">
        <v>36</v>
      </c>
      <c r="P937">
        <v>12.58</v>
      </c>
      <c r="Q937">
        <v>0</v>
      </c>
      <c r="R937">
        <v>0</v>
      </c>
    </row>
    <row r="938" spans="1:18" x14ac:dyDescent="0.25">
      <c r="A938">
        <v>140</v>
      </c>
      <c r="B938">
        <v>196.14</v>
      </c>
      <c r="C938">
        <f>ROUNDDOWN(8.91545454545454,0)</f>
        <v>8</v>
      </c>
      <c r="D938">
        <v>2.86</v>
      </c>
      <c r="F938">
        <v>0.22</v>
      </c>
      <c r="G938">
        <v>1.05</v>
      </c>
      <c r="H938">
        <v>0.02</v>
      </c>
      <c r="I938">
        <v>75.260000000000005</v>
      </c>
      <c r="J938">
        <v>5.12</v>
      </c>
      <c r="K938">
        <v>0.48</v>
      </c>
      <c r="L938">
        <v>0.78</v>
      </c>
      <c r="M938">
        <v>54.61</v>
      </c>
      <c r="O938">
        <v>36.06</v>
      </c>
      <c r="P938">
        <v>12.6</v>
      </c>
      <c r="Q938">
        <v>0</v>
      </c>
      <c r="R938">
        <v>0</v>
      </c>
    </row>
    <row r="939" spans="1:18" x14ac:dyDescent="0.25">
      <c r="A939">
        <v>140</v>
      </c>
      <c r="B939">
        <v>196.35</v>
      </c>
      <c r="C939">
        <f>ROUNDDOWN(8.925,0)</f>
        <v>8</v>
      </c>
      <c r="D939">
        <v>2.56</v>
      </c>
      <c r="F939">
        <v>0.16</v>
      </c>
      <c r="G939">
        <v>1.02</v>
      </c>
      <c r="H939">
        <v>7.0000000000000007E-2</v>
      </c>
      <c r="I939">
        <v>75.11</v>
      </c>
      <c r="J939">
        <v>5.15</v>
      </c>
      <c r="K939">
        <v>0.65</v>
      </c>
      <c r="L939">
        <v>0.68</v>
      </c>
      <c r="M939">
        <v>54.61</v>
      </c>
      <c r="O939">
        <v>36.11</v>
      </c>
      <c r="P939">
        <v>12.62</v>
      </c>
      <c r="Q939">
        <v>0</v>
      </c>
      <c r="R939">
        <v>0</v>
      </c>
    </row>
    <row r="940" spans="1:18" x14ac:dyDescent="0.25">
      <c r="A940">
        <v>140</v>
      </c>
      <c r="B940">
        <v>196.56</v>
      </c>
      <c r="C940">
        <f>ROUNDDOWN(8.93454545454546,0)</f>
        <v>8</v>
      </c>
      <c r="D940">
        <v>2.2400000000000002</v>
      </c>
      <c r="F940">
        <v>0.12</v>
      </c>
      <c r="G940">
        <v>0.99</v>
      </c>
      <c r="H940">
        <v>0.18</v>
      </c>
      <c r="I940">
        <v>75.06</v>
      </c>
      <c r="J940">
        <v>5.18</v>
      </c>
      <c r="K940">
        <v>0.81</v>
      </c>
      <c r="L940">
        <v>0.71</v>
      </c>
      <c r="M940">
        <v>54.61</v>
      </c>
      <c r="O940">
        <v>36.17</v>
      </c>
      <c r="P940">
        <v>12.64</v>
      </c>
      <c r="Q940">
        <v>0</v>
      </c>
      <c r="R940">
        <v>0</v>
      </c>
    </row>
    <row r="941" spans="1:18" x14ac:dyDescent="0.25">
      <c r="A941">
        <v>140</v>
      </c>
      <c r="B941">
        <v>196.76999999999998</v>
      </c>
      <c r="C941">
        <f>ROUNDDOWN(8.94409090909091,0)</f>
        <v>8</v>
      </c>
      <c r="D941">
        <v>1.9</v>
      </c>
      <c r="F941">
        <v>7.0000000000000007E-2</v>
      </c>
      <c r="G941">
        <v>0.96</v>
      </c>
      <c r="H941">
        <v>0.33</v>
      </c>
      <c r="I941">
        <v>75.040000000000006</v>
      </c>
      <c r="J941">
        <v>5.18</v>
      </c>
      <c r="K941">
        <v>1</v>
      </c>
      <c r="L941">
        <v>0.79</v>
      </c>
      <c r="M941">
        <v>54.61</v>
      </c>
      <c r="O941">
        <v>36.229999999999997</v>
      </c>
      <c r="P941">
        <v>12.65</v>
      </c>
      <c r="Q941">
        <v>0</v>
      </c>
      <c r="R941">
        <v>0</v>
      </c>
    </row>
    <row r="942" spans="1:18" x14ac:dyDescent="0.25">
      <c r="A942">
        <v>140</v>
      </c>
      <c r="B942">
        <v>196.98</v>
      </c>
      <c r="C942">
        <f>ROUNDDOWN(8.95363636363636,0)</f>
        <v>8</v>
      </c>
      <c r="D942">
        <v>1.49</v>
      </c>
      <c r="F942">
        <v>0.02</v>
      </c>
      <c r="G942">
        <v>0.92</v>
      </c>
      <c r="H942">
        <v>0.45</v>
      </c>
      <c r="I942">
        <v>74.959999999999994</v>
      </c>
      <c r="J942">
        <v>5.18</v>
      </c>
      <c r="K942">
        <v>1.17</v>
      </c>
      <c r="L942">
        <v>0.81</v>
      </c>
      <c r="M942">
        <v>54.61</v>
      </c>
      <c r="O942">
        <v>36.29</v>
      </c>
      <c r="P942">
        <v>12.67</v>
      </c>
      <c r="Q942">
        <v>0</v>
      </c>
      <c r="R942">
        <v>0</v>
      </c>
    </row>
    <row r="943" spans="1:18" x14ac:dyDescent="0.25">
      <c r="A943">
        <v>140</v>
      </c>
      <c r="B943">
        <v>197.19</v>
      </c>
      <c r="C943">
        <f>ROUNDDOWN(8.96318181818182,0)</f>
        <v>8</v>
      </c>
      <c r="D943">
        <v>1.1100000000000001</v>
      </c>
      <c r="F943">
        <v>-0.09</v>
      </c>
      <c r="G943">
        <v>0.82</v>
      </c>
      <c r="H943">
        <v>0.54</v>
      </c>
      <c r="I943">
        <v>74.86</v>
      </c>
      <c r="J943">
        <v>5.16</v>
      </c>
      <c r="K943">
        <v>1.3</v>
      </c>
      <c r="L943">
        <v>0.79</v>
      </c>
      <c r="M943">
        <v>54.61</v>
      </c>
      <c r="O943">
        <v>36.340000000000003</v>
      </c>
      <c r="P943">
        <v>12.69</v>
      </c>
      <c r="Q943">
        <v>0</v>
      </c>
      <c r="R943">
        <v>0</v>
      </c>
    </row>
    <row r="944" spans="1:18" x14ac:dyDescent="0.25">
      <c r="A944">
        <v>140</v>
      </c>
      <c r="B944">
        <v>197.4</v>
      </c>
      <c r="C944">
        <f>ROUNDDOWN(8.97272727272727,0)</f>
        <v>8</v>
      </c>
      <c r="D944">
        <v>0.82</v>
      </c>
      <c r="F944">
        <v>-0.2</v>
      </c>
      <c r="G944">
        <v>0.72</v>
      </c>
      <c r="H944">
        <v>0.61</v>
      </c>
      <c r="I944">
        <v>74.790000000000006</v>
      </c>
      <c r="J944">
        <v>5.12</v>
      </c>
      <c r="K944">
        <v>1.39</v>
      </c>
      <c r="L944">
        <v>0.77</v>
      </c>
      <c r="M944">
        <v>54.61</v>
      </c>
      <c r="O944">
        <v>36.4</v>
      </c>
      <c r="P944">
        <v>12.7</v>
      </c>
      <c r="Q944">
        <v>0</v>
      </c>
      <c r="R944">
        <v>0</v>
      </c>
    </row>
    <row r="945" spans="1:18" x14ac:dyDescent="0.25">
      <c r="A945">
        <v>140</v>
      </c>
      <c r="B945">
        <v>197.60999999999999</v>
      </c>
      <c r="C945">
        <f>ROUNDDOWN(8.98227272727273,0)</f>
        <v>8</v>
      </c>
      <c r="D945">
        <v>0.51</v>
      </c>
      <c r="F945">
        <v>-0.28999999999999998</v>
      </c>
      <c r="G945">
        <v>0.63</v>
      </c>
      <c r="H945">
        <v>0.68</v>
      </c>
      <c r="I945">
        <v>74.760000000000005</v>
      </c>
      <c r="J945">
        <v>5.07</v>
      </c>
      <c r="K945">
        <v>1.46</v>
      </c>
      <c r="L945">
        <v>0.77</v>
      </c>
      <c r="M945">
        <v>54.61</v>
      </c>
      <c r="O945">
        <v>36.46</v>
      </c>
      <c r="P945">
        <v>12.72</v>
      </c>
      <c r="Q945">
        <v>0</v>
      </c>
      <c r="R945">
        <v>0</v>
      </c>
    </row>
    <row r="946" spans="1:18" x14ac:dyDescent="0.25">
      <c r="A946">
        <v>140</v>
      </c>
      <c r="B946">
        <v>197.82</v>
      </c>
      <c r="C946">
        <f>ROUNDDOWN(8.99181818181818,0)</f>
        <v>8</v>
      </c>
      <c r="D946">
        <v>0.2</v>
      </c>
      <c r="F946">
        <v>-0.35</v>
      </c>
      <c r="G946">
        <v>0.56000000000000005</v>
      </c>
      <c r="H946">
        <v>0.65</v>
      </c>
      <c r="I946">
        <v>74.760000000000005</v>
      </c>
      <c r="J946">
        <v>5</v>
      </c>
      <c r="K946">
        <v>1.41</v>
      </c>
      <c r="L946">
        <v>0.69</v>
      </c>
      <c r="M946">
        <v>54.62</v>
      </c>
      <c r="O946">
        <v>36.520000000000003</v>
      </c>
      <c r="P946">
        <v>12.73</v>
      </c>
      <c r="Q946">
        <v>0</v>
      </c>
      <c r="R946">
        <v>0</v>
      </c>
    </row>
    <row r="947" spans="1:18" x14ac:dyDescent="0.25">
      <c r="A947">
        <v>140</v>
      </c>
      <c r="B947">
        <v>198.03</v>
      </c>
      <c r="C947">
        <f>ROUNDDOWN(9.00136363636364,0)</f>
        <v>9</v>
      </c>
      <c r="D947">
        <v>0.08</v>
      </c>
      <c r="F947">
        <v>-0.39</v>
      </c>
      <c r="G947">
        <v>0.52</v>
      </c>
      <c r="H947">
        <v>0.56000000000000005</v>
      </c>
      <c r="I947">
        <v>74.86</v>
      </c>
      <c r="J947">
        <v>4.92</v>
      </c>
      <c r="K947">
        <v>1.24</v>
      </c>
      <c r="L947">
        <v>0.59</v>
      </c>
      <c r="M947">
        <v>54.62</v>
      </c>
      <c r="O947">
        <v>36.58</v>
      </c>
      <c r="P947">
        <v>12.75</v>
      </c>
      <c r="Q947">
        <v>0</v>
      </c>
      <c r="R947">
        <v>0</v>
      </c>
    </row>
    <row r="948" spans="1:18" x14ac:dyDescent="0.25">
      <c r="A948">
        <v>140</v>
      </c>
      <c r="B948">
        <v>198.23999999999998</v>
      </c>
      <c r="C948">
        <f>ROUNDDOWN(9.01090909090909,0)</f>
        <v>9</v>
      </c>
      <c r="D948">
        <v>0.21</v>
      </c>
      <c r="F948">
        <v>-0.39</v>
      </c>
      <c r="G948">
        <v>0.51</v>
      </c>
      <c r="H948">
        <v>0.47</v>
      </c>
      <c r="I948">
        <v>75.09</v>
      </c>
      <c r="J948">
        <v>4.84</v>
      </c>
      <c r="K948">
        <v>1.02</v>
      </c>
      <c r="L948">
        <v>0.56999999999999995</v>
      </c>
      <c r="M948">
        <v>54.62</v>
      </c>
      <c r="O948">
        <v>36.64</v>
      </c>
      <c r="P948">
        <v>12.77</v>
      </c>
      <c r="Q948">
        <v>0</v>
      </c>
      <c r="R948">
        <v>0</v>
      </c>
    </row>
    <row r="949" spans="1:18" x14ac:dyDescent="0.25">
      <c r="A949">
        <v>140</v>
      </c>
      <c r="B949">
        <v>198.45</v>
      </c>
      <c r="C949">
        <f>ROUNDDOWN(9.02045454545454,0)</f>
        <v>9</v>
      </c>
      <c r="D949">
        <v>0.32</v>
      </c>
      <c r="F949">
        <v>-0.35</v>
      </c>
      <c r="G949">
        <v>0.54</v>
      </c>
      <c r="H949">
        <v>0.34</v>
      </c>
      <c r="I949">
        <v>75.33</v>
      </c>
      <c r="J949">
        <v>4.7699999999999996</v>
      </c>
      <c r="K949">
        <v>0.77</v>
      </c>
      <c r="L949">
        <v>0.51</v>
      </c>
      <c r="M949">
        <v>54.62</v>
      </c>
      <c r="O949">
        <v>36.700000000000003</v>
      </c>
      <c r="P949">
        <v>12.78</v>
      </c>
      <c r="Q949">
        <v>0</v>
      </c>
      <c r="R949">
        <v>0</v>
      </c>
    </row>
    <row r="950" spans="1:18" x14ac:dyDescent="0.25">
      <c r="A950">
        <v>140</v>
      </c>
      <c r="B950">
        <v>198.66</v>
      </c>
      <c r="C950">
        <f>ROUNDDOWN(9.03,0)</f>
        <v>9</v>
      </c>
      <c r="D950">
        <v>0.28999999999999998</v>
      </c>
      <c r="F950">
        <v>-0.34</v>
      </c>
      <c r="G950">
        <v>0.54</v>
      </c>
      <c r="H950">
        <v>0.18</v>
      </c>
      <c r="I950">
        <v>75.55</v>
      </c>
      <c r="J950">
        <v>4.71</v>
      </c>
      <c r="K950">
        <v>0.52</v>
      </c>
      <c r="L950">
        <v>0.41</v>
      </c>
      <c r="M950">
        <v>54.62</v>
      </c>
      <c r="O950">
        <v>36.76</v>
      </c>
      <c r="P950">
        <v>12.8</v>
      </c>
      <c r="Q950">
        <v>0</v>
      </c>
      <c r="R950">
        <v>0</v>
      </c>
    </row>
    <row r="951" spans="1:18" x14ac:dyDescent="0.25">
      <c r="A951">
        <v>140</v>
      </c>
      <c r="B951">
        <v>198.87</v>
      </c>
      <c r="C951">
        <f>ROUNDDOWN(9.03954545454545,0)</f>
        <v>9</v>
      </c>
      <c r="D951">
        <v>0.33</v>
      </c>
      <c r="F951">
        <v>-0.39</v>
      </c>
      <c r="G951">
        <v>0.49</v>
      </c>
      <c r="H951">
        <v>-0.08</v>
      </c>
      <c r="I951">
        <v>75.77</v>
      </c>
      <c r="J951">
        <v>4.67</v>
      </c>
      <c r="K951">
        <v>0.18</v>
      </c>
      <c r="L951">
        <v>0.21</v>
      </c>
      <c r="M951">
        <v>54.62</v>
      </c>
      <c r="O951">
        <v>36.82</v>
      </c>
      <c r="P951">
        <v>12.82</v>
      </c>
      <c r="Q951">
        <v>0</v>
      </c>
      <c r="R951">
        <v>0</v>
      </c>
    </row>
    <row r="952" spans="1:18" x14ac:dyDescent="0.25">
      <c r="A952">
        <v>140</v>
      </c>
      <c r="B952">
        <v>199.07999999999998</v>
      </c>
      <c r="C952">
        <f>ROUNDDOWN(9.04909090909091,0)</f>
        <v>9</v>
      </c>
      <c r="D952">
        <v>0.6</v>
      </c>
      <c r="F952">
        <v>-0.51</v>
      </c>
      <c r="G952">
        <v>0.35</v>
      </c>
      <c r="H952">
        <v>-0.31</v>
      </c>
      <c r="I952">
        <v>76.040000000000006</v>
      </c>
      <c r="J952">
        <v>4.63</v>
      </c>
      <c r="K952">
        <v>-0.13</v>
      </c>
      <c r="L952">
        <v>7.0000000000000007E-2</v>
      </c>
      <c r="M952">
        <v>54.62</v>
      </c>
      <c r="O952">
        <v>36.880000000000003</v>
      </c>
      <c r="P952">
        <v>12.84</v>
      </c>
      <c r="Q952">
        <v>0</v>
      </c>
      <c r="R952">
        <v>0</v>
      </c>
    </row>
    <row r="953" spans="1:18" x14ac:dyDescent="0.25">
      <c r="A953">
        <v>140</v>
      </c>
      <c r="B953">
        <v>199.29</v>
      </c>
      <c r="C953">
        <f>ROUNDDOWN(9.05863636363636,0)</f>
        <v>9</v>
      </c>
      <c r="D953">
        <v>1.08</v>
      </c>
      <c r="F953">
        <v>-0.62</v>
      </c>
      <c r="G953">
        <v>0.22</v>
      </c>
      <c r="H953">
        <v>-0.55000000000000004</v>
      </c>
      <c r="I953">
        <v>76.34</v>
      </c>
      <c r="J953">
        <v>4.5999999999999996</v>
      </c>
      <c r="K953">
        <v>-0.46</v>
      </c>
      <c r="L953">
        <v>-7.0000000000000007E-2</v>
      </c>
      <c r="M953">
        <v>54.62</v>
      </c>
      <c r="O953">
        <v>36.94</v>
      </c>
      <c r="P953">
        <v>12.86</v>
      </c>
      <c r="Q953">
        <v>0</v>
      </c>
      <c r="R953">
        <v>0</v>
      </c>
    </row>
    <row r="954" spans="1:18" x14ac:dyDescent="0.25">
      <c r="A954">
        <v>140</v>
      </c>
      <c r="B954">
        <v>199.5</v>
      </c>
      <c r="C954">
        <f>ROUNDDOWN(9.06818181818182,0)</f>
        <v>9</v>
      </c>
      <c r="D954">
        <v>1.54</v>
      </c>
      <c r="F954">
        <v>-0.65</v>
      </c>
      <c r="G954">
        <v>0.18</v>
      </c>
      <c r="H954">
        <v>-0.8</v>
      </c>
      <c r="I954">
        <v>76.650000000000006</v>
      </c>
      <c r="J954">
        <v>4.5599999999999996</v>
      </c>
      <c r="K954">
        <v>-0.76</v>
      </c>
      <c r="L954">
        <v>-0.2</v>
      </c>
      <c r="M954">
        <v>54.62</v>
      </c>
      <c r="O954">
        <v>37</v>
      </c>
      <c r="P954">
        <v>12.88</v>
      </c>
      <c r="Q954">
        <v>0</v>
      </c>
      <c r="R954">
        <v>0</v>
      </c>
    </row>
    <row r="955" spans="1:18" x14ac:dyDescent="0.25">
      <c r="A955">
        <v>140</v>
      </c>
      <c r="B955">
        <v>199.70999999999998</v>
      </c>
      <c r="C955">
        <f>ROUNDDOWN(9.07772727272727,0)</f>
        <v>9</v>
      </c>
      <c r="D955">
        <v>1.85</v>
      </c>
      <c r="F955">
        <v>-0.61</v>
      </c>
      <c r="G955">
        <v>0.19</v>
      </c>
      <c r="H955">
        <v>-1.02</v>
      </c>
      <c r="I955">
        <v>76.91</v>
      </c>
      <c r="J955">
        <v>4.51</v>
      </c>
      <c r="K955">
        <v>-1.01</v>
      </c>
      <c r="L955">
        <v>-0.34</v>
      </c>
      <c r="M955">
        <v>54.62</v>
      </c>
      <c r="O955">
        <v>37.06</v>
      </c>
      <c r="P955">
        <v>12.9</v>
      </c>
      <c r="Q955">
        <v>0</v>
      </c>
      <c r="R955">
        <v>0</v>
      </c>
    </row>
    <row r="956" spans="1:18" x14ac:dyDescent="0.25">
      <c r="A956">
        <v>140</v>
      </c>
      <c r="B956">
        <v>199.92</v>
      </c>
      <c r="C956">
        <f>ROUNDDOWN(9.08727272727273,0)</f>
        <v>9</v>
      </c>
      <c r="D956">
        <v>1.99</v>
      </c>
      <c r="F956">
        <v>-0.56999999999999995</v>
      </c>
      <c r="G956">
        <v>0.2</v>
      </c>
      <c r="H956">
        <v>-1.26</v>
      </c>
      <c r="I956">
        <v>77.03</v>
      </c>
      <c r="J956">
        <v>4.46</v>
      </c>
      <c r="K956">
        <v>-1.19</v>
      </c>
      <c r="L956">
        <v>-0.55000000000000004</v>
      </c>
      <c r="M956">
        <v>54.62</v>
      </c>
      <c r="O956">
        <v>37.119999999999997</v>
      </c>
      <c r="P956">
        <v>12.92</v>
      </c>
      <c r="Q956">
        <v>0</v>
      </c>
      <c r="R956">
        <v>0</v>
      </c>
    </row>
    <row r="957" spans="1:18" x14ac:dyDescent="0.25">
      <c r="A957">
        <v>140</v>
      </c>
      <c r="B957">
        <v>200.13</v>
      </c>
      <c r="C957">
        <f>ROUNDDOWN(9.09681818181818,0)</f>
        <v>9</v>
      </c>
      <c r="D957">
        <v>2.02</v>
      </c>
      <c r="F957">
        <v>-0.55000000000000004</v>
      </c>
      <c r="G957">
        <v>0.2</v>
      </c>
      <c r="H957">
        <v>-1.53</v>
      </c>
      <c r="I957">
        <v>76.98</v>
      </c>
      <c r="J957">
        <v>4.4000000000000004</v>
      </c>
      <c r="K957">
        <v>-1.3</v>
      </c>
      <c r="L957">
        <v>-0.87</v>
      </c>
      <c r="M957">
        <v>54.62</v>
      </c>
      <c r="O957">
        <v>37.18</v>
      </c>
      <c r="P957">
        <v>12.94</v>
      </c>
      <c r="Q957">
        <v>0</v>
      </c>
      <c r="R957">
        <v>0</v>
      </c>
    </row>
    <row r="958" spans="1:18" x14ac:dyDescent="0.25">
      <c r="A958">
        <v>140</v>
      </c>
      <c r="B958">
        <v>200.34</v>
      </c>
      <c r="C958">
        <f>ROUNDDOWN(9.10636363636364,0)</f>
        <v>9</v>
      </c>
      <c r="D958">
        <v>2.02</v>
      </c>
      <c r="F958">
        <v>-0.47</v>
      </c>
      <c r="G958">
        <v>0.26</v>
      </c>
      <c r="H958">
        <v>-1.79</v>
      </c>
      <c r="I958">
        <v>76.88</v>
      </c>
      <c r="J958">
        <v>4.33</v>
      </c>
      <c r="K958">
        <v>-1.38</v>
      </c>
      <c r="L958">
        <v>-1.18</v>
      </c>
      <c r="M958">
        <v>54.62</v>
      </c>
      <c r="O958">
        <v>37.24</v>
      </c>
      <c r="P958">
        <v>12.95</v>
      </c>
      <c r="Q958">
        <v>0</v>
      </c>
      <c r="R958">
        <v>0</v>
      </c>
    </row>
    <row r="959" spans="1:18" x14ac:dyDescent="0.25">
      <c r="A959">
        <v>140</v>
      </c>
      <c r="B959">
        <v>200.54999999999998</v>
      </c>
      <c r="C959">
        <f>ROUNDDOWN(9.11590909090909,0)</f>
        <v>9</v>
      </c>
      <c r="D959">
        <v>1.96</v>
      </c>
      <c r="F959">
        <v>-0.33</v>
      </c>
      <c r="G959">
        <v>0.38</v>
      </c>
      <c r="H959">
        <v>-1.99</v>
      </c>
      <c r="I959">
        <v>76.75</v>
      </c>
      <c r="J959">
        <v>4.26</v>
      </c>
      <c r="K959">
        <v>-1.39</v>
      </c>
      <c r="L959">
        <v>-1.44</v>
      </c>
      <c r="M959">
        <v>54.62</v>
      </c>
      <c r="O959">
        <v>37.299999999999997</v>
      </c>
      <c r="P959">
        <v>12.97</v>
      </c>
      <c r="Q959">
        <v>0</v>
      </c>
      <c r="R959">
        <v>0</v>
      </c>
    </row>
    <row r="960" spans="1:18" x14ac:dyDescent="0.25">
      <c r="A960">
        <v>140</v>
      </c>
      <c r="B960">
        <v>200.76</v>
      </c>
      <c r="C960">
        <f>ROUNDDOWN(9.12545454545455,0)</f>
        <v>9</v>
      </c>
      <c r="D960">
        <v>1.85</v>
      </c>
      <c r="F960">
        <v>-0.21</v>
      </c>
      <c r="G960">
        <v>0.5</v>
      </c>
      <c r="H960">
        <v>-2.17</v>
      </c>
      <c r="I960">
        <v>76.61</v>
      </c>
      <c r="J960">
        <v>4.1900000000000004</v>
      </c>
      <c r="K960">
        <v>-1.37</v>
      </c>
      <c r="L960">
        <v>-1.65</v>
      </c>
      <c r="M960">
        <v>54.62</v>
      </c>
      <c r="O960">
        <v>37.36</v>
      </c>
      <c r="P960">
        <v>12.99</v>
      </c>
      <c r="Q960">
        <v>0</v>
      </c>
      <c r="R960">
        <v>0</v>
      </c>
    </row>
    <row r="961" spans="1:18" x14ac:dyDescent="0.25">
      <c r="A961">
        <v>140</v>
      </c>
      <c r="B961">
        <v>200.97</v>
      </c>
      <c r="C961">
        <f>ROUNDDOWN(9.135,0)</f>
        <v>9</v>
      </c>
      <c r="D961">
        <v>1.67</v>
      </c>
      <c r="F961">
        <v>-0.18</v>
      </c>
      <c r="G961">
        <v>0.52</v>
      </c>
      <c r="H961">
        <v>-2.35</v>
      </c>
      <c r="I961">
        <v>76.430000000000007</v>
      </c>
      <c r="J961">
        <v>4.13</v>
      </c>
      <c r="K961">
        <v>-1.34</v>
      </c>
      <c r="L961">
        <v>-1.87</v>
      </c>
      <c r="M961">
        <v>54.62</v>
      </c>
      <c r="O961">
        <v>37.42</v>
      </c>
      <c r="P961">
        <v>13.01</v>
      </c>
      <c r="Q961">
        <v>0</v>
      </c>
      <c r="R961">
        <v>0</v>
      </c>
    </row>
    <row r="962" spans="1:18" x14ac:dyDescent="0.25">
      <c r="A962">
        <v>140</v>
      </c>
      <c r="B962">
        <v>201.17999999999998</v>
      </c>
      <c r="C962">
        <f>ROUNDDOWN(9.14454545454545,0)</f>
        <v>9</v>
      </c>
      <c r="D962">
        <v>1.38</v>
      </c>
      <c r="F962">
        <v>-0.22</v>
      </c>
      <c r="G962">
        <v>0.47</v>
      </c>
      <c r="H962">
        <v>-2.4700000000000002</v>
      </c>
      <c r="I962">
        <v>76.239999999999995</v>
      </c>
      <c r="J962">
        <v>4.08</v>
      </c>
      <c r="K962">
        <v>-1.25</v>
      </c>
      <c r="L962">
        <v>-2.02</v>
      </c>
      <c r="M962">
        <v>54.62</v>
      </c>
      <c r="O962">
        <v>37.479999999999997</v>
      </c>
      <c r="P962">
        <v>13.03</v>
      </c>
      <c r="Q962">
        <v>0</v>
      </c>
      <c r="R962">
        <v>0</v>
      </c>
    </row>
    <row r="963" spans="1:18" x14ac:dyDescent="0.25">
      <c r="A963">
        <v>140</v>
      </c>
      <c r="B963">
        <v>201.39</v>
      </c>
      <c r="C963">
        <f>ROUNDDOWN(9.15409090909091,0)</f>
        <v>9</v>
      </c>
      <c r="D963">
        <v>1.08</v>
      </c>
      <c r="F963">
        <v>-0.25</v>
      </c>
      <c r="G963">
        <v>0.43</v>
      </c>
      <c r="H963">
        <v>-2.56</v>
      </c>
      <c r="I963">
        <v>76.17</v>
      </c>
      <c r="J963">
        <v>4.04</v>
      </c>
      <c r="K963">
        <v>-1.2</v>
      </c>
      <c r="L963">
        <v>-2.06</v>
      </c>
      <c r="M963">
        <v>54.62</v>
      </c>
      <c r="O963">
        <v>37.549999999999997</v>
      </c>
      <c r="P963">
        <v>13.05</v>
      </c>
      <c r="Q963">
        <v>0</v>
      </c>
      <c r="R963">
        <v>0</v>
      </c>
    </row>
    <row r="964" spans="1:18" x14ac:dyDescent="0.25">
      <c r="A964">
        <v>140</v>
      </c>
      <c r="B964">
        <v>201.6</v>
      </c>
      <c r="C964">
        <f>ROUNDDOWN(9.16363636363636,0)</f>
        <v>9</v>
      </c>
      <c r="D964">
        <v>0.93</v>
      </c>
      <c r="F964">
        <v>-0.24</v>
      </c>
      <c r="G964">
        <v>0.43</v>
      </c>
      <c r="H964">
        <v>-2.57</v>
      </c>
      <c r="I964">
        <v>76.260000000000005</v>
      </c>
      <c r="J964">
        <v>4.04</v>
      </c>
      <c r="K964">
        <v>-1.1599999999999999</v>
      </c>
      <c r="L964">
        <v>-1.95</v>
      </c>
      <c r="M964">
        <v>54.62</v>
      </c>
      <c r="O964">
        <v>37.61</v>
      </c>
      <c r="P964">
        <v>13.08</v>
      </c>
      <c r="Q964">
        <v>0</v>
      </c>
      <c r="R964">
        <v>0</v>
      </c>
    </row>
    <row r="965" spans="1:18" x14ac:dyDescent="0.25">
      <c r="A965">
        <v>140</v>
      </c>
      <c r="B965">
        <v>201.81</v>
      </c>
      <c r="C965">
        <f>ROUNDDOWN(9.17318181818182,0)</f>
        <v>9</v>
      </c>
      <c r="D965">
        <v>0.88</v>
      </c>
      <c r="F965">
        <v>-0.26</v>
      </c>
      <c r="G965">
        <v>0.39</v>
      </c>
      <c r="H965">
        <v>-2.5299999999999998</v>
      </c>
      <c r="I965">
        <v>76.430000000000007</v>
      </c>
      <c r="J965">
        <v>4.08</v>
      </c>
      <c r="K965">
        <v>-1.0900000000000001</v>
      </c>
      <c r="L965">
        <v>-1.75</v>
      </c>
      <c r="M965">
        <v>54.62</v>
      </c>
      <c r="O965">
        <v>37.67</v>
      </c>
      <c r="P965">
        <v>13.1</v>
      </c>
      <c r="Q965">
        <v>0</v>
      </c>
      <c r="R965">
        <v>0</v>
      </c>
    </row>
    <row r="966" spans="1:18" x14ac:dyDescent="0.25">
      <c r="A966">
        <v>140</v>
      </c>
      <c r="B966">
        <v>202.01999999999998</v>
      </c>
      <c r="C966">
        <f>ROUNDDOWN(9.18272727272727,0)</f>
        <v>9</v>
      </c>
      <c r="D966">
        <v>0.84</v>
      </c>
      <c r="F966">
        <v>-0.34</v>
      </c>
      <c r="G966">
        <v>0.3</v>
      </c>
      <c r="H966">
        <v>-2.35</v>
      </c>
      <c r="I966">
        <v>76.61</v>
      </c>
      <c r="J966">
        <v>4.1399999999999997</v>
      </c>
      <c r="K966">
        <v>-0.9</v>
      </c>
      <c r="L966">
        <v>-1.41</v>
      </c>
      <c r="M966">
        <v>54.62</v>
      </c>
      <c r="O966">
        <v>37.729999999999997</v>
      </c>
      <c r="P966">
        <v>13.12</v>
      </c>
      <c r="Q966">
        <v>0</v>
      </c>
      <c r="R966">
        <v>0</v>
      </c>
    </row>
    <row r="967" spans="1:18" x14ac:dyDescent="0.25">
      <c r="A967">
        <v>140</v>
      </c>
      <c r="B967">
        <v>202.23</v>
      </c>
      <c r="C967">
        <f>ROUNDDOWN(9.19227272727273,0)</f>
        <v>9</v>
      </c>
      <c r="D967">
        <v>0.68</v>
      </c>
      <c r="F967">
        <v>-0.46</v>
      </c>
      <c r="G967">
        <v>0.16</v>
      </c>
      <c r="H967">
        <v>-2.13</v>
      </c>
      <c r="I967">
        <v>76.72</v>
      </c>
      <c r="J967">
        <v>4.22</v>
      </c>
      <c r="K967">
        <v>-0.65</v>
      </c>
      <c r="L967">
        <v>-1.1000000000000001</v>
      </c>
      <c r="M967">
        <v>54.62</v>
      </c>
      <c r="O967">
        <v>37.79</v>
      </c>
      <c r="P967">
        <v>13.14</v>
      </c>
      <c r="Q967">
        <v>0</v>
      </c>
      <c r="R967">
        <v>0</v>
      </c>
    </row>
    <row r="968" spans="1:18" x14ac:dyDescent="0.25">
      <c r="A968">
        <v>140</v>
      </c>
      <c r="B968">
        <v>202.44</v>
      </c>
      <c r="C968">
        <f>ROUNDDOWN(9.20181818181818,0)</f>
        <v>9</v>
      </c>
      <c r="D968">
        <v>0.43</v>
      </c>
      <c r="F968">
        <v>-0.57999999999999996</v>
      </c>
      <c r="G968">
        <v>0.01</v>
      </c>
      <c r="H968">
        <v>-1.94</v>
      </c>
      <c r="I968">
        <v>76.760000000000005</v>
      </c>
      <c r="J968">
        <v>4.32</v>
      </c>
      <c r="K968">
        <v>-0.4</v>
      </c>
      <c r="L968">
        <v>-0.86</v>
      </c>
      <c r="M968">
        <v>54.62</v>
      </c>
      <c r="O968">
        <v>37.85</v>
      </c>
      <c r="P968">
        <v>13.16</v>
      </c>
      <c r="Q968">
        <v>0</v>
      </c>
      <c r="R968">
        <v>0</v>
      </c>
    </row>
    <row r="969" spans="1:18" x14ac:dyDescent="0.25">
      <c r="A969">
        <v>140</v>
      </c>
      <c r="B969">
        <v>202.65</v>
      </c>
      <c r="C969">
        <f>ROUNDDOWN(9.21136363636364,0)</f>
        <v>9</v>
      </c>
      <c r="D969">
        <v>0.16</v>
      </c>
      <c r="F969">
        <v>-0.65</v>
      </c>
      <c r="G969">
        <v>-0.08</v>
      </c>
      <c r="H969">
        <v>-1.83</v>
      </c>
      <c r="I969">
        <v>76.81</v>
      </c>
      <c r="J969">
        <v>4.41</v>
      </c>
      <c r="K969">
        <v>-0.24</v>
      </c>
      <c r="L969">
        <v>-0.7</v>
      </c>
      <c r="M969">
        <v>54.62</v>
      </c>
      <c r="O969">
        <v>37.92</v>
      </c>
      <c r="P969">
        <v>13.17</v>
      </c>
      <c r="Q969">
        <v>0</v>
      </c>
      <c r="R969">
        <v>0</v>
      </c>
    </row>
    <row r="970" spans="1:18" x14ac:dyDescent="0.25">
      <c r="A970">
        <v>140</v>
      </c>
      <c r="B970">
        <v>202.85999999999999</v>
      </c>
      <c r="C970">
        <f>ROUNDDOWN(9.22090909090909,0)</f>
        <v>9</v>
      </c>
      <c r="D970">
        <v>-0.12</v>
      </c>
      <c r="F970">
        <v>-0.64</v>
      </c>
      <c r="G970">
        <v>-0.1</v>
      </c>
      <c r="H970">
        <v>-1.73</v>
      </c>
      <c r="I970">
        <v>76.790000000000006</v>
      </c>
      <c r="J970">
        <v>4.49</v>
      </c>
      <c r="K970">
        <v>-7.0000000000000007E-2</v>
      </c>
      <c r="L970">
        <v>-0.59</v>
      </c>
      <c r="M970">
        <v>54.62</v>
      </c>
      <c r="O970">
        <v>37.979999999999997</v>
      </c>
      <c r="P970">
        <v>13.19</v>
      </c>
      <c r="Q970">
        <v>0</v>
      </c>
      <c r="R970">
        <v>0</v>
      </c>
    </row>
    <row r="971" spans="1:18" x14ac:dyDescent="0.25">
      <c r="A971">
        <v>140</v>
      </c>
      <c r="B971">
        <v>203.07</v>
      </c>
      <c r="C971">
        <f>ROUNDDOWN(9.23045454545455,0)</f>
        <v>9</v>
      </c>
      <c r="D971">
        <v>-0.35</v>
      </c>
      <c r="F971">
        <v>-0.51</v>
      </c>
      <c r="G971">
        <v>0</v>
      </c>
      <c r="H971">
        <v>-1.59</v>
      </c>
      <c r="I971">
        <v>76.680000000000007</v>
      </c>
      <c r="J971">
        <v>4.57</v>
      </c>
      <c r="K971">
        <v>0.18</v>
      </c>
      <c r="L971">
        <v>-0.49</v>
      </c>
      <c r="M971">
        <v>54.63</v>
      </c>
      <c r="O971">
        <v>38.04</v>
      </c>
      <c r="P971">
        <v>13.2</v>
      </c>
      <c r="Q971">
        <v>0</v>
      </c>
      <c r="R971">
        <v>0</v>
      </c>
    </row>
    <row r="972" spans="1:18" x14ac:dyDescent="0.25">
      <c r="A972">
        <v>140</v>
      </c>
      <c r="B972">
        <v>203.28</v>
      </c>
      <c r="C972">
        <f>ROUNDDOWN(9.24,0)</f>
        <v>9</v>
      </c>
      <c r="D972">
        <v>-0.49</v>
      </c>
      <c r="F972">
        <v>-0.43</v>
      </c>
      <c r="G972">
        <v>0.04</v>
      </c>
      <c r="H972">
        <v>-1.49</v>
      </c>
      <c r="I972">
        <v>76.489999999999995</v>
      </c>
      <c r="J972">
        <v>4.6399999999999997</v>
      </c>
      <c r="K972">
        <v>0.42</v>
      </c>
      <c r="L972">
        <v>-0.46</v>
      </c>
      <c r="M972">
        <v>54.63</v>
      </c>
      <c r="O972">
        <v>38.1</v>
      </c>
      <c r="P972">
        <v>13.22</v>
      </c>
      <c r="Q972">
        <v>0</v>
      </c>
      <c r="R972">
        <v>0</v>
      </c>
    </row>
    <row r="973" spans="1:18" x14ac:dyDescent="0.25">
      <c r="A973">
        <v>140</v>
      </c>
      <c r="B973">
        <v>203.48999999999998</v>
      </c>
      <c r="C973">
        <f>ROUNDDOWN(9.24954545454545,0)</f>
        <v>9</v>
      </c>
      <c r="D973">
        <v>-0.48</v>
      </c>
      <c r="F973">
        <v>-0.45</v>
      </c>
      <c r="G973">
        <v>0</v>
      </c>
      <c r="H973">
        <v>-1.39</v>
      </c>
      <c r="I973">
        <v>76.400000000000006</v>
      </c>
      <c r="J973">
        <v>4.71</v>
      </c>
      <c r="K973">
        <v>0.57999999999999996</v>
      </c>
      <c r="L973">
        <v>-0.38</v>
      </c>
      <c r="M973">
        <v>54.63</v>
      </c>
      <c r="O973">
        <v>38.17</v>
      </c>
      <c r="P973">
        <v>13.23</v>
      </c>
      <c r="Q973">
        <v>0</v>
      </c>
      <c r="R973">
        <v>0</v>
      </c>
    </row>
    <row r="974" spans="1:18" x14ac:dyDescent="0.25">
      <c r="A974">
        <v>140</v>
      </c>
      <c r="B974">
        <v>203.7</v>
      </c>
      <c r="C974">
        <f>ROUNDDOWN(9.25909090909091,0)</f>
        <v>9</v>
      </c>
      <c r="D974">
        <v>-0.2</v>
      </c>
      <c r="F974">
        <v>-0.53</v>
      </c>
      <c r="G974">
        <v>-0.11</v>
      </c>
      <c r="H974">
        <v>-1.31</v>
      </c>
      <c r="I974">
        <v>76.55</v>
      </c>
      <c r="J974">
        <v>4.78</v>
      </c>
      <c r="K974">
        <v>0.59</v>
      </c>
      <c r="L974">
        <v>-0.21</v>
      </c>
      <c r="M974">
        <v>54.63</v>
      </c>
      <c r="O974">
        <v>38.229999999999997</v>
      </c>
      <c r="P974">
        <v>13.25</v>
      </c>
      <c r="Q974">
        <v>0</v>
      </c>
      <c r="R974">
        <v>0</v>
      </c>
    </row>
    <row r="975" spans="1:18" x14ac:dyDescent="0.25">
      <c r="A975">
        <v>140</v>
      </c>
      <c r="B975">
        <v>203.91</v>
      </c>
      <c r="C975">
        <f>ROUNDDOWN(9.26863636363636,0)</f>
        <v>9</v>
      </c>
      <c r="D975">
        <v>0.22</v>
      </c>
      <c r="F975">
        <v>-0.6</v>
      </c>
      <c r="G975">
        <v>-0.21</v>
      </c>
      <c r="H975">
        <v>-1.28</v>
      </c>
      <c r="I975">
        <v>76.83</v>
      </c>
      <c r="J975">
        <v>4.83</v>
      </c>
      <c r="K975">
        <v>0.5</v>
      </c>
      <c r="L975">
        <v>-0.04</v>
      </c>
      <c r="M975">
        <v>54.63</v>
      </c>
      <c r="O975">
        <v>38.29</v>
      </c>
      <c r="P975">
        <v>13.26</v>
      </c>
      <c r="Q975">
        <v>0</v>
      </c>
      <c r="R975">
        <v>0</v>
      </c>
    </row>
    <row r="976" spans="1:18" x14ac:dyDescent="0.25">
      <c r="A976">
        <v>140</v>
      </c>
      <c r="B976">
        <v>204.12</v>
      </c>
      <c r="C976">
        <f>ROUNDDOWN(9.27818181818182,0)</f>
        <v>9</v>
      </c>
      <c r="D976">
        <v>0.56000000000000005</v>
      </c>
      <c r="F976">
        <v>-0.6</v>
      </c>
      <c r="G976">
        <v>-0.25</v>
      </c>
      <c r="H976">
        <v>-1.29</v>
      </c>
      <c r="I976">
        <v>76.989999999999995</v>
      </c>
      <c r="J976">
        <v>4.8600000000000003</v>
      </c>
      <c r="K976">
        <v>0.43</v>
      </c>
      <c r="L976">
        <v>0.02</v>
      </c>
      <c r="M976">
        <v>54.63</v>
      </c>
      <c r="O976">
        <v>38.36</v>
      </c>
      <c r="P976">
        <v>13.28</v>
      </c>
      <c r="Q976">
        <v>0</v>
      </c>
      <c r="R976">
        <v>0</v>
      </c>
    </row>
    <row r="977" spans="1:18" x14ac:dyDescent="0.25">
      <c r="A977">
        <v>140</v>
      </c>
      <c r="B977">
        <v>204.32999999999998</v>
      </c>
      <c r="C977">
        <f>ROUNDDOWN(9.28772727272727,0)</f>
        <v>9</v>
      </c>
      <c r="D977">
        <v>0.84</v>
      </c>
      <c r="F977">
        <v>-0.53</v>
      </c>
      <c r="G977">
        <v>-0.21</v>
      </c>
      <c r="H977">
        <v>-1.33</v>
      </c>
      <c r="I977">
        <v>77.08</v>
      </c>
      <c r="J977">
        <v>4.88</v>
      </c>
      <c r="K977">
        <v>0.38</v>
      </c>
      <c r="L977">
        <v>0.03</v>
      </c>
      <c r="M977">
        <v>54.63</v>
      </c>
      <c r="O977">
        <v>38.42</v>
      </c>
      <c r="P977">
        <v>13.29</v>
      </c>
      <c r="Q977">
        <v>0</v>
      </c>
      <c r="R977">
        <v>0</v>
      </c>
    </row>
    <row r="978" spans="1:18" x14ac:dyDescent="0.25">
      <c r="A978">
        <v>140</v>
      </c>
      <c r="B978">
        <v>204.54</v>
      </c>
      <c r="C978">
        <f>ROUNDDOWN(9.29727272727273,0)</f>
        <v>9</v>
      </c>
      <c r="D978">
        <v>1.07</v>
      </c>
      <c r="F978">
        <v>-0.5</v>
      </c>
      <c r="G978">
        <v>-0.22</v>
      </c>
      <c r="H978">
        <v>-1.33</v>
      </c>
      <c r="I978">
        <v>77.239999999999995</v>
      </c>
      <c r="J978">
        <v>4.8899999999999997</v>
      </c>
      <c r="K978">
        <v>0.32</v>
      </c>
      <c r="L978">
        <v>0.09</v>
      </c>
      <c r="M978">
        <v>54.63</v>
      </c>
      <c r="O978">
        <v>38.479999999999997</v>
      </c>
      <c r="P978">
        <v>13.31</v>
      </c>
      <c r="Q978">
        <v>0</v>
      </c>
      <c r="R978">
        <v>0</v>
      </c>
    </row>
    <row r="979" spans="1:18" x14ac:dyDescent="0.25">
      <c r="A979">
        <v>140</v>
      </c>
      <c r="B979">
        <v>204.75</v>
      </c>
      <c r="C979">
        <f>ROUNDDOWN(9.30681818181818,0)</f>
        <v>9</v>
      </c>
      <c r="D979">
        <v>1.2</v>
      </c>
      <c r="F979">
        <v>-0.52</v>
      </c>
      <c r="G979">
        <v>-0.27</v>
      </c>
      <c r="H979">
        <v>-1.37</v>
      </c>
      <c r="I979">
        <v>77.459999999999994</v>
      </c>
      <c r="J979">
        <v>4.91</v>
      </c>
      <c r="K979">
        <v>0.22</v>
      </c>
      <c r="L979">
        <v>0.15</v>
      </c>
      <c r="M979">
        <v>54.63</v>
      </c>
      <c r="O979">
        <v>38.549999999999997</v>
      </c>
      <c r="P979">
        <v>13.32</v>
      </c>
      <c r="Q979">
        <v>0</v>
      </c>
      <c r="R979">
        <v>0</v>
      </c>
    </row>
    <row r="980" spans="1:18" x14ac:dyDescent="0.25">
      <c r="A980">
        <v>140</v>
      </c>
      <c r="B980">
        <v>204.95999999999998</v>
      </c>
      <c r="C980">
        <f>ROUNDDOWN(9.31636363636363,0)</f>
        <v>9</v>
      </c>
      <c r="D980">
        <v>1.28</v>
      </c>
      <c r="F980">
        <v>-0.49</v>
      </c>
      <c r="G980">
        <v>-0.28000000000000003</v>
      </c>
      <c r="H980">
        <v>-1.46</v>
      </c>
      <c r="I980">
        <v>77.7</v>
      </c>
      <c r="J980">
        <v>4.93</v>
      </c>
      <c r="K980">
        <v>0.06</v>
      </c>
      <c r="L980">
        <v>0.16</v>
      </c>
      <c r="M980">
        <v>54.63</v>
      </c>
      <c r="O980">
        <v>38.61</v>
      </c>
      <c r="P980">
        <v>13.34</v>
      </c>
      <c r="Q980">
        <v>0</v>
      </c>
      <c r="R980">
        <v>0</v>
      </c>
    </row>
    <row r="981" spans="1:18" x14ac:dyDescent="0.25">
      <c r="A981">
        <v>140</v>
      </c>
      <c r="B981">
        <v>205.17</v>
      </c>
      <c r="C981">
        <f>ROUNDDOWN(9.32590909090909,0)</f>
        <v>9</v>
      </c>
      <c r="D981">
        <v>1.4</v>
      </c>
      <c r="F981">
        <v>-0.37</v>
      </c>
      <c r="G981">
        <v>-0.19</v>
      </c>
      <c r="H981">
        <v>-1.53</v>
      </c>
      <c r="I981">
        <v>78.010000000000005</v>
      </c>
      <c r="J981">
        <v>4.95</v>
      </c>
      <c r="K981">
        <v>-0.12</v>
      </c>
      <c r="L981">
        <v>0.21</v>
      </c>
      <c r="M981">
        <v>54.63</v>
      </c>
      <c r="O981">
        <v>38.67</v>
      </c>
      <c r="P981">
        <v>13.35</v>
      </c>
      <c r="Q981">
        <v>0</v>
      </c>
      <c r="R981">
        <v>0</v>
      </c>
    </row>
    <row r="982" spans="1:18" x14ac:dyDescent="0.25">
      <c r="A982">
        <v>140</v>
      </c>
      <c r="B982">
        <v>205.38</v>
      </c>
      <c r="C982">
        <f>ROUNDDOWN(9.33545454545455,0)</f>
        <v>9</v>
      </c>
      <c r="D982">
        <v>1.61</v>
      </c>
      <c r="F982">
        <v>-0.2</v>
      </c>
      <c r="G982">
        <v>-0.04</v>
      </c>
      <c r="H982">
        <v>-1.56</v>
      </c>
      <c r="I982">
        <v>78.33</v>
      </c>
      <c r="J982">
        <v>4.9800000000000004</v>
      </c>
      <c r="K982">
        <v>-0.23</v>
      </c>
      <c r="L982">
        <v>0.3</v>
      </c>
      <c r="M982">
        <v>54.63</v>
      </c>
      <c r="O982">
        <v>38.74</v>
      </c>
      <c r="P982">
        <v>13.36</v>
      </c>
      <c r="Q982">
        <v>0</v>
      </c>
      <c r="R982">
        <v>0</v>
      </c>
    </row>
    <row r="983" spans="1:18" x14ac:dyDescent="0.25">
      <c r="A983">
        <v>140</v>
      </c>
      <c r="B983">
        <v>205.59</v>
      </c>
      <c r="C983">
        <f>ROUNDDOWN(9.345,0)</f>
        <v>9</v>
      </c>
      <c r="D983">
        <v>1.78</v>
      </c>
      <c r="F983">
        <v>-7.0000000000000007E-2</v>
      </c>
      <c r="G983">
        <v>0.08</v>
      </c>
      <c r="H983">
        <v>-1.57</v>
      </c>
      <c r="I983">
        <v>78.55</v>
      </c>
      <c r="J983">
        <v>5</v>
      </c>
      <c r="K983">
        <v>-0.27</v>
      </c>
      <c r="L983">
        <v>0.35</v>
      </c>
      <c r="M983">
        <v>54.63</v>
      </c>
      <c r="O983">
        <v>38.799999999999997</v>
      </c>
      <c r="P983">
        <v>13.38</v>
      </c>
      <c r="Q983">
        <v>0</v>
      </c>
      <c r="R983">
        <v>0</v>
      </c>
    </row>
    <row r="984" spans="1:18" x14ac:dyDescent="0.25">
      <c r="A984">
        <v>140</v>
      </c>
      <c r="B984">
        <v>205.79999999999998</v>
      </c>
      <c r="C984">
        <f>ROUNDDOWN(9.35454545454545,0)</f>
        <v>9</v>
      </c>
      <c r="D984">
        <v>1.88</v>
      </c>
      <c r="F984">
        <v>0.09</v>
      </c>
      <c r="G984">
        <v>0.22</v>
      </c>
      <c r="H984">
        <v>-1.58</v>
      </c>
      <c r="I984">
        <v>78.69</v>
      </c>
      <c r="J984">
        <v>5.04</v>
      </c>
      <c r="K984">
        <v>-0.27</v>
      </c>
      <c r="L984">
        <v>0.36</v>
      </c>
      <c r="M984">
        <v>54.63</v>
      </c>
      <c r="O984">
        <v>38.869999999999997</v>
      </c>
      <c r="P984">
        <v>13.39</v>
      </c>
      <c r="Q984">
        <v>0</v>
      </c>
      <c r="R984">
        <v>0</v>
      </c>
    </row>
    <row r="985" spans="1:18" x14ac:dyDescent="0.25">
      <c r="A985">
        <v>140</v>
      </c>
      <c r="B985">
        <v>206.01</v>
      </c>
      <c r="C985">
        <f>ROUNDDOWN(9.36409090909091,0)</f>
        <v>9</v>
      </c>
      <c r="D985">
        <v>1.97</v>
      </c>
      <c r="F985">
        <v>0.22</v>
      </c>
      <c r="G985">
        <v>0.35</v>
      </c>
      <c r="H985">
        <v>-1.52</v>
      </c>
      <c r="I985">
        <v>78.77</v>
      </c>
      <c r="J985">
        <v>5.07</v>
      </c>
      <c r="K985">
        <v>-0.17</v>
      </c>
      <c r="L985">
        <v>0.4</v>
      </c>
      <c r="M985">
        <v>54.63</v>
      </c>
      <c r="O985">
        <v>38.93</v>
      </c>
      <c r="P985">
        <v>13.4</v>
      </c>
      <c r="Q985">
        <v>0</v>
      </c>
      <c r="R985">
        <v>0</v>
      </c>
    </row>
    <row r="986" spans="1:18" x14ac:dyDescent="0.25">
      <c r="A986">
        <v>140</v>
      </c>
      <c r="B986">
        <v>206.22</v>
      </c>
      <c r="C986">
        <f>ROUNDDOWN(9.37363636363636,0)</f>
        <v>9</v>
      </c>
      <c r="D986">
        <v>2.08</v>
      </c>
      <c r="F986">
        <v>0.37</v>
      </c>
      <c r="G986">
        <v>0.5</v>
      </c>
      <c r="H986">
        <v>-1.37</v>
      </c>
      <c r="I986">
        <v>78.760000000000005</v>
      </c>
      <c r="J986">
        <v>5.1100000000000003</v>
      </c>
      <c r="K986">
        <v>0.05</v>
      </c>
      <c r="L986">
        <v>0.49</v>
      </c>
      <c r="M986">
        <v>54.63</v>
      </c>
      <c r="O986">
        <v>38.99</v>
      </c>
      <c r="P986">
        <v>13.41</v>
      </c>
      <c r="Q986">
        <v>0</v>
      </c>
      <c r="R986">
        <v>0</v>
      </c>
    </row>
    <row r="987" spans="1:18" x14ac:dyDescent="0.25">
      <c r="A987">
        <v>140</v>
      </c>
      <c r="B987">
        <v>206.42999999999998</v>
      </c>
      <c r="C987">
        <f>ROUNDDOWN(9.38318181818182,0)</f>
        <v>9</v>
      </c>
      <c r="D987">
        <v>2.14</v>
      </c>
      <c r="F987">
        <v>0.54</v>
      </c>
      <c r="G987">
        <v>0.67</v>
      </c>
      <c r="H987">
        <v>-1.21</v>
      </c>
      <c r="I987">
        <v>78.63</v>
      </c>
      <c r="J987">
        <v>5.16</v>
      </c>
      <c r="K987">
        <v>0.33</v>
      </c>
      <c r="L987">
        <v>0.53</v>
      </c>
      <c r="M987">
        <v>54.63</v>
      </c>
      <c r="O987">
        <v>39.06</v>
      </c>
      <c r="P987">
        <v>13.42</v>
      </c>
      <c r="Q987">
        <v>0</v>
      </c>
      <c r="R987">
        <v>0</v>
      </c>
    </row>
    <row r="988" spans="1:18" x14ac:dyDescent="0.25">
      <c r="A988">
        <v>140</v>
      </c>
      <c r="B988">
        <v>206.64</v>
      </c>
      <c r="C988">
        <f>ROUNDDOWN(9.39272727272727,0)</f>
        <v>9</v>
      </c>
      <c r="D988">
        <v>2.0499999999999998</v>
      </c>
      <c r="F988">
        <v>0.63</v>
      </c>
      <c r="G988">
        <v>0.79</v>
      </c>
      <c r="H988">
        <v>-1.07</v>
      </c>
      <c r="I988">
        <v>78.45</v>
      </c>
      <c r="J988">
        <v>5.2</v>
      </c>
      <c r="K988">
        <v>0.61</v>
      </c>
      <c r="L988">
        <v>0.53</v>
      </c>
      <c r="M988">
        <v>54.63</v>
      </c>
      <c r="O988">
        <v>39.119999999999997</v>
      </c>
      <c r="P988">
        <v>13.43</v>
      </c>
      <c r="Q988">
        <v>0</v>
      </c>
      <c r="R988">
        <v>0</v>
      </c>
    </row>
    <row r="989" spans="1:18" x14ac:dyDescent="0.25">
      <c r="A989">
        <v>140</v>
      </c>
      <c r="B989">
        <v>206.85</v>
      </c>
      <c r="C989">
        <f>ROUNDDOWN(9.40227272727273,0)</f>
        <v>9</v>
      </c>
      <c r="D989">
        <v>1.77</v>
      </c>
      <c r="F989">
        <v>0.67</v>
      </c>
      <c r="G989">
        <v>0.84</v>
      </c>
      <c r="H989">
        <v>-0.93</v>
      </c>
      <c r="I989">
        <v>78.319999999999993</v>
      </c>
      <c r="J989">
        <v>5.24</v>
      </c>
      <c r="K989">
        <v>0.83</v>
      </c>
      <c r="L989">
        <v>0.56000000000000005</v>
      </c>
      <c r="M989">
        <v>54.63</v>
      </c>
      <c r="O989">
        <v>39.19</v>
      </c>
      <c r="P989">
        <v>13.43</v>
      </c>
      <c r="Q989">
        <v>0</v>
      </c>
      <c r="R989">
        <v>0</v>
      </c>
    </row>
    <row r="990" spans="1:18" x14ac:dyDescent="0.25">
      <c r="A990">
        <v>140</v>
      </c>
      <c r="B990">
        <v>207.06</v>
      </c>
      <c r="C990">
        <f>ROUNDDOWN(9.41181818181818,0)</f>
        <v>9</v>
      </c>
      <c r="D990">
        <v>1.38</v>
      </c>
      <c r="F990">
        <v>0.68</v>
      </c>
      <c r="G990">
        <v>0.88</v>
      </c>
      <c r="H990">
        <v>-0.78</v>
      </c>
      <c r="I990">
        <v>78.22</v>
      </c>
      <c r="J990">
        <v>5.28</v>
      </c>
      <c r="K990">
        <v>1.03</v>
      </c>
      <c r="L990">
        <v>0.6</v>
      </c>
      <c r="M990">
        <v>54.63</v>
      </c>
      <c r="O990">
        <v>39.26</v>
      </c>
      <c r="P990">
        <v>13.44</v>
      </c>
      <c r="Q990">
        <v>0</v>
      </c>
      <c r="R990">
        <v>0</v>
      </c>
    </row>
    <row r="991" spans="1:18" x14ac:dyDescent="0.25">
      <c r="A991">
        <v>140</v>
      </c>
      <c r="B991">
        <v>207.26999999999998</v>
      </c>
      <c r="C991">
        <f>ROUNDDOWN(9.42136363636364,0)</f>
        <v>9</v>
      </c>
      <c r="D991">
        <v>1.04</v>
      </c>
      <c r="F991">
        <v>0.69</v>
      </c>
      <c r="G991">
        <v>0.91</v>
      </c>
      <c r="H991">
        <v>-0.63</v>
      </c>
      <c r="I991">
        <v>78.03</v>
      </c>
      <c r="J991">
        <v>5.31</v>
      </c>
      <c r="K991">
        <v>1.26</v>
      </c>
      <c r="L991">
        <v>0.61</v>
      </c>
      <c r="M991">
        <v>54.63</v>
      </c>
      <c r="O991">
        <v>39.32</v>
      </c>
      <c r="P991">
        <v>13.45</v>
      </c>
      <c r="Q991">
        <v>0</v>
      </c>
      <c r="R991">
        <v>0</v>
      </c>
    </row>
    <row r="992" spans="1:18" x14ac:dyDescent="0.25">
      <c r="A992">
        <v>140</v>
      </c>
      <c r="B992">
        <v>207.48</v>
      </c>
      <c r="C992">
        <f>ROUNDDOWN(9.43090909090909,0)</f>
        <v>9</v>
      </c>
      <c r="D992">
        <v>0.65</v>
      </c>
      <c r="F992">
        <v>0.67</v>
      </c>
      <c r="G992">
        <v>0.91</v>
      </c>
      <c r="H992">
        <v>-0.54</v>
      </c>
      <c r="I992">
        <v>77.73</v>
      </c>
      <c r="J992">
        <v>5.34</v>
      </c>
      <c r="K992">
        <v>1.47</v>
      </c>
      <c r="L992">
        <v>0.52</v>
      </c>
      <c r="M992">
        <v>54.63</v>
      </c>
      <c r="O992">
        <v>39.39</v>
      </c>
      <c r="P992">
        <v>13.45</v>
      </c>
      <c r="Q992">
        <v>0</v>
      </c>
      <c r="R992">
        <v>0</v>
      </c>
    </row>
    <row r="993" spans="1:18" x14ac:dyDescent="0.25">
      <c r="A993">
        <v>140</v>
      </c>
      <c r="B993">
        <v>207.69</v>
      </c>
      <c r="C993">
        <f>ROUNDDOWN(9.44045454545454,0)</f>
        <v>9</v>
      </c>
      <c r="D993">
        <v>0.25</v>
      </c>
      <c r="F993">
        <v>0.6</v>
      </c>
      <c r="G993">
        <v>0.87</v>
      </c>
      <c r="H993">
        <v>-0.47</v>
      </c>
      <c r="I993">
        <v>77.489999999999995</v>
      </c>
      <c r="J993">
        <v>5.37</v>
      </c>
      <c r="K993">
        <v>1.6</v>
      </c>
      <c r="L993">
        <v>0.44</v>
      </c>
      <c r="M993">
        <v>54.63</v>
      </c>
      <c r="O993">
        <v>39.450000000000003</v>
      </c>
      <c r="P993">
        <v>13.45</v>
      </c>
      <c r="Q993">
        <v>0</v>
      </c>
      <c r="R993">
        <v>0</v>
      </c>
    </row>
    <row r="994" spans="1:18" x14ac:dyDescent="0.25">
      <c r="A994">
        <v>140</v>
      </c>
      <c r="B994">
        <v>207.9</v>
      </c>
      <c r="C994">
        <f>ROUNDDOWN(9.45,0)</f>
        <v>9</v>
      </c>
      <c r="D994">
        <v>-7.0000000000000007E-2</v>
      </c>
      <c r="F994">
        <v>0.54</v>
      </c>
      <c r="G994">
        <v>0.83</v>
      </c>
      <c r="H994">
        <v>-0.41</v>
      </c>
      <c r="I994">
        <v>77.400000000000006</v>
      </c>
      <c r="J994">
        <v>5.4</v>
      </c>
      <c r="K994">
        <v>1.64</v>
      </c>
      <c r="L994">
        <v>0.43</v>
      </c>
      <c r="M994">
        <v>54.63</v>
      </c>
      <c r="O994">
        <v>39.520000000000003</v>
      </c>
      <c r="P994">
        <v>13.46</v>
      </c>
      <c r="Q994">
        <v>0</v>
      </c>
      <c r="R994">
        <v>0</v>
      </c>
    </row>
    <row r="995" spans="1:18" x14ac:dyDescent="0.25">
      <c r="A995">
        <v>140</v>
      </c>
      <c r="B995">
        <v>208.10999999999999</v>
      </c>
      <c r="C995">
        <f>ROUNDDOWN(9.45954545454545,0)</f>
        <v>9</v>
      </c>
      <c r="D995">
        <v>-0.28999999999999998</v>
      </c>
      <c r="F995">
        <v>0.52</v>
      </c>
      <c r="G995">
        <v>0.82</v>
      </c>
      <c r="H995">
        <v>-0.35</v>
      </c>
      <c r="I995">
        <v>77.41</v>
      </c>
      <c r="J995">
        <v>5.43</v>
      </c>
      <c r="K995">
        <v>1.64</v>
      </c>
      <c r="L995">
        <v>0.48</v>
      </c>
      <c r="M995">
        <v>54.64</v>
      </c>
      <c r="O995">
        <v>39.590000000000003</v>
      </c>
      <c r="P995">
        <v>13.46</v>
      </c>
      <c r="Q995">
        <v>0</v>
      </c>
      <c r="R995">
        <v>0</v>
      </c>
    </row>
    <row r="996" spans="1:18" x14ac:dyDescent="0.25">
      <c r="A996">
        <v>140</v>
      </c>
      <c r="B996">
        <v>208.32</v>
      </c>
      <c r="C996">
        <f>ROUNDDOWN(9.46909090909091,0)</f>
        <v>9</v>
      </c>
      <c r="D996">
        <v>-0.52</v>
      </c>
      <c r="F996">
        <v>0.5</v>
      </c>
      <c r="G996">
        <v>0.82</v>
      </c>
      <c r="H996">
        <v>-0.33</v>
      </c>
      <c r="I996">
        <v>77.5</v>
      </c>
      <c r="J996">
        <v>5.46</v>
      </c>
      <c r="K996">
        <v>1.54</v>
      </c>
      <c r="L996">
        <v>0.52</v>
      </c>
      <c r="M996">
        <v>54.64</v>
      </c>
      <c r="O996">
        <v>39.65</v>
      </c>
      <c r="P996">
        <v>13.47</v>
      </c>
      <c r="Q996">
        <v>0</v>
      </c>
      <c r="R996">
        <v>0</v>
      </c>
    </row>
    <row r="997" spans="1:18" x14ac:dyDescent="0.25">
      <c r="A997">
        <v>140</v>
      </c>
      <c r="B997">
        <v>208.53</v>
      </c>
      <c r="C997">
        <f>ROUNDDOWN(9.47863636363636,0)</f>
        <v>9</v>
      </c>
      <c r="D997">
        <v>-0.71</v>
      </c>
      <c r="F997">
        <v>0.46</v>
      </c>
      <c r="G997">
        <v>0.8</v>
      </c>
      <c r="H997">
        <v>-0.35</v>
      </c>
      <c r="I997">
        <v>77.62</v>
      </c>
      <c r="J997">
        <v>5.48</v>
      </c>
      <c r="K997">
        <v>1.4</v>
      </c>
      <c r="L997">
        <v>0.53</v>
      </c>
      <c r="M997">
        <v>54.64</v>
      </c>
      <c r="O997">
        <v>39.72</v>
      </c>
      <c r="P997">
        <v>13.47</v>
      </c>
      <c r="Q997">
        <v>0</v>
      </c>
      <c r="R997">
        <v>0</v>
      </c>
    </row>
    <row r="998" spans="1:18" x14ac:dyDescent="0.25">
      <c r="A998">
        <v>140</v>
      </c>
      <c r="B998">
        <v>208.73999999999998</v>
      </c>
      <c r="C998">
        <f>ROUNDDOWN(9.48818181818182,0)</f>
        <v>9</v>
      </c>
      <c r="D998">
        <v>-0.79</v>
      </c>
      <c r="F998">
        <v>0.45</v>
      </c>
      <c r="G998">
        <v>0.81</v>
      </c>
      <c r="H998">
        <v>-0.38</v>
      </c>
      <c r="I998">
        <v>77.760000000000005</v>
      </c>
      <c r="J998">
        <v>5.48</v>
      </c>
      <c r="K998">
        <v>1.25</v>
      </c>
      <c r="L998">
        <v>0.55000000000000004</v>
      </c>
      <c r="M998">
        <v>54.64</v>
      </c>
      <c r="O998">
        <v>39.79</v>
      </c>
      <c r="P998">
        <v>13.48</v>
      </c>
      <c r="Q998">
        <v>0</v>
      </c>
      <c r="R998">
        <v>0</v>
      </c>
    </row>
    <row r="999" spans="1:18" x14ac:dyDescent="0.25">
      <c r="A999">
        <v>140</v>
      </c>
      <c r="B999">
        <v>208.95</v>
      </c>
      <c r="C999">
        <f>ROUNDDOWN(9.49772727272727,0)</f>
        <v>9</v>
      </c>
      <c r="D999">
        <v>-0.82</v>
      </c>
      <c r="F999">
        <v>0.47</v>
      </c>
      <c r="G999">
        <v>0.84</v>
      </c>
      <c r="H999">
        <v>-0.41</v>
      </c>
      <c r="I999">
        <v>77.87</v>
      </c>
      <c r="J999">
        <v>5.47</v>
      </c>
      <c r="K999">
        <v>1.1100000000000001</v>
      </c>
      <c r="L999">
        <v>0.54</v>
      </c>
      <c r="M999">
        <v>54.64</v>
      </c>
      <c r="O999">
        <v>39.85</v>
      </c>
      <c r="P999">
        <v>13.49</v>
      </c>
      <c r="Q999">
        <v>0</v>
      </c>
      <c r="R999">
        <v>0</v>
      </c>
    </row>
    <row r="1000" spans="1:18" x14ac:dyDescent="0.25">
      <c r="A1000">
        <v>140</v>
      </c>
      <c r="B1000">
        <v>209.16</v>
      </c>
      <c r="C1000">
        <f>ROUNDDOWN(9.50727272727273,0)</f>
        <v>9</v>
      </c>
      <c r="D1000">
        <v>-0.79</v>
      </c>
      <c r="F1000">
        <v>0.5</v>
      </c>
      <c r="G1000">
        <v>0.89</v>
      </c>
      <c r="H1000">
        <v>-0.46</v>
      </c>
      <c r="I1000">
        <v>77.98</v>
      </c>
      <c r="J1000">
        <v>5.44</v>
      </c>
      <c r="K1000">
        <v>0.97</v>
      </c>
      <c r="L1000">
        <v>0.5</v>
      </c>
      <c r="M1000">
        <v>54.64</v>
      </c>
      <c r="O1000">
        <v>39.92</v>
      </c>
      <c r="P1000">
        <v>13.49</v>
      </c>
      <c r="Q1000">
        <v>0</v>
      </c>
      <c r="R1000">
        <v>0</v>
      </c>
    </row>
    <row r="1001" spans="1:18" x14ac:dyDescent="0.25">
      <c r="A1001">
        <v>140</v>
      </c>
      <c r="B1001">
        <v>209.37</v>
      </c>
      <c r="C1001">
        <f>ROUNDDOWN(9.51681818181818,0)</f>
        <v>9</v>
      </c>
      <c r="D1001">
        <v>-0.65</v>
      </c>
      <c r="F1001">
        <v>0.48</v>
      </c>
      <c r="G1001">
        <v>0.89</v>
      </c>
      <c r="H1001">
        <v>-0.5</v>
      </c>
      <c r="I1001">
        <v>78.11</v>
      </c>
      <c r="J1001">
        <v>5.4</v>
      </c>
      <c r="K1001">
        <v>0.83</v>
      </c>
      <c r="L1001">
        <v>0.5</v>
      </c>
      <c r="M1001">
        <v>54.64</v>
      </c>
      <c r="O1001">
        <v>39.99</v>
      </c>
      <c r="P1001">
        <v>13.5</v>
      </c>
      <c r="Q1001">
        <v>0</v>
      </c>
      <c r="R1001">
        <v>0</v>
      </c>
    </row>
    <row r="1002" spans="1:18" x14ac:dyDescent="0.25">
      <c r="A1002">
        <v>140</v>
      </c>
      <c r="B1002">
        <v>209.57999999999998</v>
      </c>
      <c r="C1002">
        <f>ROUNDDOWN(9.52636363636364,0)</f>
        <v>9</v>
      </c>
      <c r="D1002">
        <v>-0.33</v>
      </c>
      <c r="F1002">
        <v>0.5</v>
      </c>
      <c r="G1002">
        <v>0.92</v>
      </c>
      <c r="H1002">
        <v>-0.53</v>
      </c>
      <c r="I1002">
        <v>78.31</v>
      </c>
      <c r="J1002">
        <v>5.35</v>
      </c>
      <c r="K1002">
        <v>0.68</v>
      </c>
      <c r="L1002">
        <v>0.52</v>
      </c>
      <c r="M1002">
        <v>54.64</v>
      </c>
      <c r="O1002">
        <v>40.049999999999997</v>
      </c>
      <c r="P1002">
        <v>13.5</v>
      </c>
      <c r="Q1002">
        <v>0</v>
      </c>
      <c r="R1002">
        <v>0</v>
      </c>
    </row>
    <row r="1003" spans="1:18" x14ac:dyDescent="0.25">
      <c r="A1003">
        <v>140</v>
      </c>
      <c r="B1003">
        <v>209.79</v>
      </c>
      <c r="C1003">
        <f>ROUNDDOWN(9.53590909090909,0)</f>
        <v>9</v>
      </c>
      <c r="D1003">
        <v>-0.01</v>
      </c>
      <c r="F1003">
        <v>0.55000000000000004</v>
      </c>
      <c r="G1003">
        <v>1</v>
      </c>
      <c r="H1003">
        <v>-0.63</v>
      </c>
      <c r="I1003">
        <v>78.44</v>
      </c>
      <c r="J1003">
        <v>5.31</v>
      </c>
      <c r="K1003">
        <v>0.49</v>
      </c>
      <c r="L1003">
        <v>0.44</v>
      </c>
      <c r="M1003">
        <v>54.64</v>
      </c>
      <c r="O1003">
        <v>40.119999999999997</v>
      </c>
      <c r="P1003">
        <v>13.51</v>
      </c>
      <c r="Q1003">
        <v>0</v>
      </c>
      <c r="R1003">
        <v>0</v>
      </c>
    </row>
    <row r="1004" spans="1:18" x14ac:dyDescent="0.25">
      <c r="A1004">
        <v>140</v>
      </c>
      <c r="B1004">
        <v>210</v>
      </c>
      <c r="C1004">
        <f>ROUNDDOWN(9.54545454545454,0)</f>
        <v>9</v>
      </c>
      <c r="D1004">
        <v>0.24</v>
      </c>
      <c r="F1004">
        <v>0.57999999999999996</v>
      </c>
      <c r="G1004">
        <v>1.06</v>
      </c>
      <c r="H1004">
        <v>-0.8</v>
      </c>
      <c r="I1004">
        <v>78.569999999999993</v>
      </c>
      <c r="J1004">
        <v>5.29</v>
      </c>
      <c r="K1004">
        <v>0.25</v>
      </c>
      <c r="L1004">
        <v>0.28999999999999998</v>
      </c>
      <c r="M1004">
        <v>54.64</v>
      </c>
      <c r="O1004">
        <v>40.19</v>
      </c>
      <c r="P1004">
        <v>13.51</v>
      </c>
      <c r="Q1004">
        <v>0</v>
      </c>
      <c r="R1004">
        <v>0</v>
      </c>
    </row>
    <row r="1005" spans="1:18" x14ac:dyDescent="0.25">
      <c r="A1005">
        <v>140</v>
      </c>
      <c r="B1005">
        <v>210.20999999999998</v>
      </c>
      <c r="C1005">
        <f>ROUNDDOWN(9.555,0)</f>
        <v>9</v>
      </c>
      <c r="D1005">
        <v>0.61</v>
      </c>
      <c r="F1005">
        <v>0.55000000000000004</v>
      </c>
      <c r="G1005">
        <v>1.05</v>
      </c>
      <c r="H1005">
        <v>-0.93</v>
      </c>
      <c r="I1005">
        <v>78.83</v>
      </c>
      <c r="J1005">
        <v>5.29</v>
      </c>
      <c r="K1005">
        <v>0</v>
      </c>
      <c r="L1005">
        <v>0.25</v>
      </c>
      <c r="M1005">
        <v>54.64</v>
      </c>
      <c r="O1005">
        <v>40.26</v>
      </c>
      <c r="P1005">
        <v>13.52</v>
      </c>
      <c r="Q1005">
        <v>0</v>
      </c>
      <c r="R1005">
        <v>0</v>
      </c>
    </row>
    <row r="1006" spans="1:18" x14ac:dyDescent="0.25">
      <c r="A1006">
        <v>140</v>
      </c>
      <c r="B1006">
        <v>210.42</v>
      </c>
      <c r="C1006">
        <f>ROUNDDOWN(9.56454545454545,0)</f>
        <v>9</v>
      </c>
      <c r="D1006">
        <v>1.1599999999999999</v>
      </c>
      <c r="F1006">
        <v>0.45</v>
      </c>
      <c r="G1006">
        <v>0.97</v>
      </c>
      <c r="H1006">
        <v>-0.99</v>
      </c>
      <c r="I1006">
        <v>79.19</v>
      </c>
      <c r="J1006">
        <v>5.3</v>
      </c>
      <c r="K1006">
        <v>-0.22</v>
      </c>
      <c r="L1006">
        <v>0.33</v>
      </c>
      <c r="M1006">
        <v>54.64</v>
      </c>
      <c r="O1006">
        <v>40.33</v>
      </c>
      <c r="P1006">
        <v>13.53</v>
      </c>
      <c r="Q1006">
        <v>0</v>
      </c>
      <c r="R1006">
        <v>0</v>
      </c>
    </row>
    <row r="1007" spans="1:18" x14ac:dyDescent="0.25">
      <c r="A1007">
        <v>140</v>
      </c>
      <c r="B1007">
        <v>210.63</v>
      </c>
      <c r="C1007">
        <f>ROUNDDOWN(9.57409090909091,0)</f>
        <v>9</v>
      </c>
      <c r="D1007">
        <v>1.72</v>
      </c>
      <c r="F1007">
        <v>0.33</v>
      </c>
      <c r="G1007">
        <v>0.87</v>
      </c>
      <c r="H1007">
        <v>-1.03</v>
      </c>
      <c r="I1007">
        <v>79.45</v>
      </c>
      <c r="J1007">
        <v>5.32</v>
      </c>
      <c r="K1007">
        <v>-0.35</v>
      </c>
      <c r="L1007">
        <v>0.37</v>
      </c>
      <c r="M1007">
        <v>54.64</v>
      </c>
      <c r="O1007">
        <v>40.4</v>
      </c>
      <c r="P1007">
        <v>13.54</v>
      </c>
      <c r="Q1007">
        <v>0</v>
      </c>
      <c r="R1007">
        <v>0</v>
      </c>
    </row>
    <row r="1008" spans="1:18" x14ac:dyDescent="0.25">
      <c r="A1008">
        <v>140</v>
      </c>
      <c r="B1008">
        <v>210.84</v>
      </c>
      <c r="C1008">
        <f>ROUNDDOWN(9.58363636363636,0)</f>
        <v>9</v>
      </c>
      <c r="D1008">
        <v>2.14</v>
      </c>
      <c r="F1008">
        <v>0.15</v>
      </c>
      <c r="G1008">
        <v>0.7</v>
      </c>
      <c r="H1008">
        <v>-1.0900000000000001</v>
      </c>
      <c r="I1008">
        <v>79.63</v>
      </c>
      <c r="J1008">
        <v>5.34</v>
      </c>
      <c r="K1008">
        <v>-0.45</v>
      </c>
      <c r="L1008">
        <v>0.34</v>
      </c>
      <c r="M1008">
        <v>54.64</v>
      </c>
      <c r="O1008">
        <v>40.46</v>
      </c>
      <c r="P1008">
        <v>13.55</v>
      </c>
      <c r="Q1008">
        <v>0</v>
      </c>
      <c r="R1008">
        <v>0</v>
      </c>
    </row>
    <row r="1009" spans="1:18" x14ac:dyDescent="0.25">
      <c r="A1009">
        <v>140</v>
      </c>
      <c r="B1009">
        <v>211.04999999999998</v>
      </c>
      <c r="C1009">
        <f>ROUNDDOWN(9.59318181818182,0)</f>
        <v>9</v>
      </c>
      <c r="D1009">
        <v>2.4900000000000002</v>
      </c>
      <c r="F1009">
        <v>-0.04</v>
      </c>
      <c r="G1009">
        <v>0.52</v>
      </c>
      <c r="H1009">
        <v>-1.1499999999999999</v>
      </c>
      <c r="I1009">
        <v>79.88</v>
      </c>
      <c r="J1009">
        <v>5.37</v>
      </c>
      <c r="K1009">
        <v>-0.57999999999999996</v>
      </c>
      <c r="L1009">
        <v>0.34</v>
      </c>
      <c r="M1009">
        <v>54.64</v>
      </c>
      <c r="O1009">
        <v>40.53</v>
      </c>
      <c r="P1009">
        <v>13.57</v>
      </c>
      <c r="Q1009">
        <v>0</v>
      </c>
      <c r="R1009">
        <v>0</v>
      </c>
    </row>
    <row r="1010" spans="1:18" x14ac:dyDescent="0.25">
      <c r="A1010">
        <v>140</v>
      </c>
      <c r="B1010">
        <v>211.26</v>
      </c>
      <c r="C1010">
        <f>ROUNDDOWN(9.60272727272727,0)</f>
        <v>9</v>
      </c>
      <c r="D1010">
        <v>2.96</v>
      </c>
      <c r="F1010">
        <v>-0.14000000000000001</v>
      </c>
      <c r="G1010">
        <v>0.41</v>
      </c>
      <c r="H1010">
        <v>-1.1299999999999999</v>
      </c>
      <c r="I1010">
        <v>80.37</v>
      </c>
      <c r="J1010">
        <v>5.41</v>
      </c>
      <c r="K1010">
        <v>-0.73</v>
      </c>
      <c r="L1010">
        <v>0.52</v>
      </c>
      <c r="M1010">
        <v>54.64</v>
      </c>
      <c r="O1010">
        <v>40.6</v>
      </c>
      <c r="P1010">
        <v>13.58</v>
      </c>
      <c r="Q1010">
        <v>0</v>
      </c>
      <c r="R1010">
        <v>0</v>
      </c>
    </row>
    <row r="1011" spans="1:18" x14ac:dyDescent="0.25">
      <c r="A1011">
        <v>140</v>
      </c>
      <c r="B1011">
        <v>211.47</v>
      </c>
      <c r="C1011">
        <f>ROUNDDOWN(9.61227272727273,0)</f>
        <v>9</v>
      </c>
      <c r="D1011">
        <v>3.34</v>
      </c>
      <c r="F1011">
        <v>-0.13</v>
      </c>
      <c r="G1011">
        <v>0.41</v>
      </c>
      <c r="H1011">
        <v>-1.08</v>
      </c>
      <c r="I1011">
        <v>80.84</v>
      </c>
      <c r="J1011">
        <v>5.45</v>
      </c>
      <c r="K1011">
        <v>-0.84</v>
      </c>
      <c r="L1011">
        <v>0.71</v>
      </c>
      <c r="M1011">
        <v>54.64</v>
      </c>
      <c r="O1011">
        <v>40.67</v>
      </c>
      <c r="P1011">
        <v>13.59</v>
      </c>
      <c r="Q1011">
        <v>0</v>
      </c>
      <c r="R1011">
        <v>0</v>
      </c>
    </row>
    <row r="1012" spans="1:18" x14ac:dyDescent="0.25">
      <c r="A1012">
        <v>140</v>
      </c>
      <c r="B1012">
        <v>211.67999999999998</v>
      </c>
      <c r="C1012">
        <f>ROUNDDOWN(9.62181818181818,0)</f>
        <v>9</v>
      </c>
      <c r="D1012">
        <v>3.61</v>
      </c>
      <c r="F1012">
        <v>-0.12</v>
      </c>
      <c r="G1012">
        <v>0.42</v>
      </c>
      <c r="H1012">
        <v>-1.01</v>
      </c>
      <c r="I1012">
        <v>81.23</v>
      </c>
      <c r="J1012">
        <v>5.51</v>
      </c>
      <c r="K1012">
        <v>-0.86</v>
      </c>
      <c r="L1012">
        <v>0.87</v>
      </c>
      <c r="M1012">
        <v>54.64</v>
      </c>
      <c r="O1012">
        <v>40.74</v>
      </c>
      <c r="P1012">
        <v>13.61</v>
      </c>
      <c r="Q1012">
        <v>0</v>
      </c>
      <c r="R1012">
        <v>0</v>
      </c>
    </row>
    <row r="1013" spans="1:18" x14ac:dyDescent="0.25">
      <c r="A1013">
        <v>140</v>
      </c>
      <c r="B1013">
        <v>211.89</v>
      </c>
      <c r="C1013">
        <f>ROUNDDOWN(9.63136363636364,0)</f>
        <v>9</v>
      </c>
      <c r="D1013">
        <v>3.83</v>
      </c>
      <c r="F1013">
        <v>-0.27</v>
      </c>
      <c r="G1013">
        <v>0.25</v>
      </c>
      <c r="H1013">
        <v>-0.98</v>
      </c>
      <c r="I1013">
        <v>81.59</v>
      </c>
      <c r="J1013">
        <v>5.57</v>
      </c>
      <c r="K1013">
        <v>-0.91</v>
      </c>
      <c r="L1013">
        <v>0.95</v>
      </c>
      <c r="M1013">
        <v>54.64</v>
      </c>
      <c r="O1013">
        <v>40.81</v>
      </c>
      <c r="P1013">
        <v>13.62</v>
      </c>
      <c r="Q1013">
        <v>0</v>
      </c>
      <c r="R1013">
        <v>0</v>
      </c>
    </row>
    <row r="1014" spans="1:18" x14ac:dyDescent="0.25">
      <c r="A1014">
        <v>140</v>
      </c>
      <c r="B1014">
        <v>212.1</v>
      </c>
      <c r="C1014">
        <f>ROUNDDOWN(9.64090909090909,0)</f>
        <v>9</v>
      </c>
      <c r="D1014">
        <v>4.1500000000000004</v>
      </c>
      <c r="F1014">
        <v>-0.42</v>
      </c>
      <c r="G1014">
        <v>0.09</v>
      </c>
      <c r="H1014">
        <v>-0.99</v>
      </c>
      <c r="I1014">
        <v>82.02</v>
      </c>
      <c r="J1014">
        <v>5.63</v>
      </c>
      <c r="K1014">
        <v>-1.01</v>
      </c>
      <c r="L1014">
        <v>1.03</v>
      </c>
      <c r="M1014">
        <v>54.64</v>
      </c>
      <c r="O1014">
        <v>40.880000000000003</v>
      </c>
      <c r="P1014">
        <v>13.63</v>
      </c>
      <c r="Q1014">
        <v>0</v>
      </c>
      <c r="R1014">
        <v>0</v>
      </c>
    </row>
    <row r="1015" spans="1:18" x14ac:dyDescent="0.25">
      <c r="A1015">
        <v>140</v>
      </c>
      <c r="B1015">
        <v>212.31</v>
      </c>
      <c r="C1015">
        <f>ROUNDDOWN(9.65045454545455,0)</f>
        <v>9</v>
      </c>
      <c r="D1015">
        <v>4.47</v>
      </c>
      <c r="F1015">
        <v>-0.4</v>
      </c>
      <c r="G1015">
        <v>0.09</v>
      </c>
      <c r="H1015">
        <v>-0.96</v>
      </c>
      <c r="I1015">
        <v>82.44</v>
      </c>
      <c r="J1015">
        <v>5.68</v>
      </c>
      <c r="K1015">
        <v>-1.07</v>
      </c>
      <c r="L1015">
        <v>1.1100000000000001</v>
      </c>
      <c r="M1015">
        <v>54.64</v>
      </c>
      <c r="O1015">
        <v>40.950000000000003</v>
      </c>
      <c r="P1015">
        <v>13.64</v>
      </c>
      <c r="Q1015">
        <v>0</v>
      </c>
      <c r="R1015">
        <v>0</v>
      </c>
    </row>
    <row r="1016" spans="1:18" x14ac:dyDescent="0.25">
      <c r="A1016">
        <v>140</v>
      </c>
      <c r="B1016">
        <v>212.51999999999998</v>
      </c>
      <c r="C1016">
        <f>ROUNDDOWN(9.66,0)</f>
        <v>9</v>
      </c>
      <c r="D1016">
        <v>4.59</v>
      </c>
      <c r="F1016">
        <v>-0.31</v>
      </c>
      <c r="G1016">
        <v>0.16</v>
      </c>
      <c r="H1016">
        <v>-0.93</v>
      </c>
      <c r="I1016">
        <v>82.7</v>
      </c>
      <c r="J1016">
        <v>5.72</v>
      </c>
      <c r="K1016">
        <v>-1.03</v>
      </c>
      <c r="L1016">
        <v>1.1200000000000001</v>
      </c>
      <c r="M1016">
        <v>54.64</v>
      </c>
      <c r="O1016">
        <v>41.02</v>
      </c>
      <c r="P1016">
        <v>13.65</v>
      </c>
      <c r="Q1016">
        <v>0</v>
      </c>
      <c r="R1016">
        <v>0</v>
      </c>
    </row>
    <row r="1017" spans="1:18" x14ac:dyDescent="0.25">
      <c r="A1017">
        <v>140</v>
      </c>
      <c r="B1017">
        <v>212.73</v>
      </c>
      <c r="C1017">
        <f>ROUNDDOWN(9.66954545454545,0)</f>
        <v>9</v>
      </c>
      <c r="D1017">
        <v>4.5199999999999996</v>
      </c>
      <c r="F1017">
        <v>-0.24</v>
      </c>
      <c r="G1017">
        <v>0.22</v>
      </c>
      <c r="H1017">
        <v>-0.9</v>
      </c>
      <c r="I1017">
        <v>82.82</v>
      </c>
      <c r="J1017">
        <v>5.76</v>
      </c>
      <c r="K1017">
        <v>-0.93</v>
      </c>
      <c r="L1017">
        <v>1.05</v>
      </c>
      <c r="M1017">
        <v>54.64</v>
      </c>
      <c r="O1017">
        <v>41.09</v>
      </c>
      <c r="P1017">
        <v>13.65</v>
      </c>
      <c r="Q1017">
        <v>0</v>
      </c>
      <c r="R1017">
        <v>0</v>
      </c>
    </row>
    <row r="1018" spans="1:18" x14ac:dyDescent="0.25">
      <c r="A1018">
        <v>140</v>
      </c>
      <c r="B1018">
        <v>212.94</v>
      </c>
      <c r="C1018">
        <f>ROUNDDOWN(9.67909090909091,0)</f>
        <v>9</v>
      </c>
      <c r="D1018">
        <v>4.51</v>
      </c>
      <c r="F1018">
        <v>-0.25</v>
      </c>
      <c r="G1018">
        <v>0.19</v>
      </c>
      <c r="H1018">
        <v>-0.9</v>
      </c>
      <c r="I1018">
        <v>82.95</v>
      </c>
      <c r="J1018">
        <v>5.8</v>
      </c>
      <c r="K1018">
        <v>-0.87</v>
      </c>
      <c r="L1018">
        <v>0.95</v>
      </c>
      <c r="M1018">
        <v>54.65</v>
      </c>
      <c r="O1018">
        <v>41.15</v>
      </c>
      <c r="P1018">
        <v>13.66</v>
      </c>
      <c r="Q1018">
        <v>0</v>
      </c>
      <c r="R1018">
        <v>0</v>
      </c>
    </row>
    <row r="1019" spans="1:18" x14ac:dyDescent="0.25">
      <c r="A1019">
        <v>140</v>
      </c>
      <c r="B1019">
        <v>213.15</v>
      </c>
      <c r="C1019">
        <f>ROUNDDOWN(9.68863636363636,0)</f>
        <v>9</v>
      </c>
      <c r="D1019">
        <v>4.5999999999999996</v>
      </c>
      <c r="F1019">
        <v>-0.31</v>
      </c>
      <c r="G1019">
        <v>0.12</v>
      </c>
      <c r="H1019">
        <v>-0.85</v>
      </c>
      <c r="I1019">
        <v>83.17</v>
      </c>
      <c r="J1019">
        <v>5.85</v>
      </c>
      <c r="K1019">
        <v>-0.79</v>
      </c>
      <c r="L1019">
        <v>0.95</v>
      </c>
      <c r="M1019">
        <v>54.65</v>
      </c>
      <c r="O1019">
        <v>41.22</v>
      </c>
      <c r="P1019">
        <v>13.67</v>
      </c>
      <c r="Q1019">
        <v>0</v>
      </c>
      <c r="R1019">
        <v>0</v>
      </c>
    </row>
    <row r="1020" spans="1:18" x14ac:dyDescent="0.25">
      <c r="A1020">
        <v>140</v>
      </c>
      <c r="B1020">
        <v>213.35999999999999</v>
      </c>
      <c r="C1020">
        <f>ROUNDDOWN(9.69818181818182,0)</f>
        <v>9</v>
      </c>
      <c r="D1020">
        <v>4.5</v>
      </c>
      <c r="F1020">
        <v>-0.34</v>
      </c>
      <c r="G1020">
        <v>7.0000000000000007E-2</v>
      </c>
      <c r="H1020">
        <v>-0.79</v>
      </c>
      <c r="I1020">
        <v>83.33</v>
      </c>
      <c r="J1020">
        <v>5.9</v>
      </c>
      <c r="K1020">
        <v>-0.69</v>
      </c>
      <c r="L1020">
        <v>0.94</v>
      </c>
      <c r="M1020">
        <v>54.65</v>
      </c>
      <c r="O1020">
        <v>41.29</v>
      </c>
      <c r="P1020">
        <v>13.68</v>
      </c>
      <c r="Q1020">
        <v>0</v>
      </c>
      <c r="R1020">
        <v>0</v>
      </c>
    </row>
    <row r="1021" spans="1:18" x14ac:dyDescent="0.25">
      <c r="A1021">
        <v>140</v>
      </c>
      <c r="B1021">
        <v>213.57</v>
      </c>
      <c r="C1021">
        <f>ROUNDDOWN(9.70772727272727,0)</f>
        <v>9</v>
      </c>
      <c r="D1021">
        <v>4.1900000000000004</v>
      </c>
      <c r="F1021">
        <v>-0.36</v>
      </c>
      <c r="G1021">
        <v>0.03</v>
      </c>
      <c r="H1021">
        <v>-0.66</v>
      </c>
      <c r="I1021">
        <v>83.38</v>
      </c>
      <c r="J1021">
        <v>5.95</v>
      </c>
      <c r="K1021">
        <v>-0.47</v>
      </c>
      <c r="L1021">
        <v>0.93</v>
      </c>
      <c r="M1021">
        <v>54.65</v>
      </c>
      <c r="O1021">
        <v>41.36</v>
      </c>
      <c r="P1021">
        <v>13.69</v>
      </c>
      <c r="Q1021">
        <v>0</v>
      </c>
      <c r="R1021">
        <v>0</v>
      </c>
    </row>
    <row r="1022" spans="1:18" x14ac:dyDescent="0.25">
      <c r="A1022">
        <v>140</v>
      </c>
      <c r="B1022">
        <v>213.78</v>
      </c>
      <c r="C1022">
        <f>ROUNDDOWN(9.71727272727273,0)</f>
        <v>9</v>
      </c>
      <c r="D1022">
        <v>3.9</v>
      </c>
      <c r="F1022">
        <v>-0.46</v>
      </c>
      <c r="G1022">
        <v>-0.1</v>
      </c>
      <c r="H1022">
        <v>-0.53</v>
      </c>
      <c r="I1022">
        <v>83.35</v>
      </c>
      <c r="J1022">
        <v>5.98</v>
      </c>
      <c r="K1022">
        <v>-0.21</v>
      </c>
      <c r="L1022">
        <v>0.9</v>
      </c>
      <c r="M1022">
        <v>54.65</v>
      </c>
      <c r="O1022">
        <v>41.43</v>
      </c>
      <c r="P1022">
        <v>13.7</v>
      </c>
      <c r="Q1022">
        <v>0</v>
      </c>
      <c r="R1022">
        <v>0</v>
      </c>
    </row>
    <row r="1023" spans="1:18" x14ac:dyDescent="0.25">
      <c r="A1023">
        <v>140</v>
      </c>
      <c r="B1023">
        <v>213.98999999999998</v>
      </c>
      <c r="C1023">
        <f>ROUNDDOWN(9.72681818181818,0)</f>
        <v>9</v>
      </c>
      <c r="D1023">
        <v>3.72</v>
      </c>
      <c r="F1023">
        <v>-0.6</v>
      </c>
      <c r="G1023">
        <v>-0.27</v>
      </c>
      <c r="H1023">
        <v>-0.31</v>
      </c>
      <c r="I1023">
        <v>83.35</v>
      </c>
      <c r="J1023">
        <v>6</v>
      </c>
      <c r="K1023">
        <v>0.1</v>
      </c>
      <c r="L1023">
        <v>0.96</v>
      </c>
      <c r="M1023">
        <v>54.65</v>
      </c>
      <c r="O1023">
        <v>41.5</v>
      </c>
      <c r="P1023">
        <v>13.71</v>
      </c>
      <c r="Q1023">
        <v>0</v>
      </c>
      <c r="R1023">
        <v>0</v>
      </c>
    </row>
    <row r="1024" spans="1:18" x14ac:dyDescent="0.25">
      <c r="A1024">
        <v>140</v>
      </c>
      <c r="B1024">
        <v>214.2</v>
      </c>
      <c r="C1024">
        <f>ROUNDDOWN(9.73636363636364,0)</f>
        <v>9</v>
      </c>
      <c r="D1024">
        <v>3.43</v>
      </c>
      <c r="F1024">
        <v>-0.67</v>
      </c>
      <c r="G1024">
        <v>-0.37</v>
      </c>
      <c r="H1024">
        <v>-0.09</v>
      </c>
      <c r="I1024">
        <v>83.31</v>
      </c>
      <c r="J1024">
        <v>5.98</v>
      </c>
      <c r="K1024">
        <v>0.41</v>
      </c>
      <c r="L1024">
        <v>1</v>
      </c>
      <c r="M1024">
        <v>54.65</v>
      </c>
      <c r="O1024">
        <v>41.57</v>
      </c>
      <c r="P1024">
        <v>13.72</v>
      </c>
      <c r="Q1024">
        <v>0</v>
      </c>
      <c r="R1024">
        <v>0</v>
      </c>
    </row>
    <row r="1025" spans="1:18" x14ac:dyDescent="0.25">
      <c r="A1025">
        <v>140</v>
      </c>
      <c r="B1025">
        <v>214.41</v>
      </c>
      <c r="C1025">
        <f>ROUNDDOWN(9.74590909090909,0)</f>
        <v>9</v>
      </c>
      <c r="D1025">
        <v>2.82</v>
      </c>
      <c r="F1025">
        <v>-0.57999999999999996</v>
      </c>
      <c r="G1025">
        <v>-0.31</v>
      </c>
      <c r="H1025">
        <v>0.08</v>
      </c>
      <c r="I1025">
        <v>83.19</v>
      </c>
      <c r="J1025">
        <v>5.92</v>
      </c>
      <c r="K1025">
        <v>0.69</v>
      </c>
      <c r="L1025">
        <v>0.96</v>
      </c>
      <c r="M1025">
        <v>54.65</v>
      </c>
      <c r="O1025">
        <v>41.64</v>
      </c>
      <c r="P1025">
        <v>13.73</v>
      </c>
      <c r="Q1025">
        <v>0</v>
      </c>
      <c r="R1025">
        <v>0</v>
      </c>
    </row>
    <row r="1026" spans="1:18" x14ac:dyDescent="0.25">
      <c r="A1026">
        <v>140</v>
      </c>
      <c r="B1026">
        <v>214.62</v>
      </c>
      <c r="C1026">
        <f>ROUNDDOWN(9.75545454545455,0)</f>
        <v>9</v>
      </c>
      <c r="D1026">
        <v>2.23</v>
      </c>
      <c r="F1026">
        <v>-0.43</v>
      </c>
      <c r="G1026">
        <v>-0.19</v>
      </c>
      <c r="H1026">
        <v>0.25</v>
      </c>
      <c r="I1026">
        <v>83.07</v>
      </c>
      <c r="J1026">
        <v>5.83</v>
      </c>
      <c r="K1026">
        <v>0.95</v>
      </c>
      <c r="L1026">
        <v>0.92</v>
      </c>
      <c r="M1026">
        <v>54.65</v>
      </c>
      <c r="O1026">
        <v>41.71</v>
      </c>
      <c r="P1026">
        <v>13.74</v>
      </c>
      <c r="Q1026">
        <v>0</v>
      </c>
      <c r="R1026">
        <v>0</v>
      </c>
    </row>
    <row r="1027" spans="1:18" x14ac:dyDescent="0.25">
      <c r="A1027">
        <v>140</v>
      </c>
      <c r="B1027">
        <v>214.82999999999998</v>
      </c>
      <c r="C1027">
        <f>ROUNDDOWN(9.765,0)</f>
        <v>9</v>
      </c>
      <c r="D1027">
        <v>1.79</v>
      </c>
      <c r="F1027">
        <v>-0.34</v>
      </c>
      <c r="G1027">
        <v>-0.12</v>
      </c>
      <c r="H1027">
        <v>0.5</v>
      </c>
      <c r="I1027">
        <v>83.02</v>
      </c>
      <c r="J1027">
        <v>5.74</v>
      </c>
      <c r="K1027">
        <v>1.23</v>
      </c>
      <c r="L1027">
        <v>1</v>
      </c>
      <c r="M1027">
        <v>54.65</v>
      </c>
      <c r="O1027">
        <v>41.78</v>
      </c>
      <c r="P1027">
        <v>13.75</v>
      </c>
      <c r="Q1027">
        <v>0</v>
      </c>
      <c r="R1027">
        <v>0</v>
      </c>
    </row>
    <row r="1028" spans="1:18" x14ac:dyDescent="0.25">
      <c r="A1028">
        <v>140</v>
      </c>
      <c r="B1028">
        <v>215.04</v>
      </c>
      <c r="C1028">
        <f>ROUNDDOWN(9.77454545454545,0)</f>
        <v>9</v>
      </c>
      <c r="D1028">
        <v>1.38</v>
      </c>
      <c r="F1028">
        <v>-0.22</v>
      </c>
      <c r="G1028">
        <v>-0.03</v>
      </c>
      <c r="H1028">
        <v>0.77</v>
      </c>
      <c r="I1028">
        <v>82.97</v>
      </c>
      <c r="J1028">
        <v>5.65</v>
      </c>
      <c r="K1028">
        <v>1.52</v>
      </c>
      <c r="L1028">
        <v>1.1000000000000001</v>
      </c>
      <c r="M1028">
        <v>54.65</v>
      </c>
      <c r="O1028">
        <v>41.85</v>
      </c>
      <c r="P1028">
        <v>13.76</v>
      </c>
      <c r="Q1028">
        <v>0</v>
      </c>
      <c r="R1028">
        <v>0</v>
      </c>
    </row>
    <row r="1029" spans="1:18" x14ac:dyDescent="0.25">
      <c r="A1029">
        <v>140</v>
      </c>
      <c r="B1029">
        <v>215.25</v>
      </c>
      <c r="C1029">
        <f>ROUNDDOWN(9.78409090909091,0)</f>
        <v>9</v>
      </c>
      <c r="D1029">
        <v>0.85</v>
      </c>
      <c r="F1029">
        <v>-0.13</v>
      </c>
      <c r="G1029">
        <v>0.04</v>
      </c>
      <c r="H1029">
        <v>0.97</v>
      </c>
      <c r="I1029">
        <v>82.87</v>
      </c>
      <c r="J1029">
        <v>5.56</v>
      </c>
      <c r="K1029">
        <v>1.76</v>
      </c>
      <c r="L1029">
        <v>1.1100000000000001</v>
      </c>
      <c r="M1029">
        <v>54.65</v>
      </c>
      <c r="O1029">
        <v>41.92</v>
      </c>
      <c r="P1029">
        <v>13.78</v>
      </c>
      <c r="Q1029">
        <v>0</v>
      </c>
      <c r="R1029">
        <v>0</v>
      </c>
    </row>
    <row r="1030" spans="1:18" x14ac:dyDescent="0.25">
      <c r="A1030">
        <v>140</v>
      </c>
      <c r="B1030">
        <v>215.45999999999998</v>
      </c>
      <c r="C1030">
        <f>ROUNDDOWN(9.79363636363636,0)</f>
        <v>9</v>
      </c>
      <c r="D1030">
        <v>0.33</v>
      </c>
      <c r="F1030">
        <v>-0.06</v>
      </c>
      <c r="G1030">
        <v>0.1</v>
      </c>
      <c r="H1030">
        <v>1.1599999999999999</v>
      </c>
      <c r="I1030">
        <v>82.78</v>
      </c>
      <c r="J1030">
        <v>5.48</v>
      </c>
      <c r="K1030">
        <v>1.94</v>
      </c>
      <c r="L1030">
        <v>1.1000000000000001</v>
      </c>
      <c r="M1030">
        <v>54.65</v>
      </c>
      <c r="O1030">
        <v>41.99</v>
      </c>
      <c r="P1030">
        <v>13.8</v>
      </c>
      <c r="Q1030">
        <v>0</v>
      </c>
      <c r="R1030">
        <v>0</v>
      </c>
    </row>
    <row r="1031" spans="1:18" x14ac:dyDescent="0.25">
      <c r="A1031">
        <v>140</v>
      </c>
      <c r="B1031">
        <v>215.67</v>
      </c>
      <c r="C1031">
        <f>ROUNDDOWN(9.80318181818182,0)</f>
        <v>9</v>
      </c>
      <c r="D1031">
        <v>0.02</v>
      </c>
      <c r="F1031">
        <v>-0.04</v>
      </c>
      <c r="G1031">
        <v>0.12</v>
      </c>
      <c r="H1031">
        <v>1.35</v>
      </c>
      <c r="I1031">
        <v>82.72</v>
      </c>
      <c r="J1031">
        <v>5.39</v>
      </c>
      <c r="K1031">
        <v>2.11</v>
      </c>
      <c r="L1031">
        <v>1.1299999999999999</v>
      </c>
      <c r="M1031">
        <v>54.65</v>
      </c>
      <c r="O1031">
        <v>42.06</v>
      </c>
      <c r="P1031">
        <v>13.81</v>
      </c>
      <c r="Q1031">
        <v>0</v>
      </c>
      <c r="R1031">
        <v>0</v>
      </c>
    </row>
    <row r="1032" spans="1:18" x14ac:dyDescent="0.25">
      <c r="A1032">
        <v>140</v>
      </c>
      <c r="B1032">
        <v>215.88</v>
      </c>
      <c r="C1032">
        <f>ROUNDDOWN(9.81272727272727,0)</f>
        <v>9</v>
      </c>
      <c r="D1032">
        <v>-0.19</v>
      </c>
      <c r="F1032">
        <v>-0.06</v>
      </c>
      <c r="G1032">
        <v>0.08</v>
      </c>
      <c r="H1032">
        <v>1.48</v>
      </c>
      <c r="I1032">
        <v>82.64</v>
      </c>
      <c r="J1032">
        <v>5.31</v>
      </c>
      <c r="K1032">
        <v>2.21</v>
      </c>
      <c r="L1032">
        <v>1.08</v>
      </c>
      <c r="M1032">
        <v>54.65</v>
      </c>
      <c r="O1032">
        <v>42.13</v>
      </c>
      <c r="P1032">
        <v>13.83</v>
      </c>
      <c r="Q1032">
        <v>0</v>
      </c>
      <c r="R1032">
        <v>0</v>
      </c>
    </row>
    <row r="1033" spans="1:18" x14ac:dyDescent="0.25">
      <c r="A1033">
        <v>140</v>
      </c>
      <c r="B1033">
        <v>216.09</v>
      </c>
      <c r="C1033">
        <f>ROUNDDOWN(9.82227272727273,0)</f>
        <v>9</v>
      </c>
      <c r="D1033">
        <v>-0.41</v>
      </c>
      <c r="F1033">
        <v>-0.11</v>
      </c>
      <c r="G1033">
        <v>0.02</v>
      </c>
      <c r="H1033">
        <v>1.51</v>
      </c>
      <c r="I1033">
        <v>82.54</v>
      </c>
      <c r="J1033">
        <v>5.21</v>
      </c>
      <c r="K1033">
        <v>2.2200000000000002</v>
      </c>
      <c r="L1033">
        <v>0.94</v>
      </c>
      <c r="M1033">
        <v>54.65</v>
      </c>
      <c r="O1033">
        <v>42.2</v>
      </c>
      <c r="P1033">
        <v>13.85</v>
      </c>
      <c r="Q1033">
        <v>0</v>
      </c>
      <c r="R1033">
        <v>0</v>
      </c>
    </row>
    <row r="1034" spans="1:18" x14ac:dyDescent="0.25">
      <c r="A1034">
        <v>140</v>
      </c>
      <c r="B1034">
        <v>216.29999999999998</v>
      </c>
      <c r="C1034">
        <f>ROUNDDOWN(9.83181818181818,0)</f>
        <v>9</v>
      </c>
      <c r="D1034">
        <v>-0.67</v>
      </c>
      <c r="F1034">
        <v>-0.18</v>
      </c>
      <c r="G1034">
        <v>-7.0000000000000007E-2</v>
      </c>
      <c r="H1034">
        <v>1.42</v>
      </c>
      <c r="I1034">
        <v>82.5</v>
      </c>
      <c r="J1034">
        <v>5.12</v>
      </c>
      <c r="K1034">
        <v>2.0699999999999998</v>
      </c>
      <c r="L1034">
        <v>0.71</v>
      </c>
      <c r="M1034">
        <v>54.65</v>
      </c>
      <c r="O1034">
        <v>42.27</v>
      </c>
      <c r="P1034">
        <v>13.87</v>
      </c>
      <c r="Q1034">
        <v>0</v>
      </c>
      <c r="R1034">
        <v>0</v>
      </c>
    </row>
    <row r="1035" spans="1:18" x14ac:dyDescent="0.25">
      <c r="A1035">
        <v>140</v>
      </c>
      <c r="B1035">
        <v>216.51</v>
      </c>
      <c r="C1035">
        <f>ROUNDDOWN(9.84136363636364,0)</f>
        <v>9</v>
      </c>
      <c r="D1035">
        <v>-0.79</v>
      </c>
      <c r="F1035">
        <v>-0.2</v>
      </c>
      <c r="G1035">
        <v>-0.1</v>
      </c>
      <c r="H1035">
        <v>1.33</v>
      </c>
      <c r="I1035">
        <v>82.54</v>
      </c>
      <c r="J1035">
        <v>5.04</v>
      </c>
      <c r="K1035">
        <v>1.87</v>
      </c>
      <c r="L1035">
        <v>0.53</v>
      </c>
      <c r="M1035">
        <v>54.65</v>
      </c>
      <c r="O1035">
        <v>42.34</v>
      </c>
      <c r="P1035">
        <v>13.89</v>
      </c>
      <c r="Q1035">
        <v>0</v>
      </c>
      <c r="R1035">
        <v>0</v>
      </c>
    </row>
    <row r="1036" spans="1:18" x14ac:dyDescent="0.25">
      <c r="A1036">
        <v>140</v>
      </c>
      <c r="B1036">
        <v>216.72</v>
      </c>
      <c r="C1036">
        <f>ROUNDDOWN(9.85090909090909,0)</f>
        <v>9</v>
      </c>
      <c r="D1036">
        <v>-0.83</v>
      </c>
      <c r="F1036">
        <v>-0.18</v>
      </c>
      <c r="G1036">
        <v>-0.1</v>
      </c>
      <c r="H1036">
        <v>1.2</v>
      </c>
      <c r="I1036">
        <v>82.54</v>
      </c>
      <c r="J1036">
        <v>4.99</v>
      </c>
      <c r="K1036">
        <v>1.68</v>
      </c>
      <c r="L1036">
        <v>0.31</v>
      </c>
      <c r="M1036">
        <v>54.65</v>
      </c>
      <c r="O1036">
        <v>42.41</v>
      </c>
      <c r="P1036">
        <v>13.91</v>
      </c>
      <c r="Q1036">
        <v>0</v>
      </c>
      <c r="R1036">
        <v>0</v>
      </c>
    </row>
    <row r="1037" spans="1:18" x14ac:dyDescent="0.25">
      <c r="A1037">
        <v>140</v>
      </c>
      <c r="B1037">
        <v>216.92999999999998</v>
      </c>
      <c r="C1037">
        <f>ROUNDDOWN(9.86045454545454,0)</f>
        <v>9</v>
      </c>
      <c r="D1037">
        <v>-0.89</v>
      </c>
      <c r="F1037">
        <v>-0.14000000000000001</v>
      </c>
      <c r="G1037">
        <v>-7.0000000000000007E-2</v>
      </c>
      <c r="H1037">
        <v>1.01</v>
      </c>
      <c r="I1037">
        <v>82.46</v>
      </c>
      <c r="J1037">
        <v>4.96</v>
      </c>
      <c r="K1037">
        <v>1.46</v>
      </c>
      <c r="L1037">
        <v>-0.01</v>
      </c>
      <c r="M1037">
        <v>54.65</v>
      </c>
      <c r="O1037">
        <v>42.48</v>
      </c>
      <c r="P1037">
        <v>13.93</v>
      </c>
      <c r="Q1037">
        <v>0</v>
      </c>
      <c r="R1037">
        <v>0</v>
      </c>
    </row>
    <row r="1038" spans="1:18" x14ac:dyDescent="0.25">
      <c r="A1038">
        <v>140</v>
      </c>
      <c r="B1038">
        <v>217.14</v>
      </c>
      <c r="C1038">
        <f>ROUNDDOWN(9.87,0)</f>
        <v>9</v>
      </c>
      <c r="D1038">
        <v>-0.98</v>
      </c>
      <c r="F1038">
        <v>-0.1</v>
      </c>
      <c r="G1038">
        <v>-0.05</v>
      </c>
      <c r="H1038">
        <v>0.8</v>
      </c>
      <c r="I1038">
        <v>82.37</v>
      </c>
      <c r="J1038">
        <v>4.97</v>
      </c>
      <c r="K1038">
        <v>1.23</v>
      </c>
      <c r="L1038">
        <v>-0.33</v>
      </c>
      <c r="M1038">
        <v>54.65</v>
      </c>
      <c r="O1038">
        <v>42.55</v>
      </c>
      <c r="P1038">
        <v>13.95</v>
      </c>
      <c r="Q1038">
        <v>0</v>
      </c>
      <c r="R1038">
        <v>0</v>
      </c>
    </row>
    <row r="1039" spans="1:18" x14ac:dyDescent="0.25">
      <c r="A1039">
        <v>140</v>
      </c>
      <c r="B1039">
        <v>217.35</v>
      </c>
      <c r="C1039">
        <f>ROUNDDOWN(9.87954545454545,0)</f>
        <v>9</v>
      </c>
      <c r="D1039">
        <v>-0.96</v>
      </c>
      <c r="F1039">
        <v>-0.05</v>
      </c>
      <c r="G1039">
        <v>-0.01</v>
      </c>
      <c r="H1039">
        <v>0.64</v>
      </c>
      <c r="I1039">
        <v>82.35</v>
      </c>
      <c r="J1039">
        <v>5.01</v>
      </c>
      <c r="K1039">
        <v>1.02</v>
      </c>
      <c r="L1039">
        <v>-0.55000000000000004</v>
      </c>
      <c r="M1039">
        <v>54.65</v>
      </c>
      <c r="O1039">
        <v>42.62</v>
      </c>
      <c r="P1039">
        <v>13.97</v>
      </c>
      <c r="Q1039">
        <v>0</v>
      </c>
      <c r="R1039">
        <v>0</v>
      </c>
    </row>
    <row r="1040" spans="1:18" x14ac:dyDescent="0.25">
      <c r="A1040">
        <v>140</v>
      </c>
      <c r="B1040">
        <v>217.56</v>
      </c>
      <c r="C1040">
        <f>ROUNDDOWN(9.88909090909091,0)</f>
        <v>9</v>
      </c>
      <c r="D1040">
        <v>-0.89</v>
      </c>
      <c r="F1040">
        <v>0.01</v>
      </c>
      <c r="G1040">
        <v>0.04</v>
      </c>
      <c r="H1040">
        <v>0.46</v>
      </c>
      <c r="I1040">
        <v>82.3</v>
      </c>
      <c r="J1040">
        <v>5.09</v>
      </c>
      <c r="K1040">
        <v>0.82</v>
      </c>
      <c r="L1040">
        <v>-0.79</v>
      </c>
      <c r="M1040">
        <v>54.66</v>
      </c>
      <c r="O1040">
        <v>42.69</v>
      </c>
      <c r="P1040">
        <v>14</v>
      </c>
      <c r="Q1040">
        <v>0</v>
      </c>
      <c r="R1040">
        <v>0</v>
      </c>
    </row>
    <row r="1041" spans="1:18" x14ac:dyDescent="0.25">
      <c r="A1041">
        <v>140</v>
      </c>
      <c r="B1041">
        <v>217.76999999999998</v>
      </c>
      <c r="C1041">
        <f>ROUNDDOWN(9.89863636363636,0)</f>
        <v>9</v>
      </c>
      <c r="D1041">
        <v>-0.91</v>
      </c>
      <c r="F1041">
        <v>0.05</v>
      </c>
      <c r="G1041">
        <v>7.0000000000000007E-2</v>
      </c>
      <c r="H1041">
        <v>0.26</v>
      </c>
      <c r="I1041">
        <v>82.16</v>
      </c>
      <c r="J1041">
        <v>5.19</v>
      </c>
      <c r="K1041">
        <v>0.64</v>
      </c>
      <c r="L1041">
        <v>-1.07</v>
      </c>
      <c r="M1041">
        <v>54.66</v>
      </c>
      <c r="O1041">
        <v>42.76</v>
      </c>
      <c r="P1041">
        <v>14.02</v>
      </c>
      <c r="Q1041">
        <v>0</v>
      </c>
      <c r="R1041">
        <v>0</v>
      </c>
    </row>
    <row r="1042" spans="1:18" x14ac:dyDescent="0.25">
      <c r="A1042">
        <v>140</v>
      </c>
      <c r="B1042">
        <v>217.98</v>
      </c>
      <c r="C1042">
        <f>ROUNDDOWN(9.90818181818182,0)</f>
        <v>9</v>
      </c>
      <c r="D1042">
        <v>-0.99</v>
      </c>
      <c r="F1042">
        <v>0.09</v>
      </c>
      <c r="G1042">
        <v>0.1</v>
      </c>
      <c r="H1042">
        <v>0.1</v>
      </c>
      <c r="I1042">
        <v>82.03</v>
      </c>
      <c r="J1042">
        <v>5.31</v>
      </c>
      <c r="K1042">
        <v>0.5</v>
      </c>
      <c r="L1042">
        <v>-1.3</v>
      </c>
      <c r="M1042">
        <v>54.66</v>
      </c>
      <c r="O1042">
        <v>42.83</v>
      </c>
      <c r="P1042">
        <v>14.04</v>
      </c>
      <c r="Q1042">
        <v>0</v>
      </c>
      <c r="R1042">
        <v>0</v>
      </c>
    </row>
    <row r="1043" spans="1:18" x14ac:dyDescent="0.25">
      <c r="A1043">
        <v>140</v>
      </c>
      <c r="B1043">
        <v>218.19</v>
      </c>
      <c r="C1043">
        <f>ROUNDDOWN(9.91772727272727,0)</f>
        <v>9</v>
      </c>
      <c r="D1043">
        <v>-0.97</v>
      </c>
      <c r="F1043">
        <v>0.11</v>
      </c>
      <c r="G1043">
        <v>0.12</v>
      </c>
      <c r="H1043">
        <v>-7.0000000000000007E-2</v>
      </c>
      <c r="I1043">
        <v>82</v>
      </c>
      <c r="J1043">
        <v>5.44</v>
      </c>
      <c r="K1043">
        <v>0.31</v>
      </c>
      <c r="L1043">
        <v>-1.47</v>
      </c>
      <c r="M1043">
        <v>54.66</v>
      </c>
      <c r="O1043">
        <v>42.91</v>
      </c>
      <c r="P1043">
        <v>14.06</v>
      </c>
      <c r="Q1043">
        <v>0</v>
      </c>
      <c r="R1043">
        <v>0</v>
      </c>
    </row>
    <row r="1044" spans="1:18" x14ac:dyDescent="0.25">
      <c r="A1044">
        <v>140</v>
      </c>
      <c r="B1044">
        <v>218.4</v>
      </c>
      <c r="C1044">
        <f>ROUNDDOWN(9.92727272727273,0)</f>
        <v>9</v>
      </c>
      <c r="D1044">
        <v>-0.81</v>
      </c>
      <c r="F1044">
        <v>0.11</v>
      </c>
      <c r="G1044">
        <v>0.12</v>
      </c>
      <c r="H1044">
        <v>-0.24</v>
      </c>
      <c r="I1044">
        <v>82.06</v>
      </c>
      <c r="J1044">
        <v>5.58</v>
      </c>
      <c r="K1044">
        <v>0.08</v>
      </c>
      <c r="L1044">
        <v>-1.58</v>
      </c>
      <c r="M1044">
        <v>54.66</v>
      </c>
      <c r="O1044">
        <v>42.98</v>
      </c>
      <c r="P1044">
        <v>14.08</v>
      </c>
      <c r="Q1044">
        <v>0</v>
      </c>
      <c r="R1044">
        <v>0</v>
      </c>
    </row>
    <row r="1045" spans="1:18" x14ac:dyDescent="0.25">
      <c r="A1045">
        <v>140</v>
      </c>
      <c r="B1045">
        <v>218.60999999999999</v>
      </c>
      <c r="C1045">
        <f>ROUNDDOWN(9.93681818181818,0)</f>
        <v>9</v>
      </c>
      <c r="D1045">
        <v>-0.64</v>
      </c>
      <c r="F1045">
        <v>0.06</v>
      </c>
      <c r="G1045">
        <v>7.0000000000000007E-2</v>
      </c>
      <c r="H1045">
        <v>-0.41</v>
      </c>
      <c r="I1045">
        <v>82.13</v>
      </c>
      <c r="J1045">
        <v>5.71</v>
      </c>
      <c r="K1045">
        <v>-0.15</v>
      </c>
      <c r="L1045">
        <v>-1.69</v>
      </c>
      <c r="M1045">
        <v>54.66</v>
      </c>
      <c r="O1045">
        <v>43.05</v>
      </c>
      <c r="P1045">
        <v>14.1</v>
      </c>
      <c r="Q1045">
        <v>0</v>
      </c>
      <c r="R1045">
        <v>0</v>
      </c>
    </row>
    <row r="1046" spans="1:18" x14ac:dyDescent="0.25">
      <c r="A1046">
        <v>140</v>
      </c>
      <c r="B1046">
        <v>218.82</v>
      </c>
      <c r="C1046">
        <f>ROUNDDOWN(9.94636363636364,0)</f>
        <v>9</v>
      </c>
      <c r="D1046">
        <v>-0.56999999999999995</v>
      </c>
      <c r="F1046">
        <v>0</v>
      </c>
      <c r="G1046">
        <v>0</v>
      </c>
      <c r="H1046">
        <v>-0.54</v>
      </c>
      <c r="I1046">
        <v>82.15</v>
      </c>
      <c r="J1046">
        <v>5.84</v>
      </c>
      <c r="K1046">
        <v>-0.3</v>
      </c>
      <c r="L1046">
        <v>-1.77</v>
      </c>
      <c r="M1046">
        <v>54.66</v>
      </c>
      <c r="O1046">
        <v>43.12</v>
      </c>
      <c r="P1046">
        <v>14.12</v>
      </c>
      <c r="Q1046">
        <v>0</v>
      </c>
      <c r="R1046">
        <v>0</v>
      </c>
    </row>
    <row r="1047" spans="1:18" x14ac:dyDescent="0.25">
      <c r="A1047">
        <v>140</v>
      </c>
      <c r="B1047">
        <v>219.03</v>
      </c>
      <c r="C1047">
        <f>ROUNDDOWN(9.95590909090909,0)</f>
        <v>9</v>
      </c>
      <c r="D1047">
        <v>-0.48</v>
      </c>
      <c r="F1047">
        <v>-0.05</v>
      </c>
      <c r="G1047">
        <v>-7.0000000000000007E-2</v>
      </c>
      <c r="H1047">
        <v>-0.64</v>
      </c>
      <c r="I1047">
        <v>82.16</v>
      </c>
      <c r="J1047">
        <v>5.96</v>
      </c>
      <c r="K1047">
        <v>-0.42</v>
      </c>
      <c r="L1047">
        <v>-1.82</v>
      </c>
      <c r="M1047">
        <v>54.66</v>
      </c>
      <c r="O1047">
        <v>43.19</v>
      </c>
      <c r="P1047">
        <v>14.14</v>
      </c>
      <c r="Q1047">
        <v>0</v>
      </c>
      <c r="R1047">
        <v>0</v>
      </c>
    </row>
    <row r="1048" spans="1:18" x14ac:dyDescent="0.25">
      <c r="A1048">
        <v>140</v>
      </c>
      <c r="B1048">
        <v>219.23999999999998</v>
      </c>
      <c r="C1048">
        <f>ROUNDDOWN(9.96545454545454,0)</f>
        <v>9</v>
      </c>
      <c r="D1048">
        <v>-0.28000000000000003</v>
      </c>
      <c r="F1048">
        <v>-0.12</v>
      </c>
      <c r="G1048">
        <v>-0.15</v>
      </c>
      <c r="H1048">
        <v>-0.77</v>
      </c>
      <c r="I1048">
        <v>82.25</v>
      </c>
      <c r="J1048">
        <v>6.07</v>
      </c>
      <c r="K1048">
        <v>-0.59</v>
      </c>
      <c r="L1048">
        <v>-1.86</v>
      </c>
      <c r="M1048">
        <v>54.66</v>
      </c>
      <c r="O1048">
        <v>43.26</v>
      </c>
      <c r="P1048">
        <v>14.16</v>
      </c>
      <c r="Q1048">
        <v>0</v>
      </c>
      <c r="R1048">
        <v>0</v>
      </c>
    </row>
    <row r="1049" spans="1:18" x14ac:dyDescent="0.25">
      <c r="A1049">
        <v>140</v>
      </c>
      <c r="B1049">
        <v>219.45</v>
      </c>
      <c r="C1049">
        <f>ROUNDDOWN(9.975,0)</f>
        <v>9</v>
      </c>
      <c r="D1049">
        <v>-0.06</v>
      </c>
      <c r="F1049">
        <v>-0.17</v>
      </c>
      <c r="G1049">
        <v>-0.21</v>
      </c>
      <c r="H1049">
        <v>-0.91</v>
      </c>
      <c r="I1049">
        <v>82.44</v>
      </c>
      <c r="J1049">
        <v>6.16</v>
      </c>
      <c r="K1049">
        <v>-0.81</v>
      </c>
      <c r="L1049">
        <v>-1.85</v>
      </c>
      <c r="M1049">
        <v>54.66</v>
      </c>
      <c r="O1049">
        <v>43.33</v>
      </c>
      <c r="P1049">
        <v>14.17</v>
      </c>
      <c r="Q1049">
        <v>0</v>
      </c>
      <c r="R1049">
        <v>0</v>
      </c>
    </row>
    <row r="1050" spans="1:18" x14ac:dyDescent="0.25">
      <c r="A1050">
        <v>140</v>
      </c>
      <c r="B1050">
        <v>219.66</v>
      </c>
      <c r="C1050">
        <f>ROUNDDOWN(9.98454545454545,0)</f>
        <v>9</v>
      </c>
      <c r="D1050">
        <v>7.0000000000000007E-2</v>
      </c>
      <c r="F1050">
        <v>-0.16</v>
      </c>
      <c r="G1050">
        <v>-0.22</v>
      </c>
      <c r="H1050">
        <v>-1.01</v>
      </c>
      <c r="I1050">
        <v>82.62</v>
      </c>
      <c r="J1050">
        <v>6.24</v>
      </c>
      <c r="K1050">
        <v>-0.97</v>
      </c>
      <c r="L1050">
        <v>-1.82</v>
      </c>
      <c r="M1050">
        <v>54.66</v>
      </c>
      <c r="O1050">
        <v>43.4</v>
      </c>
      <c r="P1050">
        <v>14.19</v>
      </c>
      <c r="Q1050">
        <v>0</v>
      </c>
      <c r="R1050">
        <v>0</v>
      </c>
    </row>
    <row r="1051" spans="1:18" x14ac:dyDescent="0.25">
      <c r="A1051">
        <v>140</v>
      </c>
      <c r="B1051">
        <v>219.87</v>
      </c>
      <c r="C1051">
        <f>ROUNDDOWN(9.99409090909091,0)</f>
        <v>9</v>
      </c>
      <c r="D1051">
        <v>0.2</v>
      </c>
      <c r="F1051">
        <v>-0.16</v>
      </c>
      <c r="G1051">
        <v>-0.23</v>
      </c>
      <c r="H1051">
        <v>-1.05</v>
      </c>
      <c r="I1051">
        <v>82.74</v>
      </c>
      <c r="J1051">
        <v>6.31</v>
      </c>
      <c r="K1051">
        <v>-1.05</v>
      </c>
      <c r="L1051">
        <v>-1.75</v>
      </c>
      <c r="M1051">
        <v>54.66</v>
      </c>
      <c r="O1051">
        <v>43.48</v>
      </c>
      <c r="P1051">
        <v>14.2</v>
      </c>
      <c r="Q1051">
        <v>0</v>
      </c>
      <c r="R1051">
        <v>0</v>
      </c>
    </row>
    <row r="1052" spans="1:18" x14ac:dyDescent="0.25">
      <c r="A1052">
        <v>140</v>
      </c>
      <c r="B1052">
        <v>220.07999999999998</v>
      </c>
      <c r="C1052">
        <f>ROUNDDOWN(10.0036363636364,0)</f>
        <v>10</v>
      </c>
      <c r="D1052">
        <v>0.4</v>
      </c>
      <c r="F1052">
        <v>-0.22</v>
      </c>
      <c r="G1052">
        <v>-0.31</v>
      </c>
      <c r="H1052">
        <v>-1.1000000000000001</v>
      </c>
      <c r="I1052">
        <v>82.86</v>
      </c>
      <c r="J1052">
        <v>6.36</v>
      </c>
      <c r="K1052">
        <v>-1.1100000000000001</v>
      </c>
      <c r="L1052">
        <v>-1.7</v>
      </c>
      <c r="M1052">
        <v>54.66</v>
      </c>
      <c r="O1052">
        <v>43.55</v>
      </c>
      <c r="P1052">
        <v>14.21</v>
      </c>
      <c r="Q1052">
        <v>0</v>
      </c>
      <c r="R1052">
        <v>0</v>
      </c>
    </row>
    <row r="1053" spans="1:18" x14ac:dyDescent="0.25">
      <c r="A1053">
        <v>140</v>
      </c>
      <c r="B1053">
        <v>220.29</v>
      </c>
      <c r="C1053">
        <f>ROUNDDOWN(10.0131818181818,0)</f>
        <v>10</v>
      </c>
      <c r="D1053">
        <v>0.63</v>
      </c>
      <c r="F1053">
        <v>-0.3</v>
      </c>
      <c r="G1053">
        <v>-0.41</v>
      </c>
      <c r="H1053">
        <v>-1.1499999999999999</v>
      </c>
      <c r="I1053">
        <v>83</v>
      </c>
      <c r="J1053">
        <v>6.41</v>
      </c>
      <c r="K1053">
        <v>-1.19</v>
      </c>
      <c r="L1053">
        <v>-1.65</v>
      </c>
      <c r="M1053">
        <v>54.66</v>
      </c>
      <c r="O1053">
        <v>43.62</v>
      </c>
      <c r="P1053">
        <v>14.22</v>
      </c>
      <c r="Q1053">
        <v>0</v>
      </c>
      <c r="R1053">
        <v>0</v>
      </c>
    </row>
    <row r="1054" spans="1:18" x14ac:dyDescent="0.25">
      <c r="A1054">
        <v>140</v>
      </c>
      <c r="B1054">
        <v>220.5</v>
      </c>
      <c r="C1054">
        <f>ROUNDDOWN(10.0227272727273,0)</f>
        <v>10</v>
      </c>
      <c r="D1054">
        <v>0.78</v>
      </c>
      <c r="F1054">
        <v>-0.34</v>
      </c>
      <c r="G1054">
        <v>-0.47</v>
      </c>
      <c r="H1054">
        <v>-1.19</v>
      </c>
      <c r="I1054">
        <v>83.13</v>
      </c>
      <c r="J1054">
        <v>6.44</v>
      </c>
      <c r="K1054">
        <v>-1.24</v>
      </c>
      <c r="L1054">
        <v>-1.58</v>
      </c>
      <c r="M1054">
        <v>54.66</v>
      </c>
      <c r="O1054">
        <v>43.69</v>
      </c>
      <c r="P1054">
        <v>14.23</v>
      </c>
      <c r="Q1054">
        <v>0</v>
      </c>
      <c r="R1054">
        <v>0</v>
      </c>
    </row>
    <row r="1055" spans="1:18" x14ac:dyDescent="0.25">
      <c r="A1055">
        <v>140</v>
      </c>
      <c r="B1055">
        <v>220.70999999999998</v>
      </c>
      <c r="C1055">
        <f>ROUNDDOWN(10.0322727272727,0)</f>
        <v>10</v>
      </c>
      <c r="D1055">
        <v>0.91</v>
      </c>
      <c r="F1055">
        <v>-0.36</v>
      </c>
      <c r="G1055">
        <v>-0.52</v>
      </c>
      <c r="H1055">
        <v>-1.31</v>
      </c>
      <c r="I1055">
        <v>83.21</v>
      </c>
      <c r="J1055">
        <v>6.46</v>
      </c>
      <c r="K1055">
        <v>-1.35</v>
      </c>
      <c r="L1055">
        <v>-1.62</v>
      </c>
      <c r="M1055">
        <v>54.66</v>
      </c>
      <c r="O1055">
        <v>43.76</v>
      </c>
      <c r="P1055">
        <v>14.23</v>
      </c>
      <c r="Q1055">
        <v>0</v>
      </c>
      <c r="R1055">
        <v>0</v>
      </c>
    </row>
    <row r="1056" spans="1:18" x14ac:dyDescent="0.25">
      <c r="A1056">
        <v>140</v>
      </c>
      <c r="B1056">
        <v>220.92</v>
      </c>
      <c r="C1056">
        <f>ROUNDDOWN(10.0418181818182,0)</f>
        <v>10</v>
      </c>
      <c r="D1056">
        <v>1.1399999999999999</v>
      </c>
      <c r="F1056">
        <v>-0.41</v>
      </c>
      <c r="G1056">
        <v>-0.6</v>
      </c>
      <c r="H1056">
        <v>-1.45</v>
      </c>
      <c r="I1056">
        <v>83.31</v>
      </c>
      <c r="J1056">
        <v>6.47</v>
      </c>
      <c r="K1056">
        <v>-1.47</v>
      </c>
      <c r="L1056">
        <v>-1.67</v>
      </c>
      <c r="M1056">
        <v>54.66</v>
      </c>
      <c r="O1056">
        <v>43.83</v>
      </c>
      <c r="P1056">
        <v>14.23</v>
      </c>
      <c r="Q1056">
        <v>0</v>
      </c>
      <c r="R1056">
        <v>0</v>
      </c>
    </row>
    <row r="1057" spans="1:18" x14ac:dyDescent="0.25">
      <c r="A1057">
        <v>140</v>
      </c>
      <c r="B1057">
        <v>221.13</v>
      </c>
      <c r="C1057">
        <f>ROUNDDOWN(10.0513636363636,0)</f>
        <v>10</v>
      </c>
      <c r="D1057">
        <v>1.42</v>
      </c>
      <c r="F1057">
        <v>-0.49</v>
      </c>
      <c r="G1057">
        <v>-0.71</v>
      </c>
      <c r="H1057">
        <v>-1.52</v>
      </c>
      <c r="I1057">
        <v>83.45</v>
      </c>
      <c r="J1057">
        <v>6.46</v>
      </c>
      <c r="K1057">
        <v>-1.53</v>
      </c>
      <c r="L1057">
        <v>-1.62</v>
      </c>
      <c r="M1057">
        <v>54.66</v>
      </c>
      <c r="O1057">
        <v>43.91</v>
      </c>
      <c r="P1057">
        <v>14.22</v>
      </c>
      <c r="Q1057">
        <v>0</v>
      </c>
      <c r="R1057">
        <v>0</v>
      </c>
    </row>
    <row r="1058" spans="1:18" x14ac:dyDescent="0.25">
      <c r="A1058">
        <v>140</v>
      </c>
      <c r="B1058">
        <v>221.34</v>
      </c>
      <c r="C1058">
        <f>ROUNDDOWN(10.0609090909091,0)</f>
        <v>10</v>
      </c>
      <c r="D1058">
        <v>1.63</v>
      </c>
      <c r="F1058">
        <v>-0.55000000000000004</v>
      </c>
      <c r="G1058">
        <v>-0.81</v>
      </c>
      <c r="H1058">
        <v>-1.49</v>
      </c>
      <c r="I1058">
        <v>83.63</v>
      </c>
      <c r="J1058">
        <v>6.45</v>
      </c>
      <c r="K1058">
        <v>-1.52</v>
      </c>
      <c r="L1058">
        <v>-1.47</v>
      </c>
      <c r="M1058">
        <v>54.66</v>
      </c>
      <c r="O1058">
        <v>43.98</v>
      </c>
      <c r="P1058">
        <v>14.22</v>
      </c>
      <c r="Q1058">
        <v>0</v>
      </c>
      <c r="R1058">
        <v>0</v>
      </c>
    </row>
    <row r="1059" spans="1:18" x14ac:dyDescent="0.25">
      <c r="A1059">
        <v>140</v>
      </c>
      <c r="B1059">
        <v>221.54999999999998</v>
      </c>
      <c r="C1059">
        <f>ROUNDDOWN(10.0704545454545,0)</f>
        <v>10</v>
      </c>
      <c r="D1059">
        <v>1.7</v>
      </c>
      <c r="F1059">
        <v>-0.61</v>
      </c>
      <c r="G1059">
        <v>-0.9</v>
      </c>
      <c r="H1059">
        <v>-1.51</v>
      </c>
      <c r="I1059">
        <v>83.76</v>
      </c>
      <c r="J1059">
        <v>6.43</v>
      </c>
      <c r="K1059">
        <v>-1.53</v>
      </c>
      <c r="L1059">
        <v>-1.39</v>
      </c>
      <c r="M1059">
        <v>54.66</v>
      </c>
      <c r="O1059">
        <v>44.05</v>
      </c>
      <c r="P1059">
        <v>14.21</v>
      </c>
      <c r="Q1059">
        <v>0</v>
      </c>
      <c r="R1059">
        <v>0</v>
      </c>
    </row>
    <row r="1060" spans="1:18" x14ac:dyDescent="0.25">
      <c r="A1060">
        <v>140</v>
      </c>
      <c r="B1060">
        <v>221.76</v>
      </c>
      <c r="C1060">
        <f>ROUNDDOWN(10.08,0)</f>
        <v>10</v>
      </c>
      <c r="D1060">
        <v>1.74</v>
      </c>
      <c r="F1060">
        <v>-0.67</v>
      </c>
      <c r="G1060">
        <v>-1.01</v>
      </c>
      <c r="H1060">
        <v>-1.56</v>
      </c>
      <c r="I1060">
        <v>83.87</v>
      </c>
      <c r="J1060">
        <v>6.4</v>
      </c>
      <c r="K1060">
        <v>-1.54</v>
      </c>
      <c r="L1060">
        <v>-1.36</v>
      </c>
      <c r="M1060">
        <v>54.66</v>
      </c>
      <c r="O1060">
        <v>44.12</v>
      </c>
      <c r="P1060">
        <v>14.2</v>
      </c>
      <c r="Q1060">
        <v>0</v>
      </c>
      <c r="R1060">
        <v>0</v>
      </c>
    </row>
    <row r="1061" spans="1:18" x14ac:dyDescent="0.25">
      <c r="A1061">
        <v>140</v>
      </c>
      <c r="B1061">
        <v>221.97</v>
      </c>
      <c r="C1061">
        <f>ROUNDDOWN(10.0895454545455,0)</f>
        <v>10</v>
      </c>
      <c r="D1061">
        <v>1.81</v>
      </c>
      <c r="F1061">
        <v>-0.79</v>
      </c>
      <c r="G1061">
        <v>-1.17</v>
      </c>
      <c r="H1061">
        <v>-1.53</v>
      </c>
      <c r="I1061">
        <v>83.96</v>
      </c>
      <c r="J1061">
        <v>6.37</v>
      </c>
      <c r="K1061">
        <v>-1.47</v>
      </c>
      <c r="L1061">
        <v>-1.25</v>
      </c>
      <c r="M1061">
        <v>54.66</v>
      </c>
      <c r="O1061">
        <v>44.19</v>
      </c>
      <c r="P1061">
        <v>14.2</v>
      </c>
      <c r="Q1061">
        <v>0</v>
      </c>
      <c r="R1061">
        <v>0</v>
      </c>
    </row>
    <row r="1062" spans="1:18" x14ac:dyDescent="0.25">
      <c r="A1062">
        <v>140</v>
      </c>
      <c r="B1062">
        <v>222.17999999999998</v>
      </c>
      <c r="C1062">
        <f>ROUNDDOWN(10.0990909090909,0)</f>
        <v>10</v>
      </c>
      <c r="D1062">
        <v>1.86</v>
      </c>
      <c r="F1062">
        <v>-0.87</v>
      </c>
      <c r="G1062">
        <v>-1.3</v>
      </c>
      <c r="H1062">
        <v>-1.41</v>
      </c>
      <c r="I1062">
        <v>84.03</v>
      </c>
      <c r="J1062">
        <v>6.32</v>
      </c>
      <c r="K1062">
        <v>-1.3</v>
      </c>
      <c r="L1062">
        <v>-1.08</v>
      </c>
      <c r="M1062">
        <v>54.67</v>
      </c>
      <c r="O1062">
        <v>44.26</v>
      </c>
      <c r="P1062">
        <v>14.19</v>
      </c>
      <c r="Q1062">
        <v>0</v>
      </c>
      <c r="R1062">
        <v>0</v>
      </c>
    </row>
    <row r="1063" spans="1:18" x14ac:dyDescent="0.25">
      <c r="R1063">
        <v>0</v>
      </c>
    </row>
    <row r="1064" spans="1:18" x14ac:dyDescent="0.25">
      <c r="R1064">
        <v>0</v>
      </c>
    </row>
    <row r="1065" spans="1:18" x14ac:dyDescent="0.25">
      <c r="R1065">
        <v>0</v>
      </c>
    </row>
    <row r="1066" spans="1:18" x14ac:dyDescent="0.25">
      <c r="R1066">
        <v>0</v>
      </c>
    </row>
    <row r="1067" spans="1:18" x14ac:dyDescent="0.25">
      <c r="R1067">
        <v>0</v>
      </c>
    </row>
    <row r="1068" spans="1:18" x14ac:dyDescent="0.25">
      <c r="R1068">
        <v>0</v>
      </c>
    </row>
    <row r="1069" spans="1:18" x14ac:dyDescent="0.25">
      <c r="R1069">
        <v>0</v>
      </c>
    </row>
    <row r="1070" spans="1:18" x14ac:dyDescent="0.25">
      <c r="R1070">
        <v>0</v>
      </c>
    </row>
    <row r="1071" spans="1:18" x14ac:dyDescent="0.25">
      <c r="R1071">
        <v>0</v>
      </c>
    </row>
    <row r="1072" spans="1:18" x14ac:dyDescent="0.25">
      <c r="R1072">
        <v>0</v>
      </c>
    </row>
    <row r="1073" spans="18:18" x14ac:dyDescent="0.25">
      <c r="R1073">
        <v>0</v>
      </c>
    </row>
    <row r="1074" spans="18:18" x14ac:dyDescent="0.25">
      <c r="R1074">
        <v>0</v>
      </c>
    </row>
    <row r="1075" spans="18:18" x14ac:dyDescent="0.25">
      <c r="R1075">
        <v>0</v>
      </c>
    </row>
    <row r="1076" spans="18:18" x14ac:dyDescent="0.25">
      <c r="R1076">
        <v>0</v>
      </c>
    </row>
    <row r="1077" spans="18:18" x14ac:dyDescent="0.25">
      <c r="R1077">
        <v>0</v>
      </c>
    </row>
    <row r="1078" spans="18:18" x14ac:dyDescent="0.25">
      <c r="R1078">
        <v>0</v>
      </c>
    </row>
    <row r="1079" spans="18:18" x14ac:dyDescent="0.25">
      <c r="R1079">
        <v>0</v>
      </c>
    </row>
    <row r="1080" spans="18:18" x14ac:dyDescent="0.25">
      <c r="R1080">
        <v>0</v>
      </c>
    </row>
    <row r="1081" spans="18:18" x14ac:dyDescent="0.25">
      <c r="R1081">
        <v>0</v>
      </c>
    </row>
    <row r="1082" spans="18:18" x14ac:dyDescent="0.25">
      <c r="R1082">
        <v>0</v>
      </c>
    </row>
    <row r="1083" spans="18:18" x14ac:dyDescent="0.25">
      <c r="R1083">
        <v>0</v>
      </c>
    </row>
    <row r="1084" spans="18:18" x14ac:dyDescent="0.25">
      <c r="R1084">
        <v>0</v>
      </c>
    </row>
    <row r="1085" spans="18:18" x14ac:dyDescent="0.25">
      <c r="R1085">
        <v>0</v>
      </c>
    </row>
    <row r="1086" spans="18:18" x14ac:dyDescent="0.25">
      <c r="R1086">
        <v>0</v>
      </c>
    </row>
    <row r="1087" spans="18:18" x14ac:dyDescent="0.25">
      <c r="R1087">
        <v>0</v>
      </c>
    </row>
    <row r="1088" spans="18:18" x14ac:dyDescent="0.25">
      <c r="R1088">
        <v>0</v>
      </c>
    </row>
    <row r="1089" spans="18:18" x14ac:dyDescent="0.25">
      <c r="R1089">
        <v>0</v>
      </c>
    </row>
    <row r="1090" spans="18:18" x14ac:dyDescent="0.25">
      <c r="R1090">
        <v>0</v>
      </c>
    </row>
    <row r="1091" spans="18:18" x14ac:dyDescent="0.25">
      <c r="R1091">
        <v>0</v>
      </c>
    </row>
    <row r="1092" spans="18:18" x14ac:dyDescent="0.25">
      <c r="R1092">
        <v>0</v>
      </c>
    </row>
    <row r="1093" spans="18:18" x14ac:dyDescent="0.25">
      <c r="R1093">
        <v>0</v>
      </c>
    </row>
    <row r="1094" spans="18:18" x14ac:dyDescent="0.25">
      <c r="R1094">
        <v>0</v>
      </c>
    </row>
    <row r="1095" spans="18:18" x14ac:dyDescent="0.25">
      <c r="R1095">
        <v>0</v>
      </c>
    </row>
    <row r="1096" spans="18:18" x14ac:dyDescent="0.25">
      <c r="R1096">
        <v>0</v>
      </c>
    </row>
    <row r="1097" spans="18:18" x14ac:dyDescent="0.25">
      <c r="R1097">
        <v>0</v>
      </c>
    </row>
    <row r="1098" spans="18:18" x14ac:dyDescent="0.25">
      <c r="R1098">
        <v>0</v>
      </c>
    </row>
    <row r="1099" spans="18:18" x14ac:dyDescent="0.25">
      <c r="R1099">
        <v>0</v>
      </c>
    </row>
    <row r="1100" spans="18:18" x14ac:dyDescent="0.25">
      <c r="R1100">
        <v>0</v>
      </c>
    </row>
    <row r="1101" spans="18:18" x14ac:dyDescent="0.25">
      <c r="R1101">
        <v>0</v>
      </c>
    </row>
    <row r="1102" spans="18:18" x14ac:dyDescent="0.25">
      <c r="R1102">
        <v>0</v>
      </c>
    </row>
    <row r="1103" spans="18:18" x14ac:dyDescent="0.25">
      <c r="R1103">
        <v>0</v>
      </c>
    </row>
  </sheetData>
  <phoneticPr fontId="1" type="noConversion"/>
  <pageMargins left="0.75" right="0.75" top="1" bottom="1" header="0.5" footer="0.5"/>
  <pageSetup paperSize="9" orientation="portrait" r:id="rId1"/>
  <headerFooter alignWithMargins="0">
    <oddHeader>&amp;C&amp;"Calibri"&amp;10&amp;K000000OFFICIAL&amp;1#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A552E42C81F4439F4D58D10E078C0C" ma:contentTypeVersion="20" ma:contentTypeDescription="Create a new document." ma:contentTypeScope="" ma:versionID="7fe2704c1aeb8762568c4c7f13463ebe">
  <xsd:schema xmlns:xsd="http://www.w3.org/2001/XMLSchema" xmlns:xs="http://www.w3.org/2001/XMLSchema" xmlns:p="http://schemas.microsoft.com/office/2006/metadata/properties" xmlns:ns2="41d1e754-69d5-44c8-bac4-c287a47d8067" xmlns:ns3="40de2fe1-8e13-49f8-9ac7-411bda6a999a" xmlns:ns4="af32717b-85d4-46b0-82d8-410bc3119485" targetNamespace="http://schemas.microsoft.com/office/2006/metadata/properties" ma:root="true" ma:fieldsID="7cd647d7bfa7c61d70de658b71832d9e" ns2:_="" ns3:_="" ns4:_="">
    <xsd:import namespace="41d1e754-69d5-44c8-bac4-c287a47d8067"/>
    <xsd:import namespace="40de2fe1-8e13-49f8-9ac7-411bda6a999a"/>
    <xsd:import namespace="af32717b-85d4-46b0-82d8-410bc311948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d1e754-69d5-44c8-bac4-c287a47d80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8e89bcca-d77b-429e-a31c-3f7c234e701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de2fe1-8e13-49f8-9ac7-411bda6a999a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32717b-85d4-46b0-82d8-410bc3119485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7de8b91b-49c3-48d1-86d9-f6ef01a8ec17}" ma:internalName="TaxCatchAll" ma:showField="CatchAllData" ma:web="40de2fe1-8e13-49f8-9ac7-411bda6a999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1d1e754-69d5-44c8-bac4-c287a47d8067">
      <Terms xmlns="http://schemas.microsoft.com/office/infopath/2007/PartnerControls"/>
    </lcf76f155ced4ddcb4097134ff3c332f>
    <TaxCatchAll xmlns="af32717b-85d4-46b0-82d8-410bc3119485" xsi:nil="true"/>
  </documentManagement>
</p:properties>
</file>

<file path=customXml/itemProps1.xml><?xml version="1.0" encoding="utf-8"?>
<ds:datastoreItem xmlns:ds="http://schemas.openxmlformats.org/officeDocument/2006/customXml" ds:itemID="{D997F0A1-8A1A-4C46-9389-097ABC97F6D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E505370-77C9-4227-915A-4AC97CE638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1d1e754-69d5-44c8-bac4-c287a47d8067"/>
    <ds:schemaRef ds:uri="40de2fe1-8e13-49f8-9ac7-411bda6a999a"/>
    <ds:schemaRef ds:uri="af32717b-85d4-46b0-82d8-410bc31194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46ED9EC-DA2B-4B02-8E44-30A8928F80B9}">
  <ds:schemaRefs>
    <ds:schemaRef ds:uri="http://schemas.microsoft.com/office/2006/metadata/properties"/>
    <ds:schemaRef ds:uri="http://schemas.microsoft.com/office/infopath/2007/PartnerControls"/>
    <ds:schemaRef ds:uri="41d1e754-69d5-44c8-bac4-c287a47d8067"/>
    <ds:schemaRef ds:uri="af32717b-85d4-46b0-82d8-410bc311948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Config</vt:lpstr>
      <vt:lpstr>Selector</vt:lpstr>
      <vt:lpstr>Msg</vt:lpstr>
      <vt:lpstr>Ascii_Data</vt:lpstr>
      <vt:lpstr>Config!get_dates</vt:lpstr>
      <vt:lpstr>Config!get_dates_1</vt:lpstr>
      <vt:lpstr>Config!get_elr</vt:lpstr>
      <vt:lpstr>Config!get_mileage</vt:lpstr>
      <vt:lpstr>Config!get_track_id</vt:lpstr>
      <vt:lpstr>Data!WEBQUERY?username_mike_wb_ascii_data_pump_ws_ascii_data_pump_qry</vt:lpstr>
    </vt:vector>
  </TitlesOfParts>
  <Manager/>
  <Company>Network Rail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drogers1</dc:creator>
  <cp:keywords/>
  <dc:description/>
  <cp:lastModifiedBy>Brogan McGuire</cp:lastModifiedBy>
  <cp:revision/>
  <dcterms:created xsi:type="dcterms:W3CDTF">2007-09-12T15:03:03Z</dcterms:created>
  <dcterms:modified xsi:type="dcterms:W3CDTF">2026-09-30T12:56:02Z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577031b-11bc-4db9-b655-7d79027ad570_Enabled">
    <vt:lpwstr>true</vt:lpwstr>
  </property>
  <property fmtid="{D5CDD505-2E9C-101B-9397-08002B2CF9AE}" pid="3" name="MSIP_Label_8577031b-11bc-4db9-b655-7d79027ad570_SetDate">
    <vt:lpwstr>2021-03-23T12:39:34Z</vt:lpwstr>
  </property>
  <property fmtid="{D5CDD505-2E9C-101B-9397-08002B2CF9AE}" pid="4" name="MSIP_Label_8577031b-11bc-4db9-b655-7d79027ad570_Method">
    <vt:lpwstr>Standard</vt:lpwstr>
  </property>
  <property fmtid="{D5CDD505-2E9C-101B-9397-08002B2CF9AE}" pid="5" name="MSIP_Label_8577031b-11bc-4db9-b655-7d79027ad570_Name">
    <vt:lpwstr>8577031b-11bc-4db9-b655-7d79027ad570</vt:lpwstr>
  </property>
  <property fmtid="{D5CDD505-2E9C-101B-9397-08002B2CF9AE}" pid="6" name="MSIP_Label_8577031b-11bc-4db9-b655-7d79027ad570_SiteId">
    <vt:lpwstr>c22cc3e1-5d7f-4f4d-be03-d5a158cc9409</vt:lpwstr>
  </property>
  <property fmtid="{D5CDD505-2E9C-101B-9397-08002B2CF9AE}" pid="7" name="MSIP_Label_8577031b-11bc-4db9-b655-7d79027ad570_ActionId">
    <vt:lpwstr>2b20bf86-0f3f-44b8-acf8-0fb2b4017afd</vt:lpwstr>
  </property>
  <property fmtid="{D5CDD505-2E9C-101B-9397-08002B2CF9AE}" pid="8" name="MSIP_Label_8577031b-11bc-4db9-b655-7d79027ad570_ContentBits">
    <vt:lpwstr>1</vt:lpwstr>
  </property>
  <property fmtid="{D5CDD505-2E9C-101B-9397-08002B2CF9AE}" pid="9" name="ContentTypeId">
    <vt:lpwstr>0x010100D0A552E42C81F4439F4D58D10E078C0C</vt:lpwstr>
  </property>
  <property fmtid="{D5CDD505-2E9C-101B-9397-08002B2CF9AE}" pid="10" name="MediaServiceImageTags">
    <vt:lpwstr/>
  </property>
</Properties>
</file>